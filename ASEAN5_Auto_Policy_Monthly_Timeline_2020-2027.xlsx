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98484c4a6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販売と制度比較" sheetId="1" r:id="Rb64a82b5e7ab48c6"/>
    <x:sheet xmlns:r="http://schemas.openxmlformats.org/officeDocument/2006/relationships" name="全期間タイムライン" sheetId="2" r:id="R3ef0e16e80e744d8"/>
    <x:sheet xmlns:r="http://schemas.openxmlformats.org/officeDocument/2006/relationships" name="制度詳細" sheetId="3" r:id="Rec8f7b7b45c24ac0"/>
    <x:sheet xmlns:r="http://schemas.openxmlformats.org/officeDocument/2006/relationships" name="月次販売入力" sheetId="4" r:id="R45abd1fc34f9410b"/>
    <x:sheet xmlns:r="http://schemas.openxmlformats.org/officeDocument/2006/relationships" name="グラフ計算" sheetId="5" r:id="R5407c55bf9f4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yyyy/mm"/>
    <x:numFmt numFmtId="202" formatCode="#,##0;[Red](#,##0);0"/>
    <x:numFmt numFmtId="203" formatCode="mm"/>
  </x:numFmts>
  <x:fonts count="11">
    <x:font>
      <x:sz val="11"/>
      <x:name val="Carlito"/>
    </x:font>
    <x:font>
      <x:sz val="10"/>
      <x:color rgb="FF25384B"/>
      <x:name val="Noto Sans CJK JP"/>
    </x:font>
    <x:font>
      <x:b/>
      <x:sz val="17"/>
      <x:color rgb="FFFFFFFF"/>
      <x:name val="Noto Sans CJK JP"/>
    </x:font>
    <x:font>
      <x:b/>
      <x:sz val="10"/>
      <x:color rgb="FFFFFFFF"/>
      <x:name val="Noto Sans CJK JP"/>
    </x:font>
    <x:font>
      <x:sz val="10"/>
      <x:color rgb="FF16844B"/>
      <x:name val="Noto Sans CJK JP"/>
    </x:font>
    <x:font>
      <x:sz val="10"/>
      <x:color rgb="FF1563AA"/>
      <x:name val="Noto Sans CJK JP"/>
    </x:font>
    <x:font>
      <x:b/>
      <x:sz val="10"/>
      <x:color rgb="FF1563AA"/>
      <x:name val="Noto Sans CJK JP"/>
    </x:font>
    <x:font>
      <x:sz val="12"/>
      <x:color rgb="FF25384B"/>
      <x:name val="Noto Sans CJK JP"/>
    </x:font>
    <x:font>
      <x:b/>
      <x:sz val="9"/>
      <x:color rgb="FF25384B"/>
      <x:name val="Noto Sans CJK JP"/>
    </x:font>
    <x:font>
      <x:sz val="10"/>
      <x:color rgb="FFFFFFFF"/>
      <x:name val="Noto Sans CJK JP"/>
    </x:font>
    <x:font>
      <x:b/>
      <x:sz val="10"/>
      <x:color rgb="FF25384B"/>
      <x:name val="Noto Sans CJK JP"/>
    </x:font>
  </x:fonts>
  <x:fills count="12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EDF3F8"/>
      </x:patternFill>
    </x:fill>
    <x:fill>
      <x:patternFill patternType="solid">
        <x:fgColor rgb="FFFFF2D7"/>
      </x:patternFill>
    </x:fill>
    <x:fill>
      <x:patternFill patternType="solid">
        <x:fgColor rgb="FFDDE9F5"/>
      </x:patternFill>
    </x:fill>
    <x:fill>
      <x:patternFill patternType="solid">
        <x:fgColor rgb="FFF1F7FD"/>
      </x:patternFill>
    </x:fill>
    <x:fill>
      <x:patternFill patternType="solid">
        <x:fgColor rgb="FF168B83"/>
      </x:patternFill>
    </x:fill>
    <x:fill>
      <x:patternFill patternType="solid">
        <x:fgColor rgb="FFD99534"/>
      </x:patternFill>
    </x:fill>
    <x:fill>
      <x:patternFill patternType="solid">
        <x:fgColor rgb="FF667786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 style="thin">
        <x:color rgb="FFE9EEF3"/>
      </x:left>
      <x:right style="thin">
        <x:color rgb="FFE9EEF3"/>
      </x:right>
      <x:top style="thin">
        <x:color rgb="FFE9EEF3"/>
      </x:top>
      <x:bottom style="thin">
        <x:color rgb="FFE9EEF3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201" fontId="1" fillId="0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201" fontId="1" fillId="3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2" fontId="1" fillId="0" borderId="0" xfId="0" applyNumberFormat="1" applyFont="1" applyFill="1" applyBorder="1"/>
    <x:xf numFmtId="202" fontId="1" fillId="2" borderId="0" xfId="0" applyNumberFormat="1" applyFont="1" applyFill="1" applyBorder="1"/>
    <x:xf numFmtId="202" fontId="3" fillId="2" borderId="0" xfId="0" applyNumberFormat="1" applyFont="1" applyFill="1" applyBorder="1"/>
    <x:xf numFmtId="202" fontId="3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8" fillId="3" borderId="0" xfId="0" applyNumberFormat="1" applyFont="1" applyFill="1" applyBorder="1"/>
    <x:xf numFmtId="203" fontId="8" fillId="3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203" fontId="1" fillId="5" borderId="0" xfId="0" applyNumberFormat="1" applyFont="1" applyFill="1" applyBorder="1"/>
    <x:xf numFmtId="203" fontId="10" fillId="5" borderId="0" xfId="0" applyNumberFormat="1" applyFont="1" applyFill="1" applyBorder="1"/>
    <x:xf numFmtId="203" fontId="10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30"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667786"/>
        </x:patternFill>
      </x:fill>
    </x:dxf>
    <x:dxf>
      <x:font>
        <x:color rgb="FF667786"/>
      </x:font>
      <x:fill>
        <x:patternFill patternType="solid">
          <x:bgColor rgb="FFDCE4E9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667786"/>
        </x:patternFill>
      </x:fill>
    </x:dxf>
    <x:dxf>
      <x:font>
        <x:color rgb="FF667786"/>
      </x:font>
      <x:fill>
        <x:patternFill patternType="solid">
          <x:bgColor rgb="FFDCE4E9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8A62B6"/>
        </x:patternFill>
      </x:fill>
    </x:dxf>
    <x:dxf>
      <x:font>
        <x:color rgb="FF8A62B6"/>
      </x:font>
      <x:fill>
        <x:patternFill patternType="solid">
          <x:bgColor rgb="FFE2D5F1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168B83"/>
        </x:patternFill>
      </x:fill>
    </x:dxf>
    <x:dxf>
      <x:font>
        <x:color rgb="FF168B83"/>
      </x:font>
      <x:fill>
        <x:patternFill patternType="solid">
          <x:bgColor rgb="FFBEEAE3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4478BD"/>
        </x:patternFill>
      </x:fill>
    </x:dxf>
    <x:dxf>
      <x:font>
        <x:color rgb="FF4478BD"/>
      </x:font>
      <x:fill>
        <x:patternFill patternType="solid">
          <x:bgColor rgb="FFCEDFF5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  <x:dxf>
      <x:font>
        <x:color rgb="FFFFFFFF"/>
      </x:font>
      <x:fill>
        <x:patternFill patternType="solid">
          <x:bgColor rgb="FFDCA13A"/>
        </x:patternFill>
      </x:fill>
    </x:dxf>
    <x:dxf>
      <x:font>
        <x:color rgb="FFDCA13A"/>
      </x:font>
      <x:fill>
        <x:patternFill patternType="solid">
          <x:bgColor rgb="FFF8E8BF"/>
        </x:patternFill>
      </x:fill>
    </x:dxf>
    <x:dxf>
      <x:font>
        <x:b/>
        <x:color rgb="FF946200"/>
      </x:font>
      <x:fill>
        <x:patternFill patternType="solid">
          <x:bgColor rgb="FFF8E8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0f08100b84780" /><Relationship Type="http://schemas.openxmlformats.org/officeDocument/2006/relationships/theme" Target="/xl/theme/theme1.xml" Id="R43836247ac3b46d5" /><Relationship Type="http://schemas.openxmlformats.org/officeDocument/2006/relationships/sharedStrings" Target="/xl/sharedStrings.xml" Id="Rf4cc35897929443e" /><Relationship Type="http://schemas.openxmlformats.org/officeDocument/2006/relationships/worksheet" Target="/xl/worksheets/sheet1.xml" Id="Rb64a82b5e7ab48c6" /><Relationship Type="http://schemas.openxmlformats.org/officeDocument/2006/relationships/worksheet" Target="/xl/worksheets/sheet2.xml" Id="R3ef0e16e80e744d8" /><Relationship Type="http://schemas.openxmlformats.org/officeDocument/2006/relationships/worksheet" Target="/xl/worksheets/sheet3.xml" Id="Rec8f7b7b45c24ac0" /><Relationship Type="http://schemas.openxmlformats.org/officeDocument/2006/relationships/worksheet" Target="/xl/worksheets/sheet4.xml" Id="R45abd1fc34f9410b" /><Relationship Type="http://schemas.openxmlformats.org/officeDocument/2006/relationships/worksheet" Target="/xl/worksheets/sheet5.xml" Id="R5407c55bf9f449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b5b93b29fc4573" /><Relationship Type="http://schemas.openxmlformats.org/officeDocument/2006/relationships/chart" Target="/xl/drawings/charts/chart2.xml" Id="Rb43b7afa59344748" /><Relationship Type="http://schemas.openxmlformats.org/officeDocument/2006/relationships/chart" Target="/xl/drawings/charts/chart3.xml" Id="R08ee894fae5e4b0c" /><Relationship Type="http://schemas.openxmlformats.org/officeDocument/2006/relationships/chart" Target="/xl/drawings/charts/chart4.xml" Id="R964ac5f2550e4563" /><Relationship Type="http://schemas.openxmlformats.org/officeDocument/2006/relationships/chart" Target="/xl/drawings/charts/chart5.xml" Id="R858a17a2982447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タイ｜月次販売台数（入力後に表示）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BEV</c:v>
          </c:tx>
          <c:spPr>
            <a:ln xmlns:a="http://schemas.openxmlformats.org/drawingml/2006/main" w="19050">
              <a:solidFill>
                <a:srgbClr val="168B83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'グラフ計算'!$B$44:$B$79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HEV</c:v>
          </c:tx>
          <c:spPr>
            <a:ln xmlns:a="http://schemas.openxmlformats.org/drawingml/2006/main" w="19050">
              <a:solidFill>
                <a:srgbClr val="D99534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'グラフ計算'!$C$44:$C$79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2"/>
          <c:order val="2"/>
          <c:tx>
            <c:v>ICE</c:v>
          </c:tx>
          <c:spPr>
            <a:ln xmlns:a="http://schemas.openxmlformats.org/drawingml/2006/main" w="19050">
              <a:solidFill>
                <a:srgbClr val="667786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'グラフ計算'!$D$44:$D$79</c:f>
              <c:numCache>
                <c:formatCode>#,##0;[Red](#,##0);0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インドネシア｜月次販売台数（入力後に表示）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BEV</c:v>
          </c:tx>
          <c:spPr>
            <a:ln xmlns:a="http://schemas.openxmlformats.org/drawingml/2006/main" w="19050">
              <a:solidFill>
                <a:srgbClr val="168B83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'グラフ計算'!$E$44:$E$79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HEV</c:v>
          </c:tx>
          <c:spPr>
            <a:ln xmlns:a="http://schemas.openxmlformats.org/drawingml/2006/main" w="19050">
              <a:solidFill>
                <a:srgbClr val="D99534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'グラフ計算'!$F$44:$F$79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2"/>
          <c:order val="2"/>
          <c:tx>
            <c:v>ICE</c:v>
          </c:tx>
          <c:spPr>
            <a:ln xmlns:a="http://schemas.openxmlformats.org/drawingml/2006/main" w="19050">
              <a:solidFill>
                <a:srgbClr val="667786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'グラフ計算'!$G$44:$G$79</c:f>
              <c:numCache>
                <c:formatCode>#,##0;[Red](#,##0);0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マレーシア｜月次販売台数（入力後に表示）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BEV</c:v>
          </c:tx>
          <c:spPr>
            <a:ln xmlns:a="http://schemas.openxmlformats.org/drawingml/2006/main" w="19050">
              <a:solidFill>
                <a:srgbClr val="168B83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'グラフ計算'!$H$44:$H$79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HEV</c:v>
          </c:tx>
          <c:spPr>
            <a:ln xmlns:a="http://schemas.openxmlformats.org/drawingml/2006/main" w="19050">
              <a:solidFill>
                <a:srgbClr val="D99534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'グラフ計算'!$I$44:$I$79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2"/>
          <c:order val="2"/>
          <c:tx>
            <c:v>ICE</c:v>
          </c:tx>
          <c:spPr>
            <a:ln xmlns:a="http://schemas.openxmlformats.org/drawingml/2006/main" w="19050">
              <a:solidFill>
                <a:srgbClr val="667786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'グラフ計算'!$J$44:$J$79</c:f>
              <c:numCache>
                <c:formatCode>#,##0;[Red](#,##0);0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ベトナム｜月次販売台数（入力後に表示）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BEV</c:v>
          </c:tx>
          <c:spPr>
            <a:ln xmlns:a="http://schemas.openxmlformats.org/drawingml/2006/main" w="19050">
              <a:solidFill>
                <a:srgbClr val="168B83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'グラフ計算'!$K$44:$K$79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HEV</c:v>
          </c:tx>
          <c:spPr>
            <a:ln xmlns:a="http://schemas.openxmlformats.org/drawingml/2006/main" w="19050">
              <a:solidFill>
                <a:srgbClr val="D99534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'グラフ計算'!$L$44:$L$79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2"/>
          <c:order val="2"/>
          <c:tx>
            <c:v>ICE</c:v>
          </c:tx>
          <c:spPr>
            <a:ln xmlns:a="http://schemas.openxmlformats.org/drawingml/2006/main" w="19050">
              <a:solidFill>
                <a:srgbClr val="667786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'グラフ計算'!$M$44:$M$79</c:f>
              <c:numCache>
                <c:formatCode>#,##0;[Red](#,##0);0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フィリピン｜月次販売台数（入力後に表示）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BEV</c:v>
          </c:tx>
          <c:spPr>
            <a:ln xmlns:a="http://schemas.openxmlformats.org/drawingml/2006/main" w="19050">
              <a:solidFill>
                <a:srgbClr val="168B83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'グラフ計算'!$N$44:$N$79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1"/>
          <c:order val="1"/>
          <c:tx>
            <c:v>HEV</c:v>
          </c:tx>
          <c:spPr>
            <a:ln xmlns:a="http://schemas.openxmlformats.org/drawingml/2006/main" w="19050">
              <a:solidFill>
                <a:srgbClr val="D99534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'グラフ計算'!$O$44:$O$79</c:f>
              <c:numCache>
                <c:formatCode>#,##0;[Red](#,##0);0</c:formatCode>
                <c:ptCount val="0"/>
              </c:numCache>
            </c:numRef>
          </c:val>
          <c:smooth val="0"/>
        </c:ser>
        <c:ser>
          <c:idx val="2"/>
          <c:order val="2"/>
          <c:tx>
            <c:v>ICE</c:v>
          </c:tx>
          <c:spPr>
            <a:ln xmlns:a="http://schemas.openxmlformats.org/drawingml/2006/main" w="19050">
              <a:solidFill>
                <a:srgbClr val="667786"/>
              </a:solidFill>
              <a:prstDash val="solid"/>
            </a:ln>
          </c:spPr>
          <c:marker>
            <c:symbol val="none"/>
          </c:marker>
          <c:cat>
            <c:strRef>
              <c:f>'グラフ計算'!$A$44:$A$79</c:f>
              <c:strCache>
                <c:ptCount val="0"/>
              </c:strCache>
            </c:strRef>
          </c:cat>
          <c:val>
            <c:numRef>
              <c:f>'グラフ計算'!$P$44:$P$79</c:f>
              <c:numCache>
                <c:formatCode>#,##0;[Red](#,##0);0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6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43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b5b93b29fc4573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43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3b7afa59344748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43</xdr:col>
      <xdr:colOff>0</xdr:colOff>
      <xdr:row>75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e894fae5e4b0c"/>
        </a:graphicData>
      </a:graphic>
    </xdr:graphicFrame>
    <xdr:clientData/>
  </xdr:twoCellAnchor>
  <xdr:twoCellAnchor>
    <xdr:from>
      <xdr:col>6</xdr:col>
      <xdr:colOff>0</xdr:colOff>
      <xdr:row>86</xdr:row>
      <xdr:rowOff>0</xdr:rowOff>
    </xdr:from>
    <xdr:to>
      <xdr:col>43</xdr:col>
      <xdr:colOff>0</xdr:colOff>
      <xdr:row>98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4ac5f2550e4563"/>
        </a:graphicData>
      </a:graphic>
    </xdr:graphicFrame>
    <xdr:clientData/>
  </xdr:twoCellAnchor>
  <xdr:twoCellAnchor>
    <xdr:from>
      <xdr:col>6</xdr:col>
      <xdr:colOff>0</xdr:colOff>
      <xdr:row>114</xdr:row>
      <xdr:rowOff>0</xdr:rowOff>
    </xdr:from>
    <xdr:to>
      <xdr:col>43</xdr:col>
      <xdr:colOff>0</xdr:colOff>
      <xdr:row>126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a17a2982447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licyMaster" displayName="PolicyMaster" ref="A5:Y43" headerRowCount="1" totalsRowCount="0" totalsRowShown="0">
  <x:tableColumns count="25">
    <x:tableColumn id="1" name="制度ID"/>
    <x:tableColumn id="2" name="国"/>
    <x:tableColumn id="3" name="制度・措置"/>
    <x:tableColumn id="4" name="種類"/>
    <x:tableColumn id="5" name="動力"/>
    <x:tableColumn id="6" name="適用対象"/>
    <x:tableColumn id="7" name="状態"/>
    <x:tableColumn id="8" name="期間開始／月次キー"/>
    <x:tableColumn id="9" name="期間終了／期限"/>
    <x:tableColumn id="10" name="発表・公布・決定日"/>
    <x:tableColumn id="11" name="日付精度"/>
    <x:tableColumn id="12" name="制度の内容・数値"/>
    <x:tableColumn id="13" name="価格への作用（仮説）"/>
    <x:tableColumn id="14" name="供給への作用（仮説）"/>
    <x:tableColumn id="15" name="月次販売の仮説・注意"/>
    <x:tableColumn id="16" name="比較対象・確認指標"/>
    <x:tableColumn id="17" name="根拠URL"/>
    <x:tableColumn id="18" name="根拠位置・資料"/>
    <x:tableColumn id="19" name="個別注意"/>
    <x:tableColumn id="20" name="確認基準日"/>
    <x:tableColumn id="21" name="開始年月キー"/>
    <x:tableColumn id="22" name="終了年月キー"/>
    <x:tableColumn id="23" name="開始前3か月"/>
    <x:tableColumn id="24" name="期間末3か月"/>
    <x:tableColumn id="25" name="中国・日本車比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f94402c7a1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32e66e4d1d34139" /></Relationships>
</file>

<file path=xl/worksheets/sheet1.xml><?xml version="1.0" encoding="utf-8"?>
<x:worksheet xmlns:x="http://schemas.openxmlformats.org/spreadsheetml/2006/main">
  <x:sheetPr>
    <x:tabColor rgb="FF1532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.329999923706055" hidden="0" customWidth="1"/>
    <x:col min="2" max="2" width="5.329999923706055" hidden="0" customWidth="1"/>
    <x:col min="3" max="3" width="5.329999923706055" hidden="0" customWidth="1"/>
    <x:col min="4" max="4" width="5.329999923706055" hidden="0" customWidth="1"/>
    <x:col min="5" max="5" width="5.329999923706055" hidden="0" customWidth="1"/>
    <x:col min="6" max="6" width="5.329999923706055" hidden="0" customWidth="1"/>
    <x:col min="7" max="7" width="3.3299999237060547" hidden="0" customWidth="1"/>
    <x:col min="8" max="8" width="3.3299999237060547" hidden="0" customWidth="1"/>
    <x:col min="9" max="9" width="3.3299999237060547" hidden="0" customWidth="1"/>
    <x:col min="10" max="10" width="3.3299999237060547" hidden="0" customWidth="1"/>
    <x:col min="11" max="11" width="3.3299999237060547" hidden="0" customWidth="1"/>
    <x:col min="12" max="12" width="3.3299999237060547" hidden="0" customWidth="1"/>
    <x:col min="13" max="13" width="3.3299999237060547" hidden="0" customWidth="1"/>
    <x:col min="14" max="14" width="3.3299999237060547" hidden="0" customWidth="1"/>
    <x:col min="15" max="15" width="3.3299999237060547" hidden="0" customWidth="1"/>
    <x:col min="16" max="16" width="3.3299999237060547" hidden="0" customWidth="1"/>
    <x:col min="17" max="17" width="3.3299999237060547" hidden="0" customWidth="1"/>
    <x:col min="18" max="18" width="3.3299999237060547" hidden="0" customWidth="1"/>
    <x:col min="19" max="19" width="3.3299999237060547" hidden="0" customWidth="1"/>
    <x:col min="20" max="20" width="3.3299999237060547" hidden="0" customWidth="1"/>
    <x:col min="21" max="21" width="3.3299999237060547" hidden="0" customWidth="1"/>
    <x:col min="22" max="22" width="3.3299999237060547" hidden="0" customWidth="1"/>
    <x:col min="23" max="23" width="3.3299999237060547" hidden="0" customWidth="1"/>
    <x:col min="24" max="24" width="3.3299999237060547" hidden="0" customWidth="1"/>
    <x:col min="25" max="25" width="3.3299999237060547" hidden="0" customWidth="1"/>
    <x:col min="26" max="26" width="3.3299999237060547" hidden="0" customWidth="1"/>
    <x:col min="27" max="27" width="3.3299999237060547" hidden="0" customWidth="1"/>
    <x:col min="28" max="28" width="3.3299999237060547" hidden="0" customWidth="1"/>
    <x:col min="29" max="29" width="3.3299999237060547" hidden="0" customWidth="1"/>
    <x:col min="30" max="30" width="3.3299999237060547" hidden="0" customWidth="1"/>
    <x:col min="31" max="31" width="3.3299999237060547" hidden="0" customWidth="1"/>
    <x:col min="32" max="32" width="3.3299999237060547" hidden="0" customWidth="1"/>
    <x:col min="33" max="33" width="3.3299999237060547" hidden="0" customWidth="1"/>
    <x:col min="34" max="34" width="3.3299999237060547" hidden="0" customWidth="1"/>
    <x:col min="35" max="35" width="3.3299999237060547" hidden="0" customWidth="1"/>
    <x:col min="36" max="36" width="3.3299999237060547" hidden="0" customWidth="1"/>
    <x:col min="37" max="37" width="3.3299999237060547" hidden="0" customWidth="1"/>
    <x:col min="38" max="38" width="3.3299999237060547" hidden="0" customWidth="1"/>
    <x:col min="39" max="39" width="3.3299999237060547" hidden="0" customWidth="1"/>
    <x:col min="40" max="40" width="3.3299999237060547" hidden="0" customWidth="1"/>
    <x:col min="41" max="41" width="3.3299999237060547" hidden="0" customWidth="1"/>
    <x:col min="42" max="42" width="3.3299999237060547" hidden="0" customWidth="1"/>
  </x:cols>
  <x:sheetData>
    <x:row r="1" ht="38" customHeight="1">
      <x:c r="A1" s="4" t="str">
        <x:v>ASEAN 5カ国｜月次販売と制度を同じ時間軸で読む</x:v>
      </x:c>
      <x:c r="B1" s="4" t="str">
        <x:v>ASEAN 5カ国｜月次販売と制度を同じ時間軸で読む</x:v>
      </x:c>
      <x:c r="C1" s="4" t="str">
        <x:v>ASEAN 5カ国｜月次販売と制度を同じ時間軸で読む</x:v>
      </x:c>
      <x:c r="D1" s="4" t="str">
        <x:v>ASEAN 5カ国｜月次販売と制度を同じ時間軸で読む</x:v>
      </x:c>
      <x:c r="E1" s="4" t="str">
        <x:v>ASEAN 5カ国｜月次販売と制度を同じ時間軸で読む</x:v>
      </x:c>
      <x:c r="F1" s="4" t="str">
        <x:v>ASEAN 5カ国｜月次販売と制度を同じ時間軸で読む</x:v>
      </x:c>
      <x:c r="G1" s="4" t="str">
        <x:v>ASEAN 5カ国｜月次販売と制度を同じ時間軸で読む</x:v>
      </x:c>
      <x:c r="H1" s="4" t="str">
        <x:v>ASEAN 5カ国｜月次販売と制度を同じ時間軸で読む</x:v>
      </x:c>
      <x:c r="I1" s="4" t="str">
        <x:v>ASEAN 5カ国｜月次販売と制度を同じ時間軸で読む</x:v>
      </x:c>
      <x:c r="J1" s="4" t="str">
        <x:v>ASEAN 5カ国｜月次販売と制度を同じ時間軸で読む</x:v>
      </x:c>
      <x:c r="K1" s="4" t="str">
        <x:v>ASEAN 5カ国｜月次販売と制度を同じ時間軸で読む</x:v>
      </x:c>
      <x:c r="L1" s="4" t="str">
        <x:v>ASEAN 5カ国｜月次販売と制度を同じ時間軸で読む</x:v>
      </x:c>
      <x:c r="M1" s="4" t="str">
        <x:v>ASEAN 5カ国｜月次販売と制度を同じ時間軸で読む</x:v>
      </x:c>
      <x:c r="N1" s="4" t="str">
        <x:v>ASEAN 5カ国｜月次販売と制度を同じ時間軸で読む</x:v>
      </x:c>
      <x:c r="O1" s="4" t="str">
        <x:v>ASEAN 5カ国｜月次販売と制度を同じ時間軸で読む</x:v>
      </x:c>
      <x:c r="P1" s="4" t="str">
        <x:v>ASEAN 5カ国｜月次販売と制度を同じ時間軸で読む</x:v>
      </x:c>
      <x:c r="Q1" s="4" t="str">
        <x:v>ASEAN 5カ国｜月次販売と制度を同じ時間軸で読む</x:v>
      </x:c>
      <x:c r="R1" s="4" t="str">
        <x:v>ASEAN 5カ国｜月次販売と制度を同じ時間軸で読む</x:v>
      </x:c>
      <x:c r="S1" s="4" t="str">
        <x:v>ASEAN 5カ国｜月次販売と制度を同じ時間軸で読む</x:v>
      </x:c>
      <x:c r="T1" s="4" t="str">
        <x:v>ASEAN 5カ国｜月次販売と制度を同じ時間軸で読む</x:v>
      </x:c>
      <x:c r="U1" s="4" t="str">
        <x:v>ASEAN 5カ国｜月次販売と制度を同じ時間軸で読む</x:v>
      </x:c>
      <x:c r="V1" s="4" t="str">
        <x:v>ASEAN 5カ国｜月次販売と制度を同じ時間軸で読む</x:v>
      </x:c>
      <x:c r="W1" s="4" t="str">
        <x:v>ASEAN 5カ国｜月次販売と制度を同じ時間軸で読む</x:v>
      </x:c>
      <x:c r="X1" s="4" t="str">
        <x:v>ASEAN 5カ国｜月次販売と制度を同じ時間軸で読む</x:v>
      </x:c>
      <x:c r="Y1" s="4" t="str">
        <x:v>ASEAN 5カ国｜月次販売と制度を同じ時間軸で読む</x:v>
      </x:c>
      <x:c r="Z1" s="4" t="str">
        <x:v>ASEAN 5カ国｜月次販売と制度を同じ時間軸で読む</x:v>
      </x:c>
      <x:c r="AA1" s="4" t="str">
        <x:v>ASEAN 5カ国｜月次販売と制度を同じ時間軸で読む</x:v>
      </x:c>
      <x:c r="AB1" s="4" t="str">
        <x:v>ASEAN 5カ国｜月次販売と制度を同じ時間軸で読む</x:v>
      </x:c>
      <x:c r="AC1" s="4" t="str">
        <x:v>ASEAN 5カ国｜月次販売と制度を同じ時間軸で読む</x:v>
      </x:c>
      <x:c r="AD1" s="4" t="str">
        <x:v>ASEAN 5カ国｜月次販売と制度を同じ時間軸で読む</x:v>
      </x:c>
      <x:c r="AE1" s="4" t="str">
        <x:v>ASEAN 5カ国｜月次販売と制度を同じ時間軸で読む</x:v>
      </x:c>
      <x:c r="AF1" s="4" t="str">
        <x:v>ASEAN 5カ国｜月次販売と制度を同じ時間軸で読む</x:v>
      </x:c>
      <x:c r="AG1" s="4" t="str">
        <x:v>ASEAN 5カ国｜月次販売と制度を同じ時間軸で読む</x:v>
      </x:c>
      <x:c r="AH1" s="4" t="str">
        <x:v>ASEAN 5カ国｜月次販売と制度を同じ時間軸で読む</x:v>
      </x:c>
      <x:c r="AI1" s="4" t="str">
        <x:v>ASEAN 5カ国｜月次販売と制度を同じ時間軸で読む</x:v>
      </x:c>
      <x:c r="AJ1" s="4" t="str">
        <x:v>ASEAN 5カ国｜月次販売と制度を同じ時間軸で読む</x:v>
      </x:c>
      <x:c r="AK1" s="4" t="str">
        <x:v>ASEAN 5カ国｜月次販売と制度を同じ時間軸で読む</x:v>
      </x:c>
      <x:c r="AL1" s="4" t="str">
        <x:v>ASEAN 5カ国｜月次販売と制度を同じ時間軸で読む</x:v>
      </x:c>
      <x:c r="AM1" s="4" t="str">
        <x:v>ASEAN 5カ国｜月次販売と制度を同じ時間軸で読む</x:v>
      </x:c>
      <x:c r="AN1" s="4" t="str">
        <x:v>ASEAN 5カ国｜月次販売と制度を同じ時間軸で読む</x:v>
      </x:c>
      <x:c r="AO1" s="4" t="str">
        <x:v>ASEAN 5カ国｜月次販売と制度を同じ時間軸で読む</x:v>
      </x:c>
      <x:c r="AP1" s="4" t="str">
        <x:v>ASEAN 5カ国｜月次販売と制度を同じ時間軸で読む</x:v>
      </x:c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</x:row>
    <x:row r="2" ht="34" customHeight="1">
      <x:c r="A2" s="7" t="str">
        <x:v>①「月次販売入力」の青いセルへ台数を貼り付け → ②表示開始月を変更 → ③国ごとの販売線と、その下の制度帯を比較。グラフは入力後に表示。</x:v>
      </x:c>
      <x:c r="B2" s="7" t="str">
        <x:v>①「月次販売入力」の青いセルへ台数を貼り付け → ②表示開始月を変更 → ③国ごとの販売線と、その下の制度帯を比較。グラフは入力後に表示。</x:v>
      </x:c>
      <x:c r="C2" s="7" t="str">
        <x:v>①「月次販売入力」の青いセルへ台数を貼り付け → ②表示開始月を変更 → ③国ごとの販売線と、その下の制度帯を比較。グラフは入力後に表示。</x:v>
      </x:c>
      <x:c r="D2" s="7" t="str">
        <x:v>①「月次販売入力」の青いセルへ台数を貼り付け → ②表示開始月を変更 → ③国ごとの販売線と、その下の制度帯を比較。グラフは入力後に表示。</x:v>
      </x:c>
      <x:c r="E2" s="7" t="str">
        <x:v>①「月次販売入力」の青いセルへ台数を貼り付け → ②表示開始月を変更 → ③国ごとの販売線と、その下の制度帯を比較。グラフは入力後に表示。</x:v>
      </x:c>
      <x:c r="F2" s="7" t="str">
        <x:v>①「月次販売入力」の青いセルへ台数を貼り付け → ②表示開始月を変更 → ③国ごとの販売線と、その下の制度帯を比較。グラフは入力後に表示。</x:v>
      </x:c>
      <x:c r="G2" s="7" t="str">
        <x:v>①「月次販売入力」の青いセルへ台数を貼り付け → ②表示開始月を変更 → ③国ごとの販売線と、その下の制度帯を比較。グラフは入力後に表示。</x:v>
      </x:c>
      <x:c r="H2" s="7" t="str">
        <x:v>①「月次販売入力」の青いセルへ台数を貼り付け → ②表示開始月を変更 → ③国ごとの販売線と、その下の制度帯を比較。グラフは入力後に表示。</x:v>
      </x:c>
      <x:c r="I2" s="7" t="str">
        <x:v>①「月次販売入力」の青いセルへ台数を貼り付け → ②表示開始月を変更 → ③国ごとの販売線と、その下の制度帯を比較。グラフは入力後に表示。</x:v>
      </x:c>
      <x:c r="J2" s="7" t="str">
        <x:v>①「月次販売入力」の青いセルへ台数を貼り付け → ②表示開始月を変更 → ③国ごとの販売線と、その下の制度帯を比較。グラフは入力後に表示。</x:v>
      </x:c>
      <x:c r="K2" s="7" t="str">
        <x:v>①「月次販売入力」の青いセルへ台数を貼り付け → ②表示開始月を変更 → ③国ごとの販売線と、その下の制度帯を比較。グラフは入力後に表示。</x:v>
      </x:c>
      <x:c r="L2" s="7" t="str">
        <x:v>①「月次販売入力」の青いセルへ台数を貼り付け → ②表示開始月を変更 → ③国ごとの販売線と、その下の制度帯を比較。グラフは入力後に表示。</x:v>
      </x:c>
      <x:c r="M2" s="7" t="str">
        <x:v>①「月次販売入力」の青いセルへ台数を貼り付け → ②表示開始月を変更 → ③国ごとの販売線と、その下の制度帯を比較。グラフは入力後に表示。</x:v>
      </x:c>
      <x:c r="N2" s="7" t="str">
        <x:v>①「月次販売入力」の青いセルへ台数を貼り付け → ②表示開始月を変更 → ③国ごとの販売線と、その下の制度帯を比較。グラフは入力後に表示。</x:v>
      </x:c>
      <x:c r="O2" s="7" t="str">
        <x:v>①「月次販売入力」の青いセルへ台数を貼り付け → ②表示開始月を変更 → ③国ごとの販売線と、その下の制度帯を比較。グラフは入力後に表示。</x:v>
      </x:c>
      <x:c r="P2" s="7" t="str">
        <x:v>①「月次販売入力」の青いセルへ台数を貼り付け → ②表示開始月を変更 → ③国ごとの販売線と、その下の制度帯を比較。グラフは入力後に表示。</x:v>
      </x:c>
      <x:c r="Q2" s="7" t="str">
        <x:v>①「月次販売入力」の青いセルへ台数を貼り付け → ②表示開始月を変更 → ③国ごとの販売線と、その下の制度帯を比較。グラフは入力後に表示。</x:v>
      </x:c>
      <x:c r="R2" s="7" t="str">
        <x:v>①「月次販売入力」の青いセルへ台数を貼り付け → ②表示開始月を変更 → ③国ごとの販売線と、その下の制度帯を比較。グラフは入力後に表示。</x:v>
      </x:c>
      <x:c r="S2" s="7" t="str">
        <x:v>①「月次販売入力」の青いセルへ台数を貼り付け → ②表示開始月を変更 → ③国ごとの販売線と、その下の制度帯を比較。グラフは入力後に表示。</x:v>
      </x:c>
      <x:c r="T2" s="7" t="str">
        <x:v>①「月次販売入力」の青いセルへ台数を貼り付け → ②表示開始月を変更 → ③国ごとの販売線と、その下の制度帯を比較。グラフは入力後に表示。</x:v>
      </x:c>
      <x:c r="U2" s="7" t="str">
        <x:v>①「月次販売入力」の青いセルへ台数を貼り付け → ②表示開始月を変更 → ③国ごとの販売線と、その下の制度帯を比較。グラフは入力後に表示。</x:v>
      </x:c>
      <x:c r="V2" s="7" t="str">
        <x:v>①「月次販売入力」の青いセルへ台数を貼り付け → ②表示開始月を変更 → ③国ごとの販売線と、その下の制度帯を比較。グラフは入力後に表示。</x:v>
      </x:c>
      <x:c r="W2" s="7" t="str">
        <x:v>①「月次販売入力」の青いセルへ台数を貼り付け → ②表示開始月を変更 → ③国ごとの販売線と、その下の制度帯を比較。グラフは入力後に表示。</x:v>
      </x:c>
      <x:c r="X2" s="7" t="str">
        <x:v>①「月次販売入力」の青いセルへ台数を貼り付け → ②表示開始月を変更 → ③国ごとの販売線と、その下の制度帯を比較。グラフは入力後に表示。</x:v>
      </x:c>
      <x:c r="Y2" s="7" t="str">
        <x:v>①「月次販売入力」の青いセルへ台数を貼り付け → ②表示開始月を変更 → ③国ごとの販売線と、その下の制度帯を比較。グラフは入力後に表示。</x:v>
      </x:c>
      <x:c r="Z2" s="7" t="str">
        <x:v>①「月次販売入力」の青いセルへ台数を貼り付け → ②表示開始月を変更 → ③国ごとの販売線と、その下の制度帯を比較。グラフは入力後に表示。</x:v>
      </x:c>
      <x:c r="AA2" s="7" t="str">
        <x:v>①「月次販売入力」の青いセルへ台数を貼り付け → ②表示開始月を変更 → ③国ごとの販売線と、その下の制度帯を比較。グラフは入力後に表示。</x:v>
      </x:c>
      <x:c r="AB2" s="7" t="str">
        <x:v>①「月次販売入力」の青いセルへ台数を貼り付け → ②表示開始月を変更 → ③国ごとの販売線と、その下の制度帯を比較。グラフは入力後に表示。</x:v>
      </x:c>
      <x:c r="AC2" s="7" t="str">
        <x:v>①「月次販売入力」の青いセルへ台数を貼り付け → ②表示開始月を変更 → ③国ごとの販売線と、その下の制度帯を比較。グラフは入力後に表示。</x:v>
      </x:c>
      <x:c r="AD2" s="7" t="str">
        <x:v>①「月次販売入力」の青いセルへ台数を貼り付け → ②表示開始月を変更 → ③国ごとの販売線と、その下の制度帯を比較。グラフは入力後に表示。</x:v>
      </x:c>
      <x:c r="AE2" s="7" t="str">
        <x:v>①「月次販売入力」の青いセルへ台数を貼り付け → ②表示開始月を変更 → ③国ごとの販売線と、その下の制度帯を比較。グラフは入力後に表示。</x:v>
      </x:c>
      <x:c r="AF2" s="7" t="str">
        <x:v>①「月次販売入力」の青いセルへ台数を貼り付け → ②表示開始月を変更 → ③国ごとの販売線と、その下の制度帯を比較。グラフは入力後に表示。</x:v>
      </x:c>
      <x:c r="AG2" s="7" t="str">
        <x:v>①「月次販売入力」の青いセルへ台数を貼り付け → ②表示開始月を変更 → ③国ごとの販売線と、その下の制度帯を比較。グラフは入力後に表示。</x:v>
      </x:c>
      <x:c r="AH2" s="7" t="str">
        <x:v>①「月次販売入力」の青いセルへ台数を貼り付け → ②表示開始月を変更 → ③国ごとの販売線と、その下の制度帯を比較。グラフは入力後に表示。</x:v>
      </x:c>
      <x:c r="AI2" s="7" t="str">
        <x:v>①「月次販売入力」の青いセルへ台数を貼り付け → ②表示開始月を変更 → ③国ごとの販売線と、その下の制度帯を比較。グラフは入力後に表示。</x:v>
      </x:c>
      <x:c r="AJ2" s="7" t="str">
        <x:v>①「月次販売入力」の青いセルへ台数を貼り付け → ②表示開始月を変更 → ③国ごとの販売線と、その下の制度帯を比較。グラフは入力後に表示。</x:v>
      </x:c>
      <x:c r="AK2" s="7" t="str">
        <x:v>①「月次販売入力」の青いセルへ台数を貼り付け → ②表示開始月を変更 → ③国ごとの販売線と、その下の制度帯を比較。グラフは入力後に表示。</x:v>
      </x:c>
      <x:c r="AL2" s="7" t="str">
        <x:v>①「月次販売入力」の青いセルへ台数を貼り付け → ②表示開始月を変更 → ③国ごとの販売線と、その下の制度帯を比較。グラフは入力後に表示。</x:v>
      </x:c>
      <x:c r="AM2" s="7" t="str">
        <x:v>①「月次販売入力」の青いセルへ台数を貼り付け → ②表示開始月を変更 → ③国ごとの販売線と、その下の制度帯を比較。グラフは入力後に表示。</x:v>
      </x:c>
      <x:c r="AN2" s="7" t="str">
        <x:v>①「月次販売入力」の青いセルへ台数を貼り付け → ②表示開始月を変更 → ③国ごとの販売線と、その下の制度帯を比較。グラフは入力後に表示。</x:v>
      </x:c>
      <x:c r="AO2" s="7" t="str">
        <x:v>①「月次販売入力」の青いセルへ台数を貼り付け → ②表示開始月を変更 → ③国ごとの販売線と、その下の制度帯を比較。グラフは入力後に表示。</x:v>
      </x:c>
      <x:c r="AP2" s="7" t="str">
        <x:v>①「月次販売入力」の青いセルへ台数を貼り付け → ②表示開始月を変更 → ③国ごとの販売線と、その下の制度帯を比較。グラフは入力後に表示。</x:v>
      </x:c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</x:row>
    <x:row r="3" ht="34" customHeight="1">
      <x:c r="A3" s="7" t="str">
        <x:v>■ 期間・期限　◆ 発表／決定　緑＝購入優遇　青＝輸入条件　紫＝生産義務　灰＝登録猶予　薄色＝2026年11月以降の予定　黄＝発表・未確定</x:v>
      </x:c>
      <x:c r="B3" s="7" t="str">
        <x:v>■ 期間・期限　◆ 発表／決定　緑＝購入優遇　青＝輸入条件　紫＝生産義務　灰＝登録猶予　薄色＝2026年11月以降の予定　黄＝発表・未確定</x:v>
      </x:c>
      <x:c r="C3" s="7" t="str">
        <x:v>■ 期間・期限　◆ 発表／決定　緑＝購入優遇　青＝輸入条件　紫＝生産義務　灰＝登録猶予　薄色＝2026年11月以降の予定　黄＝発表・未確定</x:v>
      </x:c>
      <x:c r="D3" s="7" t="str">
        <x:v>■ 期間・期限　◆ 発表／決定　緑＝購入優遇　青＝輸入条件　紫＝生産義務　灰＝登録猶予　薄色＝2026年11月以降の予定　黄＝発表・未確定</x:v>
      </x:c>
      <x:c r="E3" s="7" t="str">
        <x:v>■ 期間・期限　◆ 発表／決定　緑＝購入優遇　青＝輸入条件　紫＝生産義務　灰＝登録猶予　薄色＝2026年11月以降の予定　黄＝発表・未確定</x:v>
      </x:c>
      <x:c r="F3" s="7" t="str">
        <x:v>■ 期間・期限　◆ 発表／決定　緑＝購入優遇　青＝輸入条件　紫＝生産義務　灰＝登録猶予　薄色＝2026年11月以降の予定　黄＝発表・未確定</x:v>
      </x:c>
      <x:c r="G3" s="7" t="str">
        <x:v>■ 期間・期限　◆ 発表／決定　緑＝購入優遇　青＝輸入条件　紫＝生産義務　灰＝登録猶予　薄色＝2026年11月以降の予定　黄＝発表・未確定</x:v>
      </x:c>
      <x:c r="H3" s="7" t="str">
        <x:v>■ 期間・期限　◆ 発表／決定　緑＝購入優遇　青＝輸入条件　紫＝生産義務　灰＝登録猶予　薄色＝2026年11月以降の予定　黄＝発表・未確定</x:v>
      </x:c>
      <x:c r="I3" s="7" t="str">
        <x:v>■ 期間・期限　◆ 発表／決定　緑＝購入優遇　青＝輸入条件　紫＝生産義務　灰＝登録猶予　薄色＝2026年11月以降の予定　黄＝発表・未確定</x:v>
      </x:c>
      <x:c r="J3" s="7" t="str">
        <x:v>■ 期間・期限　◆ 発表／決定　緑＝購入優遇　青＝輸入条件　紫＝生産義務　灰＝登録猶予　薄色＝2026年11月以降の予定　黄＝発表・未確定</x:v>
      </x:c>
      <x:c r="K3" s="7" t="str">
        <x:v>■ 期間・期限　◆ 発表／決定　緑＝購入優遇　青＝輸入条件　紫＝生産義務　灰＝登録猶予　薄色＝2026年11月以降の予定　黄＝発表・未確定</x:v>
      </x:c>
      <x:c r="L3" s="7" t="str">
        <x:v>■ 期間・期限　◆ 発表／決定　緑＝購入優遇　青＝輸入条件　紫＝生産義務　灰＝登録猶予　薄色＝2026年11月以降の予定　黄＝発表・未確定</x:v>
      </x:c>
      <x:c r="M3" s="7" t="str">
        <x:v>■ 期間・期限　◆ 発表／決定　緑＝購入優遇　青＝輸入条件　紫＝生産義務　灰＝登録猶予　薄色＝2026年11月以降の予定　黄＝発表・未確定</x:v>
      </x:c>
      <x:c r="N3" s="7" t="str">
        <x:v>■ 期間・期限　◆ 発表／決定　緑＝購入優遇　青＝輸入条件　紫＝生産義務　灰＝登録猶予　薄色＝2026年11月以降の予定　黄＝発表・未確定</x:v>
      </x:c>
      <x:c r="O3" s="7" t="str">
        <x:v>■ 期間・期限　◆ 発表／決定　緑＝購入優遇　青＝輸入条件　紫＝生産義務　灰＝登録猶予　薄色＝2026年11月以降の予定　黄＝発表・未確定</x:v>
      </x:c>
      <x:c r="P3" s="7" t="str">
        <x:v>■ 期間・期限　◆ 発表／決定　緑＝購入優遇　青＝輸入条件　紫＝生産義務　灰＝登録猶予　薄色＝2026年11月以降の予定　黄＝発表・未確定</x:v>
      </x:c>
      <x:c r="Q3" s="7" t="str">
        <x:v>■ 期間・期限　◆ 発表／決定　緑＝購入優遇　青＝輸入条件　紫＝生産義務　灰＝登録猶予　薄色＝2026年11月以降の予定　黄＝発表・未確定</x:v>
      </x:c>
      <x:c r="R3" s="7" t="str">
        <x:v>■ 期間・期限　◆ 発表／決定　緑＝購入優遇　青＝輸入条件　紫＝生産義務　灰＝登録猶予　薄色＝2026年11月以降の予定　黄＝発表・未確定</x:v>
      </x:c>
      <x:c r="S3" s="7" t="str">
        <x:v>■ 期間・期限　◆ 発表／決定　緑＝購入優遇　青＝輸入条件　紫＝生産義務　灰＝登録猶予　薄色＝2026年11月以降の予定　黄＝発表・未確定</x:v>
      </x:c>
      <x:c r="T3" s="7" t="str">
        <x:v>■ 期間・期限　◆ 発表／決定　緑＝購入優遇　青＝輸入条件　紫＝生産義務　灰＝登録猶予　薄色＝2026年11月以降の予定　黄＝発表・未確定</x:v>
      </x:c>
      <x:c r="U3" s="7" t="str">
        <x:v>■ 期間・期限　◆ 発表／決定　緑＝購入優遇　青＝輸入条件　紫＝生産義務　灰＝登録猶予　薄色＝2026年11月以降の予定　黄＝発表・未確定</x:v>
      </x:c>
      <x:c r="V3" s="7" t="str">
        <x:v>■ 期間・期限　◆ 発表／決定　緑＝購入優遇　青＝輸入条件　紫＝生産義務　灰＝登録猶予　薄色＝2026年11月以降の予定　黄＝発表・未確定</x:v>
      </x:c>
      <x:c r="W3" s="7" t="str">
        <x:v>■ 期間・期限　◆ 発表／決定　緑＝購入優遇　青＝輸入条件　紫＝生産義務　灰＝登録猶予　薄色＝2026年11月以降の予定　黄＝発表・未確定</x:v>
      </x:c>
      <x:c r="X3" s="7" t="str">
        <x:v>■ 期間・期限　◆ 発表／決定　緑＝購入優遇　青＝輸入条件　紫＝生産義務　灰＝登録猶予　薄色＝2026年11月以降の予定　黄＝発表・未確定</x:v>
      </x:c>
      <x:c r="Y3" s="7" t="str">
        <x:v>■ 期間・期限　◆ 発表／決定　緑＝購入優遇　青＝輸入条件　紫＝生産義務　灰＝登録猶予　薄色＝2026年11月以降の予定　黄＝発表・未確定</x:v>
      </x:c>
      <x:c r="Z3" s="7" t="str">
        <x:v>■ 期間・期限　◆ 発表／決定　緑＝購入優遇　青＝輸入条件　紫＝生産義務　灰＝登録猶予　薄色＝2026年11月以降の予定　黄＝発表・未確定</x:v>
      </x:c>
      <x:c r="AA3" s="7" t="str">
        <x:v>■ 期間・期限　◆ 発表／決定　緑＝購入優遇　青＝輸入条件　紫＝生産義務　灰＝登録猶予　薄色＝2026年11月以降の予定　黄＝発表・未確定</x:v>
      </x:c>
      <x:c r="AB3" s="7" t="str">
        <x:v>■ 期間・期限　◆ 発表／決定　緑＝購入優遇　青＝輸入条件　紫＝生産義務　灰＝登録猶予　薄色＝2026年11月以降の予定　黄＝発表・未確定</x:v>
      </x:c>
      <x:c r="AC3" s="7" t="str">
        <x:v>■ 期間・期限　◆ 発表／決定　緑＝購入優遇　青＝輸入条件　紫＝生産義務　灰＝登録猶予　薄色＝2026年11月以降の予定　黄＝発表・未確定</x:v>
      </x:c>
      <x:c r="AD3" s="7" t="str">
        <x:v>■ 期間・期限　◆ 発表／決定　緑＝購入優遇　青＝輸入条件　紫＝生産義務　灰＝登録猶予　薄色＝2026年11月以降の予定　黄＝発表・未確定</x:v>
      </x:c>
      <x:c r="AE3" s="7" t="str">
        <x:v>■ 期間・期限　◆ 発表／決定　緑＝購入優遇　青＝輸入条件　紫＝生産義務　灰＝登録猶予　薄色＝2026年11月以降の予定　黄＝発表・未確定</x:v>
      </x:c>
      <x:c r="AF3" s="7" t="str">
        <x:v>■ 期間・期限　◆ 発表／決定　緑＝購入優遇　青＝輸入条件　紫＝生産義務　灰＝登録猶予　薄色＝2026年11月以降の予定　黄＝発表・未確定</x:v>
      </x:c>
      <x:c r="AG3" s="7" t="str">
        <x:v>■ 期間・期限　◆ 発表／決定　緑＝購入優遇　青＝輸入条件　紫＝生産義務　灰＝登録猶予　薄色＝2026年11月以降の予定　黄＝発表・未確定</x:v>
      </x:c>
      <x:c r="AH3" s="7" t="str">
        <x:v>■ 期間・期限　◆ 発表／決定　緑＝購入優遇　青＝輸入条件　紫＝生産義務　灰＝登録猶予　薄色＝2026年11月以降の予定　黄＝発表・未確定</x:v>
      </x:c>
      <x:c r="AI3" s="7" t="str">
        <x:v>■ 期間・期限　◆ 発表／決定　緑＝購入優遇　青＝輸入条件　紫＝生産義務　灰＝登録猶予　薄色＝2026年11月以降の予定　黄＝発表・未確定</x:v>
      </x:c>
      <x:c r="AJ3" s="7" t="str">
        <x:v>■ 期間・期限　◆ 発表／決定　緑＝購入優遇　青＝輸入条件　紫＝生産義務　灰＝登録猶予　薄色＝2026年11月以降の予定　黄＝発表・未確定</x:v>
      </x:c>
      <x:c r="AK3" s="7" t="str">
        <x:v>■ 期間・期限　◆ 発表／決定　緑＝購入優遇　青＝輸入条件　紫＝生産義務　灰＝登録猶予　薄色＝2026年11月以降の予定　黄＝発表・未確定</x:v>
      </x:c>
      <x:c r="AL3" s="7" t="str">
        <x:v>■ 期間・期限　◆ 発表／決定　緑＝購入優遇　青＝輸入条件　紫＝生産義務　灰＝登録猶予　薄色＝2026年11月以降の予定　黄＝発表・未確定</x:v>
      </x:c>
      <x:c r="AM3" s="7" t="str">
        <x:v>■ 期間・期限　◆ 発表／決定　緑＝購入優遇　青＝輸入条件　紫＝生産義務　灰＝登録猶予　薄色＝2026年11月以降の予定　黄＝発表・未確定</x:v>
      </x:c>
      <x:c r="AN3" s="7" t="str">
        <x:v>■ 期間・期限　◆ 発表／決定　緑＝購入優遇　青＝輸入条件　紫＝生産義務　灰＝登録猶予　薄色＝2026年11月以降の予定　黄＝発表・未確定</x:v>
      </x:c>
      <x:c r="AO3" s="7" t="str">
        <x:v>■ 期間・期限　◆ 発表／決定　緑＝購入優遇　青＝輸入条件　紫＝生産義務　灰＝登録猶予　薄色＝2026年11月以降の予定　黄＝発表・未確定</x:v>
      </x:c>
      <x:c r="AP3" s="7" t="str">
        <x:v>■ 期間・期限　◆ 発表／決定　緑＝購入優遇　青＝輸入条件　紫＝生産義務　灰＝登録猶予　薄色＝2026年11月以降の予定　黄＝発表・未確定</x:v>
      </x:c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</x:row>
    <x:row r="5" ht="34" customHeight="1">
      <x:c r="A5" s="1" t="str">
        <x:v>表示開始月（編集可）</x:v>
      </x:c>
      <x:c r="B5" s="1"/>
      <x:c r="C5" s="1"/>
      <x:c r="D5" s="1"/>
      <x:c r="E5" s="29" t="d">
        <x:v>2024-01-01T00:00:00.000Z</x:v>
      </x:c>
      <x:c r="F5" s="28"/>
      <x:c r="G5" s="28"/>
      <x:c r="H5" s="28"/>
      <x:c r="I5" s="1"/>
      <x:c r="J5" s="7" t="str">
        <x:v>表示幅＝36か月｜選択可能：2020/01〜2025/01｜各国の縦軸は別スケール。帯は作用の強さ・販売増の証明ではない。</x:v>
      </x:c>
      <x:c r="K5" s="7" t="str">
        <x:v>表示幅＝36か月｜選択可能：2020/01〜2025/01｜各国の縦軸は別スケール。帯は作用の強さ・販売増の証明ではない。</x:v>
      </x:c>
      <x:c r="L5" s="7" t="str">
        <x:v>表示幅＝36か月｜選択可能：2020/01〜2025/01｜各国の縦軸は別スケール。帯は作用の強さ・販売増の証明ではない。</x:v>
      </x:c>
      <x:c r="M5" s="7" t="str">
        <x:v>表示幅＝36か月｜選択可能：2020/01〜2025/01｜各国の縦軸は別スケール。帯は作用の強さ・販売増の証明ではない。</x:v>
      </x:c>
      <x:c r="N5" s="7" t="str">
        <x:v>表示幅＝36か月｜選択可能：2020/01〜2025/01｜各国の縦軸は別スケール。帯は作用の強さ・販売増の証明ではない。</x:v>
      </x:c>
      <x:c r="O5" s="7" t="str">
        <x:v>表示幅＝36か月｜選択可能：2020/01〜2025/01｜各国の縦軸は別スケール。帯は作用の強さ・販売増の証明ではない。</x:v>
      </x:c>
      <x:c r="P5" s="7" t="str">
        <x:v>表示幅＝36か月｜選択可能：2020/01〜2025/01｜各国の縦軸は別スケール。帯は作用の強さ・販売増の証明ではない。</x:v>
      </x:c>
      <x:c r="Q5" s="7" t="str">
        <x:v>表示幅＝36か月｜選択可能：2020/01〜2025/01｜各国の縦軸は別スケール。帯は作用の強さ・販売増の証明ではない。</x:v>
      </x:c>
      <x:c r="R5" s="7" t="str">
        <x:v>表示幅＝36か月｜選択可能：2020/01〜2025/01｜各国の縦軸は別スケール。帯は作用の強さ・販売増の証明ではない。</x:v>
      </x:c>
      <x:c r="S5" s="7" t="str">
        <x:v>表示幅＝36か月｜選択可能：2020/01〜2025/01｜各国の縦軸は別スケール。帯は作用の強さ・販売増の証明ではない。</x:v>
      </x:c>
      <x:c r="T5" s="7" t="str">
        <x:v>表示幅＝36か月｜選択可能：2020/01〜2025/01｜各国の縦軸は別スケール。帯は作用の強さ・販売増の証明ではない。</x:v>
      </x:c>
      <x:c r="U5" s="7" t="str">
        <x:v>表示幅＝36か月｜選択可能：2020/01〜2025/01｜各国の縦軸は別スケール。帯は作用の強さ・販売増の証明ではない。</x:v>
      </x:c>
      <x:c r="V5" s="7" t="str">
        <x:v>表示幅＝36か月｜選択可能：2020/01〜2025/01｜各国の縦軸は別スケール。帯は作用の強さ・販売増の証明ではない。</x:v>
      </x:c>
      <x:c r="W5" s="7" t="str">
        <x:v>表示幅＝36か月｜選択可能：2020/01〜2025/01｜各国の縦軸は別スケール。帯は作用の強さ・販売増の証明ではない。</x:v>
      </x:c>
      <x:c r="X5" s="7" t="str">
        <x:v>表示幅＝36か月｜選択可能：2020/01〜2025/01｜各国の縦軸は別スケール。帯は作用の強さ・販売増の証明ではない。</x:v>
      </x:c>
      <x:c r="Y5" s="7" t="str">
        <x:v>表示幅＝36か月｜選択可能：2020/01〜2025/01｜各国の縦軸は別スケール。帯は作用の強さ・販売増の証明ではない。</x:v>
      </x:c>
      <x:c r="Z5" s="7" t="str">
        <x:v>表示幅＝36か月｜選択可能：2020/01〜2025/01｜各国の縦軸は別スケール。帯は作用の強さ・販売増の証明ではない。</x:v>
      </x:c>
      <x:c r="AA5" s="7" t="str">
        <x:v>表示幅＝36か月｜選択可能：2020/01〜2025/01｜各国の縦軸は別スケール。帯は作用の強さ・販売増の証明ではない。</x:v>
      </x:c>
      <x:c r="AB5" s="7" t="str">
        <x:v>表示幅＝36か月｜選択可能：2020/01〜2025/01｜各国の縦軸は別スケール。帯は作用の強さ・販売増の証明ではない。</x:v>
      </x:c>
      <x:c r="AC5" s="7" t="str">
        <x:v>表示幅＝36か月｜選択可能：2020/01〜2025/01｜各国の縦軸は別スケール。帯は作用の強さ・販売増の証明ではない。</x:v>
      </x:c>
      <x:c r="AD5" s="7" t="str">
        <x:v>表示幅＝36か月｜選択可能：2020/01〜2025/01｜各国の縦軸は別スケール。帯は作用の強さ・販売増の証明ではない。</x:v>
      </x:c>
      <x:c r="AE5" s="7" t="str">
        <x:v>表示幅＝36か月｜選択可能：2020/01〜2025/01｜各国の縦軸は別スケール。帯は作用の強さ・販売増の証明ではない。</x:v>
      </x:c>
      <x:c r="AF5" s="7" t="str">
        <x:v>表示幅＝36か月｜選択可能：2020/01〜2025/01｜各国の縦軸は別スケール。帯は作用の強さ・販売増の証明ではない。</x:v>
      </x:c>
      <x:c r="AG5" s="7" t="str">
        <x:v>表示幅＝36か月｜選択可能：2020/01〜2025/01｜各国の縦軸は別スケール。帯は作用の強さ・販売増の証明ではない。</x:v>
      </x:c>
      <x:c r="AH5" s="7" t="str">
        <x:v>表示幅＝36か月｜選択可能：2020/01〜2025/01｜各国の縦軸は別スケール。帯は作用の強さ・販売増の証明ではない。</x:v>
      </x:c>
      <x:c r="AI5" s="7" t="str">
        <x:v>表示幅＝36か月｜選択可能：2020/01〜2025/01｜各国の縦軸は別スケール。帯は作用の強さ・販売増の証明ではない。</x:v>
      </x:c>
      <x:c r="AJ5" s="7" t="str">
        <x:v>表示幅＝36か月｜選択可能：2020/01〜2025/01｜各国の縦軸は別スケール。帯は作用の強さ・販売増の証明ではない。</x:v>
      </x:c>
      <x:c r="AK5" s="7" t="str">
        <x:v>表示幅＝36か月｜選択可能：2020/01〜2025/01｜各国の縦軸は別スケール。帯は作用の強さ・販売増の証明ではない。</x:v>
      </x:c>
      <x:c r="AL5" s="7" t="str">
        <x:v>表示幅＝36か月｜選択可能：2020/01〜2025/01｜各国の縦軸は別スケール。帯は作用の強さ・販売増の証明ではない。</x:v>
      </x:c>
      <x:c r="AM5" s="7" t="str">
        <x:v>表示幅＝36か月｜選択可能：2020/01〜2025/01｜各国の縦軸は別スケール。帯は作用の強さ・販売増の証明ではない。</x:v>
      </x:c>
      <x:c r="AN5" s="7" t="str">
        <x:v>表示幅＝36か月｜選択可能：2020/01〜2025/01｜各国の縦軸は別スケール。帯は作用の強さ・販売増の証明ではない。</x:v>
      </x:c>
      <x:c r="AO5" s="7" t="str">
        <x:v>表示幅＝36か月｜選択可能：2020/01〜2025/01｜各国の縦軸は別スケール。帯は作用の強さ・販売増の証明ではない。</x:v>
      </x:c>
      <x:c r="AP5" s="7" t="str">
        <x:v>表示幅＝36か月｜選択可能：2020/01〜2025/01｜各国の縦軸は別スケール。帯は作用の強さ・販売増の証明ではない。</x:v>
      </x:c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</x:row>
    <x:row r="6" ht="34" customHeight="1">
      <x:c r="A6" s="7" t="str">
        <x:v>見方：①公表後の買い控え ②開始後の価格転嫁 ③終了前3か月の前倒し ④終了後3か月の反動。前年比、適格/非適格、CBU/CKD、モデル投入も併読。</x:v>
      </x:c>
      <x:c r="B6" s="7" t="str">
        <x:v>見方：①公表後の買い控え ②開始後の価格転嫁 ③終了前3か月の前倒し ④終了後3か月の反動。前年比、適格/非適格、CBU/CKD、モデル投入も併読。</x:v>
      </x:c>
      <x:c r="C6" s="7" t="str">
        <x:v>見方：①公表後の買い控え ②開始後の価格転嫁 ③終了前3か月の前倒し ④終了後3か月の反動。前年比、適格/非適格、CBU/CKD、モデル投入も併読。</x:v>
      </x:c>
      <x:c r="D6" s="7" t="str">
        <x:v>見方：①公表後の買い控え ②開始後の価格転嫁 ③終了前3か月の前倒し ④終了後3か月の反動。前年比、適格/非適格、CBU/CKD、モデル投入も併読。</x:v>
      </x:c>
      <x:c r="E6" s="7" t="str">
        <x:v>見方：①公表後の買い控え ②開始後の価格転嫁 ③終了前3か月の前倒し ④終了後3か月の反動。前年比、適格/非適格、CBU/CKD、モデル投入も併読。</x:v>
      </x:c>
      <x:c r="F6" s="7" t="str">
        <x:v>見方：①公表後の買い控え ②開始後の価格転嫁 ③終了前3か月の前倒し ④終了後3か月の反動。前年比、適格/非適格、CBU/CKD、モデル投入も併読。</x:v>
      </x:c>
      <x:c r="G6" s="7" t="str">
        <x:v>見方：①公表後の買い控え ②開始後の価格転嫁 ③終了前3か月の前倒し ④終了後3か月の反動。前年比、適格/非適格、CBU/CKD、モデル投入も併読。</x:v>
      </x:c>
      <x:c r="H6" s="7" t="str">
        <x:v>見方：①公表後の買い控え ②開始後の価格転嫁 ③終了前3か月の前倒し ④終了後3か月の反動。前年比、適格/非適格、CBU/CKD、モデル投入も併読。</x:v>
      </x:c>
      <x:c r="I6" s="7" t="str">
        <x:v>見方：①公表後の買い控え ②開始後の価格転嫁 ③終了前3か月の前倒し ④終了後3か月の反動。前年比、適格/非適格、CBU/CKD、モデル投入も併読。</x:v>
      </x:c>
      <x:c r="J6" s="7" t="str">
        <x:v>見方：①公表後の買い控え ②開始後の価格転嫁 ③終了前3か月の前倒し ④終了後3か月の反動。前年比、適格/非適格、CBU/CKD、モデル投入も併読。</x:v>
      </x:c>
      <x:c r="K6" s="7" t="str">
        <x:v>見方：①公表後の買い控え ②開始後の価格転嫁 ③終了前3か月の前倒し ④終了後3か月の反動。前年比、適格/非適格、CBU/CKD、モデル投入も併読。</x:v>
      </x:c>
      <x:c r="L6" s="7" t="str">
        <x:v>見方：①公表後の買い控え ②開始後の価格転嫁 ③終了前3か月の前倒し ④終了後3か月の反動。前年比、適格/非適格、CBU/CKD、モデル投入も併読。</x:v>
      </x:c>
      <x:c r="M6" s="7" t="str">
        <x:v>見方：①公表後の買い控え ②開始後の価格転嫁 ③終了前3か月の前倒し ④終了後3か月の反動。前年比、適格/非適格、CBU/CKD、モデル投入も併読。</x:v>
      </x:c>
      <x:c r="N6" s="7" t="str">
        <x:v>見方：①公表後の買い控え ②開始後の価格転嫁 ③終了前3か月の前倒し ④終了後3か月の反動。前年比、適格/非適格、CBU/CKD、モデル投入も併読。</x:v>
      </x:c>
      <x:c r="O6" s="7" t="str">
        <x:v>見方：①公表後の買い控え ②開始後の価格転嫁 ③終了前3か月の前倒し ④終了後3か月の反動。前年比、適格/非適格、CBU/CKD、モデル投入も併読。</x:v>
      </x:c>
      <x:c r="P6" s="7" t="str">
        <x:v>見方：①公表後の買い控え ②開始後の価格転嫁 ③終了前3か月の前倒し ④終了後3か月の反動。前年比、適格/非適格、CBU/CKD、モデル投入も併読。</x:v>
      </x:c>
      <x:c r="Q6" s="7" t="str">
        <x:v>見方：①公表後の買い控え ②開始後の価格転嫁 ③終了前3か月の前倒し ④終了後3か月の反動。前年比、適格/非適格、CBU/CKD、モデル投入も併読。</x:v>
      </x:c>
      <x:c r="R6" s="7" t="str">
        <x:v>見方：①公表後の買い控え ②開始後の価格転嫁 ③終了前3か月の前倒し ④終了後3か月の反動。前年比、適格/非適格、CBU/CKD、モデル投入も併読。</x:v>
      </x:c>
      <x:c r="S6" s="7" t="str">
        <x:v>見方：①公表後の買い控え ②開始後の価格転嫁 ③終了前3か月の前倒し ④終了後3か月の反動。前年比、適格/非適格、CBU/CKD、モデル投入も併読。</x:v>
      </x:c>
      <x:c r="T6" s="7" t="str">
        <x:v>見方：①公表後の買い控え ②開始後の価格転嫁 ③終了前3か月の前倒し ④終了後3か月の反動。前年比、適格/非適格、CBU/CKD、モデル投入も併読。</x:v>
      </x:c>
      <x:c r="U6" s="7" t="str">
        <x:v>見方：①公表後の買い控え ②開始後の価格転嫁 ③終了前3か月の前倒し ④終了後3か月の反動。前年比、適格/非適格、CBU/CKD、モデル投入も併読。</x:v>
      </x:c>
      <x:c r="V6" s="7" t="str">
        <x:v>見方：①公表後の買い控え ②開始後の価格転嫁 ③終了前3か月の前倒し ④終了後3か月の反動。前年比、適格/非適格、CBU/CKD、モデル投入も併読。</x:v>
      </x:c>
      <x:c r="W6" s="7" t="str">
        <x:v>見方：①公表後の買い控え ②開始後の価格転嫁 ③終了前3か月の前倒し ④終了後3か月の反動。前年比、適格/非適格、CBU/CKD、モデル投入も併読。</x:v>
      </x:c>
      <x:c r="X6" s="7" t="str">
        <x:v>見方：①公表後の買い控え ②開始後の価格転嫁 ③終了前3か月の前倒し ④終了後3か月の反動。前年比、適格/非適格、CBU/CKD、モデル投入も併読。</x:v>
      </x:c>
      <x:c r="Y6" s="7" t="str">
        <x:v>見方：①公表後の買い控え ②開始後の価格転嫁 ③終了前3か月の前倒し ④終了後3か月の反動。前年比、適格/非適格、CBU/CKD、モデル投入も併読。</x:v>
      </x:c>
      <x:c r="Z6" s="7" t="str">
        <x:v>見方：①公表後の買い控え ②開始後の価格転嫁 ③終了前3か月の前倒し ④終了後3か月の反動。前年比、適格/非適格、CBU/CKD、モデル投入も併読。</x:v>
      </x:c>
      <x:c r="AA6" s="7" t="str">
        <x:v>見方：①公表後の買い控え ②開始後の価格転嫁 ③終了前3か月の前倒し ④終了後3か月の反動。前年比、適格/非適格、CBU/CKD、モデル投入も併読。</x:v>
      </x:c>
      <x:c r="AB6" s="7" t="str">
        <x:v>見方：①公表後の買い控え ②開始後の価格転嫁 ③終了前3か月の前倒し ④終了後3か月の反動。前年比、適格/非適格、CBU/CKD、モデル投入も併読。</x:v>
      </x:c>
      <x:c r="AC6" s="7" t="str">
        <x:v>見方：①公表後の買い控え ②開始後の価格転嫁 ③終了前3か月の前倒し ④終了後3か月の反動。前年比、適格/非適格、CBU/CKD、モデル投入も併読。</x:v>
      </x:c>
      <x:c r="AD6" s="7" t="str">
        <x:v>見方：①公表後の買い控え ②開始後の価格転嫁 ③終了前3か月の前倒し ④終了後3か月の反動。前年比、適格/非適格、CBU/CKD、モデル投入も併読。</x:v>
      </x:c>
      <x:c r="AE6" s="7" t="str">
        <x:v>見方：①公表後の買い控え ②開始後の価格転嫁 ③終了前3か月の前倒し ④終了後3か月の反動。前年比、適格/非適格、CBU/CKD、モデル投入も併読。</x:v>
      </x:c>
      <x:c r="AF6" s="7" t="str">
        <x:v>見方：①公表後の買い控え ②開始後の価格転嫁 ③終了前3か月の前倒し ④終了後3か月の反動。前年比、適格/非適格、CBU/CKD、モデル投入も併読。</x:v>
      </x:c>
      <x:c r="AG6" s="7" t="str">
        <x:v>見方：①公表後の買い控え ②開始後の価格転嫁 ③終了前3か月の前倒し ④終了後3か月の反動。前年比、適格/非適格、CBU/CKD、モデル投入も併読。</x:v>
      </x:c>
      <x:c r="AH6" s="7" t="str">
        <x:v>見方：①公表後の買い控え ②開始後の価格転嫁 ③終了前3か月の前倒し ④終了後3か月の反動。前年比、適格/非適格、CBU/CKD、モデル投入も併読。</x:v>
      </x:c>
      <x:c r="AI6" s="7" t="str">
        <x:v>見方：①公表後の買い控え ②開始後の価格転嫁 ③終了前3か月の前倒し ④終了後3か月の反動。前年比、適格/非適格、CBU/CKD、モデル投入も併読。</x:v>
      </x:c>
      <x:c r="AJ6" s="7" t="str">
        <x:v>見方：①公表後の買い控え ②開始後の価格転嫁 ③終了前3か月の前倒し ④終了後3か月の反動。前年比、適格/非適格、CBU/CKD、モデル投入も併読。</x:v>
      </x:c>
      <x:c r="AK6" s="7" t="str">
        <x:v>見方：①公表後の買い控え ②開始後の価格転嫁 ③終了前3か月の前倒し ④終了後3か月の反動。前年比、適格/非適格、CBU/CKD、モデル投入も併読。</x:v>
      </x:c>
      <x:c r="AL6" s="7" t="str">
        <x:v>見方：①公表後の買い控え ②開始後の価格転嫁 ③終了前3か月の前倒し ④終了後3か月の反動。前年比、適格/非適格、CBU/CKD、モデル投入も併読。</x:v>
      </x:c>
      <x:c r="AM6" s="7" t="str">
        <x:v>見方：①公表後の買い控え ②開始後の価格転嫁 ③終了前3か月の前倒し ④終了後3か月の反動。前年比、適格/非適格、CBU/CKD、モデル投入も併読。</x:v>
      </x:c>
      <x:c r="AN6" s="7" t="str">
        <x:v>見方：①公表後の買い控え ②開始後の価格転嫁 ③終了前3か月の前倒し ④終了後3か月の反動。前年比、適格/非適格、CBU/CKD、モデル投入も併読。</x:v>
      </x:c>
      <x:c r="AO6" s="7" t="str">
        <x:v>見方：①公表後の買い控え ②開始後の価格転嫁 ③終了前3か月の前倒し ④終了後3か月の反動。前年比、適格/非適格、CBU/CKD、モデル投入も併読。</x:v>
      </x:c>
      <x:c r="AP6" s="7" t="str">
        <x:v>見方：①公表後の買い控え ②開始後の価格転嫁 ③終了前3か月の前倒し ④終了後3か月の反動。前年比、適格/非適格、CBU/CKD、モデル投入も併読。</x:v>
      </x:c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</x:row>
    <x:row r="8" ht="38" customHeight="1">
      <x:c r="A8" s="4" t="str">
        <x:v>01  タイ</x:v>
      </x:c>
      <x:c r="B8" s="4" t="str">
        <x:v>01  タイ</x:v>
      </x:c>
      <x:c r="C8" s="4" t="str">
        <x:v>01  タイ</x:v>
      </x:c>
      <x:c r="D8" s="4" t="str">
        <x:v>01  タイ</x:v>
      </x:c>
      <x:c r="E8" s="4" t="str">
        <x:v>01  タイ</x:v>
      </x:c>
      <x:c r="F8" s="4" t="str">
        <x:v>01  タイ</x:v>
      </x:c>
      <x:c r="G8" s="4" t="str">
        <x:v>01  タイ</x:v>
      </x:c>
      <x:c r="H8" s="4" t="str">
        <x:v>01  タイ</x:v>
      </x:c>
      <x:c r="I8" s="4" t="str">
        <x:v>01  タイ</x:v>
      </x:c>
      <x:c r="J8" s="4" t="str">
        <x:v>01  タイ</x:v>
      </x:c>
      <x:c r="K8" s="4" t="str">
        <x:v>01  タイ</x:v>
      </x:c>
      <x:c r="L8" s="4" t="str">
        <x:v>01  タイ</x:v>
      </x:c>
      <x:c r="M8" s="4" t="str">
        <x:v>01  タイ</x:v>
      </x:c>
      <x:c r="N8" s="4" t="str">
        <x:v>01  タイ</x:v>
      </x:c>
      <x:c r="O8" s="4" t="str">
        <x:v>01  タイ</x:v>
      </x:c>
      <x:c r="P8" s="4" t="str">
        <x:v>01  タイ</x:v>
      </x:c>
      <x:c r="Q8" s="4" t="str">
        <x:v>01  タイ</x:v>
      </x:c>
      <x:c r="R8" s="4" t="str">
        <x:v>01  タイ</x:v>
      </x:c>
      <x:c r="S8" s="4" t="str">
        <x:v>01  タイ</x:v>
      </x:c>
      <x:c r="T8" s="4" t="str">
        <x:v>01  タイ</x:v>
      </x:c>
      <x:c r="U8" s="4" t="str">
        <x:v>01  タイ</x:v>
      </x:c>
      <x:c r="V8" s="4" t="str">
        <x:v>01  タイ</x:v>
      </x:c>
      <x:c r="W8" s="4" t="str">
        <x:v>01  タイ</x:v>
      </x:c>
      <x:c r="X8" s="4" t="str">
        <x:v>01  タイ</x:v>
      </x:c>
      <x:c r="Y8" s="4" t="str">
        <x:v>01  タイ</x:v>
      </x:c>
      <x:c r="Z8" s="4" t="str">
        <x:v>01  タイ</x:v>
      </x:c>
      <x:c r="AA8" s="4" t="str">
        <x:v>01  タイ</x:v>
      </x:c>
      <x:c r="AB8" s="4" t="str">
        <x:v>01  タイ</x:v>
      </x:c>
      <x:c r="AC8" s="4" t="str">
        <x:v>01  タイ</x:v>
      </x:c>
      <x:c r="AD8" s="4" t="str">
        <x:v>01  タイ</x:v>
      </x:c>
      <x:c r="AE8" s="4" t="str">
        <x:v>01  タイ</x:v>
      </x:c>
      <x:c r="AF8" s="4" t="str">
        <x:v>01  タイ</x:v>
      </x:c>
      <x:c r="AG8" s="4" t="str">
        <x:v>01  タイ</x:v>
      </x:c>
      <x:c r="AH8" s="4" t="str">
        <x:v>01  タイ</x:v>
      </x:c>
      <x:c r="AI8" s="4" t="str">
        <x:v>01  タイ</x:v>
      </x:c>
      <x:c r="AJ8" s="4" t="str">
        <x:v>01  タイ</x:v>
      </x:c>
      <x:c r="AK8" s="4" t="str">
        <x:v>01  タイ</x:v>
      </x:c>
      <x:c r="AL8" s="4" t="str">
        <x:v>01  タイ</x:v>
      </x:c>
      <x:c r="AM8" s="4" t="str">
        <x:v>01  タイ</x:v>
      </x:c>
      <x:c r="AN8" s="4" t="str">
        <x:v>01  タイ</x:v>
      </x:c>
      <x:c r="AO8" s="4" t="str">
        <x:v>01  タイ</x:v>
      </x:c>
      <x:c r="AP8" s="4" t="str">
        <x:v>01  タイ</x:v>
      </x:c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</x:row>
    <x:row r="9" ht="34" customHeight="1">
      <x:c r="A9" s="7" t="str">
        <x:v>販売系列：初期値はBEV/HEV/ICE。販売未入力のため線なし。台数・統計範囲をそろえ、制度の対象条件と照合する。</x:v>
      </x:c>
      <x:c r="B9" s="7" t="str">
        <x:v>販売系列：初期値はBEV/HEV/ICE。販売未入力のため線なし。台数・統計範囲をそろえ、制度の対象条件と照合する。</x:v>
      </x:c>
      <x:c r="C9" s="7" t="str">
        <x:v>販売系列：初期値はBEV/HEV/ICE。販売未入力のため線なし。台数・統計範囲をそろえ、制度の対象条件と照合する。</x:v>
      </x:c>
      <x:c r="D9" s="7" t="str">
        <x:v>販売系列：初期値はBEV/HEV/ICE。販売未入力のため線なし。台数・統計範囲をそろえ、制度の対象条件と照合する。</x:v>
      </x:c>
      <x:c r="E9" s="7" t="str">
        <x:v>販売系列：初期値はBEV/HEV/ICE。販売未入力のため線なし。台数・統計範囲をそろえ、制度の対象条件と照合する。</x:v>
      </x:c>
      <x:c r="F9" s="7" t="str">
        <x:v>販売系列：初期値はBEV/HEV/ICE。販売未入力のため線なし。台数・統計範囲をそろえ、制度の対象条件と照合する。</x:v>
      </x:c>
      <x:c r="G9" s="7" t="str">
        <x:v>販売系列：初期値はBEV/HEV/ICE。販売未入力のため線なし。台数・統計範囲をそろえ、制度の対象条件と照合する。</x:v>
      </x:c>
      <x:c r="H9" s="7" t="str">
        <x:v>販売系列：初期値はBEV/HEV/ICE。販売未入力のため線なし。台数・統計範囲をそろえ、制度の対象条件と照合する。</x:v>
      </x:c>
      <x:c r="I9" s="7" t="str">
        <x:v>販売系列：初期値はBEV/HEV/ICE。販売未入力のため線なし。台数・統計範囲をそろえ、制度の対象条件と照合する。</x:v>
      </x:c>
      <x:c r="J9" s="7" t="str">
        <x:v>販売系列：初期値はBEV/HEV/ICE。販売未入力のため線なし。台数・統計範囲をそろえ、制度の対象条件と照合する。</x:v>
      </x:c>
      <x:c r="K9" s="7" t="str">
        <x:v>販売系列：初期値はBEV/HEV/ICE。販売未入力のため線なし。台数・統計範囲をそろえ、制度の対象条件と照合する。</x:v>
      </x:c>
      <x:c r="L9" s="7" t="str">
        <x:v>販売系列：初期値はBEV/HEV/ICE。販売未入力のため線なし。台数・統計範囲をそろえ、制度の対象条件と照合する。</x:v>
      </x:c>
      <x:c r="M9" s="7" t="str">
        <x:v>販売系列：初期値はBEV/HEV/ICE。販売未入力のため線なし。台数・統計範囲をそろえ、制度の対象条件と照合する。</x:v>
      </x:c>
      <x:c r="N9" s="7" t="str">
        <x:v>販売系列：初期値はBEV/HEV/ICE。販売未入力のため線なし。台数・統計範囲をそろえ、制度の対象条件と照合する。</x:v>
      </x:c>
      <x:c r="O9" s="7" t="str">
        <x:v>販売系列：初期値はBEV/HEV/ICE。販売未入力のため線なし。台数・統計範囲をそろえ、制度の対象条件と照合する。</x:v>
      </x:c>
      <x:c r="P9" s="7" t="str">
        <x:v>販売系列：初期値はBEV/HEV/ICE。販売未入力のため線なし。台数・統計範囲をそろえ、制度の対象条件と照合する。</x:v>
      </x:c>
      <x:c r="Q9" s="7" t="str">
        <x:v>販売系列：初期値はBEV/HEV/ICE。販売未入力のため線なし。台数・統計範囲をそろえ、制度の対象条件と照合する。</x:v>
      </x:c>
      <x:c r="R9" s="7" t="str">
        <x:v>販売系列：初期値はBEV/HEV/ICE。販売未入力のため線なし。台数・統計範囲をそろえ、制度の対象条件と照合する。</x:v>
      </x:c>
      <x:c r="S9" s="7" t="str">
        <x:v>販売系列：初期値はBEV/HEV/ICE。販売未入力のため線なし。台数・統計範囲をそろえ、制度の対象条件と照合する。</x:v>
      </x:c>
      <x:c r="T9" s="7" t="str">
        <x:v>販売系列：初期値はBEV/HEV/ICE。販売未入力のため線なし。台数・統計範囲をそろえ、制度の対象条件と照合する。</x:v>
      </x:c>
      <x:c r="U9" s="7" t="str">
        <x:v>販売系列：初期値はBEV/HEV/ICE。販売未入力のため線なし。台数・統計範囲をそろえ、制度の対象条件と照合する。</x:v>
      </x:c>
      <x:c r="V9" s="7" t="str">
        <x:v>販売系列：初期値はBEV/HEV/ICE。販売未入力のため線なし。台数・統計範囲をそろえ、制度の対象条件と照合する。</x:v>
      </x:c>
      <x:c r="W9" s="7" t="str">
        <x:v>販売系列：初期値はBEV/HEV/ICE。販売未入力のため線なし。台数・統計範囲をそろえ、制度の対象条件と照合する。</x:v>
      </x:c>
      <x:c r="X9" s="7" t="str">
        <x:v>販売系列：初期値はBEV/HEV/ICE。販売未入力のため線なし。台数・統計範囲をそろえ、制度の対象条件と照合する。</x:v>
      </x:c>
      <x:c r="Y9" s="7" t="str">
        <x:v>販売系列：初期値はBEV/HEV/ICE。販売未入力のため線なし。台数・統計範囲をそろえ、制度の対象条件と照合する。</x:v>
      </x:c>
      <x:c r="Z9" s="7" t="str">
        <x:v>販売系列：初期値はBEV/HEV/ICE。販売未入力のため線なし。台数・統計範囲をそろえ、制度の対象条件と照合する。</x:v>
      </x:c>
      <x:c r="AA9" s="7" t="str">
        <x:v>販売系列：初期値はBEV/HEV/ICE。販売未入力のため線なし。台数・統計範囲をそろえ、制度の対象条件と照合する。</x:v>
      </x:c>
      <x:c r="AB9" s="7" t="str">
        <x:v>販売系列：初期値はBEV/HEV/ICE。販売未入力のため線なし。台数・統計範囲をそろえ、制度の対象条件と照合する。</x:v>
      </x:c>
      <x:c r="AC9" s="7" t="str">
        <x:v>販売系列：初期値はBEV/HEV/ICE。販売未入力のため線なし。台数・統計範囲をそろえ、制度の対象条件と照合する。</x:v>
      </x:c>
      <x:c r="AD9" s="7" t="str">
        <x:v>販売系列：初期値はBEV/HEV/ICE。販売未入力のため線なし。台数・統計範囲をそろえ、制度の対象条件と照合する。</x:v>
      </x:c>
      <x:c r="AE9" s="7" t="str">
        <x:v>販売系列：初期値はBEV/HEV/ICE。販売未入力のため線なし。台数・統計範囲をそろえ、制度の対象条件と照合する。</x:v>
      </x:c>
      <x:c r="AF9" s="7" t="str">
        <x:v>販売系列：初期値はBEV/HEV/ICE。販売未入力のため線なし。台数・統計範囲をそろえ、制度の対象条件と照合する。</x:v>
      </x:c>
      <x:c r="AG9" s="7" t="str">
        <x:v>販売系列：初期値はBEV/HEV/ICE。販売未入力のため線なし。台数・統計範囲をそろえ、制度の対象条件と照合する。</x:v>
      </x:c>
      <x:c r="AH9" s="7" t="str">
        <x:v>販売系列：初期値はBEV/HEV/ICE。販売未入力のため線なし。台数・統計範囲をそろえ、制度の対象条件と照合する。</x:v>
      </x:c>
      <x:c r="AI9" s="7" t="str">
        <x:v>販売系列：初期値はBEV/HEV/ICE。販売未入力のため線なし。台数・統計範囲をそろえ、制度の対象条件と照合する。</x:v>
      </x:c>
      <x:c r="AJ9" s="7" t="str">
        <x:v>販売系列：初期値はBEV/HEV/ICE。販売未入力のため線なし。台数・統計範囲をそろえ、制度の対象条件と照合する。</x:v>
      </x:c>
      <x:c r="AK9" s="7" t="str">
        <x:v>販売系列：初期値はBEV/HEV/ICE。販売未入力のため線なし。台数・統計範囲をそろえ、制度の対象条件と照合する。</x:v>
      </x:c>
      <x:c r="AL9" s="7" t="str">
        <x:v>販売系列：初期値はBEV/HEV/ICE。販売未入力のため線なし。台数・統計範囲をそろえ、制度の対象条件と照合する。</x:v>
      </x:c>
      <x:c r="AM9" s="7" t="str">
        <x:v>販売系列：初期値はBEV/HEV/ICE。販売未入力のため線なし。台数・統計範囲をそろえ、制度の対象条件と照合する。</x:v>
      </x:c>
      <x:c r="AN9" s="7" t="str">
        <x:v>販売系列：初期値はBEV/HEV/ICE。販売未入力のため線なし。台数・統計範囲をそろえ、制度の対象条件と照合する。</x:v>
      </x:c>
      <x:c r="AO9" s="7" t="str">
        <x:v>販売系列：初期値はBEV/HEV/ICE。販売未入力のため線なし。台数・統計範囲をそろえ、制度の対象条件と照合する。</x:v>
      </x:c>
      <x:c r="AP9" s="7" t="str">
        <x:v>販売系列：初期値はBEV/HEV/ICE。販売未入力のため線なし。台数・統計範囲をそろえ、制度の対象条件と照合する。</x:v>
      </x:c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</x:row>
    <x:row r="10" ht="23" customHeight="1">
      <x:c r="A10" s="37" t="str">
        <x:v>着目点
購入補助と生産義務を分離。
販売、登録、生産、輸出の月を照合。</x:v>
      </x:c>
      <x:c r="B10" s="37"/>
      <x:c r="C10" s="37"/>
      <x:c r="D10" s="37"/>
      <x:c r="E10" s="37"/>
      <x:c r="F10" s="37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</x:row>
    <x:row r="11" ht="23" customHeight="1">
      <x:c r="A11" s="37"/>
      <x:c r="B11" s="37"/>
      <x:c r="C11" s="37"/>
      <x:c r="D11" s="37"/>
      <x:c r="E11" s="37"/>
      <x:c r="F11" s="37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</x:row>
    <x:row r="12" ht="23" customHeight="1">
      <x:c r="A12" s="37"/>
      <x:c r="B12" s="37"/>
      <x:c r="C12" s="37"/>
      <x:c r="D12" s="37"/>
      <x:c r="E12" s="37"/>
      <x:c r="F12" s="37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</x:row>
    <x:row r="13" ht="23" customHeight="1">
      <x:c r="A13" s="37"/>
      <x:c r="B13" s="37"/>
      <x:c r="C13" s="37"/>
      <x:c r="D13" s="37"/>
      <x:c r="E13" s="37"/>
      <x:c r="F13" s="37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</x:row>
    <x:row r="14" ht="23" customHeight="1">
      <x:c r="A14" s="37"/>
      <x:c r="B14" s="37"/>
      <x:c r="C14" s="37"/>
      <x:c r="D14" s="37"/>
      <x:c r="E14" s="37"/>
      <x:c r="F14" s="37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</x:row>
    <x:row r="15" ht="23" customHeight="1">
      <x:c r="A15" s="37"/>
      <x:c r="B15" s="37"/>
      <x:c r="C15" s="37"/>
      <x:c r="D15" s="37"/>
      <x:c r="E15" s="37"/>
      <x:c r="F15" s="37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</x:row>
    <x:row r="16" ht="23" customHeight="1">
      <x:c r="A16" s="37"/>
      <x:c r="B16" s="37"/>
      <x:c r="C16" s="37"/>
      <x:c r="D16" s="37"/>
      <x:c r="E16" s="37"/>
      <x:c r="F16" s="37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</x:row>
    <x:row r="17" ht="23" customHeight="1">
      <x:c r="A17" s="37"/>
      <x:c r="B17" s="37"/>
      <x:c r="C17" s="37"/>
      <x:c r="D17" s="37"/>
      <x:c r="E17" s="37"/>
      <x:c r="F17" s="37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</x:row>
    <x:row r="18" ht="23" customHeight="1">
      <x:c r="A18" s="37"/>
      <x:c r="B18" s="37"/>
      <x:c r="C18" s="37"/>
      <x:c r="D18" s="37"/>
      <x:c r="E18" s="37"/>
      <x:c r="F18" s="37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</x:row>
    <x:row r="19" ht="23" customHeight="1">
      <x:c r="A19" s="37"/>
      <x:c r="B19" s="37"/>
      <x:c r="C19" s="37"/>
      <x:c r="D19" s="37"/>
      <x:c r="E19" s="37"/>
      <x:c r="F19" s="37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</x:row>
    <x:row r="20" ht="23" customHeight="1">
      <x:c r="A20" s="37"/>
      <x:c r="B20" s="37"/>
      <x:c r="C20" s="37"/>
      <x:c r="D20" s="37"/>
      <x:c r="E20" s="37"/>
      <x:c r="F20" s="37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</x:row>
    <x:row r="21" ht="23" customHeight="1">
      <x:c r="A21" s="37"/>
      <x:c r="B21" s="37"/>
      <x:c r="C21" s="37"/>
      <x:c r="D21" s="37"/>
      <x:c r="E21" s="37"/>
      <x:c r="F21" s="37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</x:row>
    <x:row r="22" ht="22" customHeight="1">
      <x:c r="A22" s="40" t="str">
        <x:f>'月次販売入力'!B6</x:f>
        <x:v>BEV</x:v>
      </x:c>
      <x:c r="B22" s="40"/>
      <x:c r="C22" s="43" t="str">
        <x:f>'月次販売入力'!C6</x:f>
        <x:v>HEV</x:v>
      </x:c>
      <x:c r="D22" s="43"/>
      <x:c r="E22" s="46" t="str">
        <x:f>'月次販売入力'!D6</x:f>
        <x:v>ICE</x:v>
      </x:c>
      <x:c r="F22" s="46"/>
      <x:c r="G22" s="48" t="str">
        <x:f>IF(OR(MONTH(G23)=1,0=0),TEXT(G23,"yyyy"),"")</x:f>
        <x:v>2024</x:v>
      </x:c>
      <x:c r="H22" s="48" t="str">
        <x:f>IF(OR(MONTH(H23)=1,1=0),TEXT(H23,"yyyy"),"")</x:f>
      </x:c>
      <x:c r="I22" s="48" t="str">
        <x:f>IF(OR(MONTH(I23)=1,2=0),TEXT(I23,"yyyy"),"")</x:f>
      </x:c>
      <x:c r="J22" s="48" t="str">
        <x:f>IF(OR(MONTH(J23)=1,3=0),TEXT(J23,"yyyy"),"")</x:f>
      </x:c>
      <x:c r="K22" s="48" t="str">
        <x:f>IF(OR(MONTH(K23)=1,4=0),TEXT(K23,"yyyy"),"")</x:f>
      </x:c>
      <x:c r="L22" s="48" t="str">
        <x:f>IF(OR(MONTH(L23)=1,5=0),TEXT(L23,"yyyy"),"")</x:f>
      </x:c>
      <x:c r="M22" s="48" t="str">
        <x:f>IF(OR(MONTH(M23)=1,6=0),TEXT(M23,"yyyy"),"")</x:f>
      </x:c>
      <x:c r="N22" s="48" t="str">
        <x:f>IF(OR(MONTH(N23)=1,7=0),TEXT(N23,"yyyy"),"")</x:f>
      </x:c>
      <x:c r="O22" s="48" t="str">
        <x:f>IF(OR(MONTH(O23)=1,8=0),TEXT(O23,"yyyy"),"")</x:f>
      </x:c>
      <x:c r="P22" s="48" t="str">
        <x:f>IF(OR(MONTH(P23)=1,9=0),TEXT(P23,"yyyy"),"")</x:f>
      </x:c>
      <x:c r="Q22" s="48" t="str">
        <x:f>IF(OR(MONTH(Q23)=1,10=0),TEXT(Q23,"yyyy"),"")</x:f>
      </x:c>
      <x:c r="R22" s="48" t="str">
        <x:f>IF(OR(MONTH(R23)=1,11=0),TEXT(R23,"yyyy"),"")</x:f>
      </x:c>
      <x:c r="S22" s="48" t="str">
        <x:f>IF(OR(MONTH(S23)=1,12=0),TEXT(S23,"yyyy"),"")</x:f>
        <x:v>2025</x:v>
      </x:c>
      <x:c r="T22" s="48" t="str">
        <x:f>IF(OR(MONTH(T23)=1,13=0),TEXT(T23,"yyyy"),"")</x:f>
      </x:c>
      <x:c r="U22" s="48" t="str">
        <x:f>IF(OR(MONTH(U23)=1,14=0),TEXT(U23,"yyyy"),"")</x:f>
      </x:c>
      <x:c r="V22" s="48" t="str">
        <x:f>IF(OR(MONTH(V23)=1,15=0),TEXT(V23,"yyyy"),"")</x:f>
      </x:c>
      <x:c r="W22" s="48" t="str">
        <x:f>IF(OR(MONTH(W23)=1,16=0),TEXT(W23,"yyyy"),"")</x:f>
      </x:c>
      <x:c r="X22" s="48" t="str">
        <x:f>IF(OR(MONTH(X23)=1,17=0),TEXT(X23,"yyyy"),"")</x:f>
      </x:c>
      <x:c r="Y22" s="48" t="str">
        <x:f>IF(OR(MONTH(Y23)=1,18=0),TEXT(Y23,"yyyy"),"")</x:f>
      </x:c>
      <x:c r="Z22" s="48" t="str">
        <x:f>IF(OR(MONTH(Z23)=1,19=0),TEXT(Z23,"yyyy"),"")</x:f>
      </x:c>
      <x:c r="AA22" s="48" t="str">
        <x:f>IF(OR(MONTH(AA23)=1,20=0),TEXT(AA23,"yyyy"),"")</x:f>
      </x:c>
      <x:c r="AB22" s="48" t="str">
        <x:f>IF(OR(MONTH(AB23)=1,21=0),TEXT(AB23,"yyyy"),"")</x:f>
      </x:c>
      <x:c r="AC22" s="48" t="str">
        <x:f>IF(OR(MONTH(AC23)=1,22=0),TEXT(AC23,"yyyy"),"")</x:f>
      </x:c>
      <x:c r="AD22" s="48" t="str">
        <x:f>IF(OR(MONTH(AD23)=1,23=0),TEXT(AD23,"yyyy"),"")</x:f>
      </x:c>
      <x:c r="AE22" s="48" t="str">
        <x:f>IF(OR(MONTH(AE23)=1,24=0),TEXT(AE23,"yyyy"),"")</x:f>
        <x:v>2026</x:v>
      </x:c>
      <x:c r="AF22" s="48" t="str">
        <x:f>IF(OR(MONTH(AF23)=1,25=0),TEXT(AF23,"yyyy"),"")</x:f>
      </x:c>
      <x:c r="AG22" s="48" t="str">
        <x:f>IF(OR(MONTH(AG23)=1,26=0),TEXT(AG23,"yyyy"),"")</x:f>
      </x:c>
      <x:c r="AH22" s="48" t="str">
        <x:f>IF(OR(MONTH(AH23)=1,27=0),TEXT(AH23,"yyyy"),"")</x:f>
      </x:c>
      <x:c r="AI22" s="48" t="str">
        <x:f>IF(OR(MONTH(AI23)=1,28=0),TEXT(AI23,"yyyy"),"")</x:f>
      </x:c>
      <x:c r="AJ22" s="48" t="str">
        <x:f>IF(OR(MONTH(AJ23)=1,29=0),TEXT(AJ23,"yyyy"),"")</x:f>
      </x:c>
      <x:c r="AK22" s="48" t="str">
        <x:f>IF(OR(MONTH(AK23)=1,30=0),TEXT(AK23,"yyyy"),"")</x:f>
      </x:c>
      <x:c r="AL22" s="48" t="str">
        <x:f>IF(OR(MONTH(AL23)=1,31=0),TEXT(AL23,"yyyy"),"")</x:f>
      </x:c>
      <x:c r="AM22" s="48" t="str">
        <x:f>IF(OR(MONTH(AM23)=1,32=0),TEXT(AM23,"yyyy"),"")</x:f>
      </x:c>
      <x:c r="AN22" s="48" t="str">
        <x:f>IF(OR(MONTH(AN23)=1,33=0),TEXT(AN23,"yyyy"),"")</x:f>
      </x:c>
      <x:c r="AO22" s="48" t="str">
        <x:f>IF(OR(MONTH(AO23)=1,34=0),TEXT(AO23,"yyyy"),"")</x:f>
      </x:c>
      <x:c r="AP22" s="48" t="str">
        <x:f>IF(OR(MONTH(AP23)=1,35=0),TEXT(AP23,"yyyy"),"")</x:f>
      </x:c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</x:row>
    <x:row r="23" ht="35" customHeight="1">
      <x:c r="A23" s="1" t="str">
        <x:v>制度／対象条件は「制度詳細」参照</x:v>
      </x:c>
      <x:c r="B23" s="1"/>
      <x:c r="C23" s="1"/>
      <x:c r="D23" s="1"/>
      <x:c r="E23" s="1"/>
      <x:c r="F23" s="1"/>
      <x:c r="G23" s="52" t="n">
        <x:f>EDATE($E$5,0)</x:f>
        <x:v>45292</x:v>
      </x:c>
      <x:c r="H23" s="52" t="n">
        <x:f>EDATE($E$5,1)</x:f>
        <x:v>45323</x:v>
      </x:c>
      <x:c r="I23" s="52" t="n">
        <x:f>EDATE($E$5,2)</x:f>
        <x:v>45352</x:v>
      </x:c>
      <x:c r="J23" s="52" t="n">
        <x:f>EDATE($E$5,3)</x:f>
        <x:v>45383</x:v>
      </x:c>
      <x:c r="K23" s="52" t="n">
        <x:f>EDATE($E$5,4)</x:f>
        <x:v>45413</x:v>
      </x:c>
      <x:c r="L23" s="52" t="n">
        <x:f>EDATE($E$5,5)</x:f>
        <x:v>45444</x:v>
      </x:c>
      <x:c r="M23" s="52" t="n">
        <x:f>EDATE($E$5,6)</x:f>
        <x:v>45474</x:v>
      </x:c>
      <x:c r="N23" s="52" t="n">
        <x:f>EDATE($E$5,7)</x:f>
        <x:v>45505</x:v>
      </x:c>
      <x:c r="O23" s="52" t="n">
        <x:f>EDATE($E$5,8)</x:f>
        <x:v>45536</x:v>
      </x:c>
      <x:c r="P23" s="52" t="n">
        <x:f>EDATE($E$5,9)</x:f>
        <x:v>45566</x:v>
      </x:c>
      <x:c r="Q23" s="52" t="n">
        <x:f>EDATE($E$5,10)</x:f>
        <x:v>45597</x:v>
      </x:c>
      <x:c r="R23" s="52" t="n">
        <x:f>EDATE($E$5,11)</x:f>
        <x:v>45627</x:v>
      </x:c>
      <x:c r="S23" s="52" t="n">
        <x:f>EDATE($E$5,12)</x:f>
        <x:v>45658</x:v>
      </x:c>
      <x:c r="T23" s="52" t="n">
        <x:f>EDATE($E$5,13)</x:f>
        <x:v>45689</x:v>
      </x:c>
      <x:c r="U23" s="52" t="n">
        <x:f>EDATE($E$5,14)</x:f>
        <x:v>45717</x:v>
      </x:c>
      <x:c r="V23" s="52" t="n">
        <x:f>EDATE($E$5,15)</x:f>
        <x:v>45748</x:v>
      </x:c>
      <x:c r="W23" s="52" t="n">
        <x:f>EDATE($E$5,16)</x:f>
        <x:v>45778</x:v>
      </x:c>
      <x:c r="X23" s="52" t="n">
        <x:f>EDATE($E$5,17)</x:f>
        <x:v>45809</x:v>
      </x:c>
      <x:c r="Y23" s="52" t="n">
        <x:f>EDATE($E$5,18)</x:f>
        <x:v>45839</x:v>
      </x:c>
      <x:c r="Z23" s="52" t="n">
        <x:f>EDATE($E$5,19)</x:f>
        <x:v>45870</x:v>
      </x:c>
      <x:c r="AA23" s="52" t="n">
        <x:f>EDATE($E$5,20)</x:f>
        <x:v>45901</x:v>
      </x:c>
      <x:c r="AB23" s="52" t="n">
        <x:f>EDATE($E$5,21)</x:f>
        <x:v>45931</x:v>
      </x:c>
      <x:c r="AC23" s="52" t="n">
        <x:f>EDATE($E$5,22)</x:f>
        <x:v>45962</x:v>
      </x:c>
      <x:c r="AD23" s="52" t="n">
        <x:f>EDATE($E$5,23)</x:f>
        <x:v>45992</x:v>
      </x:c>
      <x:c r="AE23" s="52" t="n">
        <x:f>EDATE($E$5,24)</x:f>
        <x:v>46023</x:v>
      </x:c>
      <x:c r="AF23" s="52" t="n">
        <x:f>EDATE($E$5,25)</x:f>
        <x:v>46054</x:v>
      </x:c>
      <x:c r="AG23" s="52" t="n">
        <x:f>EDATE($E$5,26)</x:f>
        <x:v>46082</x:v>
      </x:c>
      <x:c r="AH23" s="52" t="n">
        <x:f>EDATE($E$5,27)</x:f>
        <x:v>46113</x:v>
      </x:c>
      <x:c r="AI23" s="52" t="n">
        <x:f>EDATE($E$5,28)</x:f>
        <x:v>46143</x:v>
      </x:c>
      <x:c r="AJ23" s="52" t="n">
        <x:f>EDATE($E$5,29)</x:f>
        <x:v>46174</x:v>
      </x:c>
      <x:c r="AK23" s="52" t="n">
        <x:f>EDATE($E$5,30)</x:f>
        <x:v>46204</x:v>
      </x:c>
      <x:c r="AL23" s="52" t="n">
        <x:f>EDATE($E$5,31)</x:f>
        <x:v>46235</x:v>
      </x:c>
      <x:c r="AM23" s="52" t="n">
        <x:f>EDATE($E$5,32)</x:f>
        <x:v>46266</x:v>
      </x:c>
      <x:c r="AN23" s="52" t="n">
        <x:f>EDATE($E$5,33)</x:f>
        <x:v>46296</x:v>
      </x:c>
      <x:c r="AO23" s="52" t="n">
        <x:f>EDATE($E$5,34)</x:f>
        <x:v>46327</x:v>
      </x:c>
      <x:c r="AP23" s="52" t="n">
        <x:f>EDATE($E$5,35)</x:f>
        <x:v>46357</x:v>
      </x:c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</x:row>
    <x:row r="24" ht="30" customHeight="1">
      <x:c r="A24" s="54" t="str">
        <x:v>TH01 EV3：開始月未確定</x:v>
      </x:c>
      <x:c r="B24" s="54"/>
      <x:c r="C24" s="54"/>
      <x:c r="D24" s="54"/>
      <x:c r="E24" s="54"/>
      <x:c r="F24" s="54"/>
      <x:c r="G24" s="57" t="str">
        <x:f>IF('制度詳細'!$H$6="",IF('制度詳細'!$J$6="","",IF(AND('制度詳細'!$J$6&gt;=G$23,'制度詳細'!$J$6&lt;=EOMONTH(G$23,0)),"◆","")),IF(MAX('制度詳細'!$H$6,G$23)&lt;=MIN(IF('制度詳細'!$I$6="",EOMONTH(G$23,0),'制度詳細'!$I$6),EOMONTH(G$23,0)),"■",IF(AND('制度詳細'!$J$6&lt;&gt;"",'制度詳細'!$J$6&gt;=G$23,'制度詳細'!$J$6&lt;=EOMONTH(G$23,0)),"◆","")))</x:f>
      </x:c>
      <x:c r="H24" s="57" t="str">
        <x:f>IF('制度詳細'!$H$6="",IF('制度詳細'!$J$6="","",IF(AND('制度詳細'!$J$6&gt;=H$23,'制度詳細'!$J$6&lt;=EOMONTH(H$23,0)),"◆","")),IF(MAX('制度詳細'!$H$6,H$23)&lt;=MIN(IF('制度詳細'!$I$6="",EOMONTH(H$23,0),'制度詳細'!$I$6),EOMONTH(H$23,0)),"■",IF(AND('制度詳細'!$J$6&lt;&gt;"",'制度詳細'!$J$6&gt;=H$23,'制度詳細'!$J$6&lt;=EOMONTH(H$23,0)),"◆","")))</x:f>
      </x:c>
      <x:c r="I24" s="57" t="str">
        <x:f>IF('制度詳細'!$H$6="",IF('制度詳細'!$J$6="","",IF(AND('制度詳細'!$J$6&gt;=I$23,'制度詳細'!$J$6&lt;=EOMONTH(I$23,0)),"◆","")),IF(MAX('制度詳細'!$H$6,I$23)&lt;=MIN(IF('制度詳細'!$I$6="",EOMONTH(I$23,0),'制度詳細'!$I$6),EOMONTH(I$23,0)),"■",IF(AND('制度詳細'!$J$6&lt;&gt;"",'制度詳細'!$J$6&gt;=I$23,'制度詳細'!$J$6&lt;=EOMONTH(I$23,0)),"◆","")))</x:f>
      </x:c>
      <x:c r="J24" s="57" t="str">
        <x:f>IF('制度詳細'!$H$6="",IF('制度詳細'!$J$6="","",IF(AND('制度詳細'!$J$6&gt;=J$23,'制度詳細'!$J$6&lt;=EOMONTH(J$23,0)),"◆","")),IF(MAX('制度詳細'!$H$6,J$23)&lt;=MIN(IF('制度詳細'!$I$6="",EOMONTH(J$23,0),'制度詳細'!$I$6),EOMONTH(J$23,0)),"■",IF(AND('制度詳細'!$J$6&lt;&gt;"",'制度詳細'!$J$6&gt;=J$23,'制度詳細'!$J$6&lt;=EOMONTH(J$23,0)),"◆","")))</x:f>
      </x:c>
      <x:c r="K24" s="57" t="str">
        <x:f>IF('制度詳細'!$H$6="",IF('制度詳細'!$J$6="","",IF(AND('制度詳細'!$J$6&gt;=K$23,'制度詳細'!$J$6&lt;=EOMONTH(K$23,0)),"◆","")),IF(MAX('制度詳細'!$H$6,K$23)&lt;=MIN(IF('制度詳細'!$I$6="",EOMONTH(K$23,0),'制度詳細'!$I$6),EOMONTH(K$23,0)),"■",IF(AND('制度詳細'!$J$6&lt;&gt;"",'制度詳細'!$J$6&gt;=K$23,'制度詳細'!$J$6&lt;=EOMONTH(K$23,0)),"◆","")))</x:f>
      </x:c>
      <x:c r="L24" s="57" t="str">
        <x:f>IF('制度詳細'!$H$6="",IF('制度詳細'!$J$6="","",IF(AND('制度詳細'!$J$6&gt;=L$23,'制度詳細'!$J$6&lt;=EOMONTH(L$23,0)),"◆","")),IF(MAX('制度詳細'!$H$6,L$23)&lt;=MIN(IF('制度詳細'!$I$6="",EOMONTH(L$23,0),'制度詳細'!$I$6),EOMONTH(L$23,0)),"■",IF(AND('制度詳細'!$J$6&lt;&gt;"",'制度詳細'!$J$6&gt;=L$23,'制度詳細'!$J$6&lt;=EOMONTH(L$23,0)),"◆","")))</x:f>
      </x:c>
      <x:c r="M24" s="57" t="str">
        <x:f>IF('制度詳細'!$H$6="",IF('制度詳細'!$J$6="","",IF(AND('制度詳細'!$J$6&gt;=M$23,'制度詳細'!$J$6&lt;=EOMONTH(M$23,0)),"◆","")),IF(MAX('制度詳細'!$H$6,M$23)&lt;=MIN(IF('制度詳細'!$I$6="",EOMONTH(M$23,0),'制度詳細'!$I$6),EOMONTH(M$23,0)),"■",IF(AND('制度詳細'!$J$6&lt;&gt;"",'制度詳細'!$J$6&gt;=M$23,'制度詳細'!$J$6&lt;=EOMONTH(M$23,0)),"◆","")))</x:f>
      </x:c>
      <x:c r="N24" s="57" t="str">
        <x:f>IF('制度詳細'!$H$6="",IF('制度詳細'!$J$6="","",IF(AND('制度詳細'!$J$6&gt;=N$23,'制度詳細'!$J$6&lt;=EOMONTH(N$23,0)),"◆","")),IF(MAX('制度詳細'!$H$6,N$23)&lt;=MIN(IF('制度詳細'!$I$6="",EOMONTH(N$23,0),'制度詳細'!$I$6),EOMONTH(N$23,0)),"■",IF(AND('制度詳細'!$J$6&lt;&gt;"",'制度詳細'!$J$6&gt;=N$23,'制度詳細'!$J$6&lt;=EOMONTH(N$23,0)),"◆","")))</x:f>
      </x:c>
      <x:c r="O24" s="57" t="str">
        <x:f>IF('制度詳細'!$H$6="",IF('制度詳細'!$J$6="","",IF(AND('制度詳細'!$J$6&gt;=O$23,'制度詳細'!$J$6&lt;=EOMONTH(O$23,0)),"◆","")),IF(MAX('制度詳細'!$H$6,O$23)&lt;=MIN(IF('制度詳細'!$I$6="",EOMONTH(O$23,0),'制度詳細'!$I$6),EOMONTH(O$23,0)),"■",IF(AND('制度詳細'!$J$6&lt;&gt;"",'制度詳細'!$J$6&gt;=O$23,'制度詳細'!$J$6&lt;=EOMONTH(O$23,0)),"◆","")))</x:f>
      </x:c>
      <x:c r="P24" s="57" t="str">
        <x:f>IF('制度詳細'!$H$6="",IF('制度詳細'!$J$6="","",IF(AND('制度詳細'!$J$6&gt;=P$23,'制度詳細'!$J$6&lt;=EOMONTH(P$23,0)),"◆","")),IF(MAX('制度詳細'!$H$6,P$23)&lt;=MIN(IF('制度詳細'!$I$6="",EOMONTH(P$23,0),'制度詳細'!$I$6),EOMONTH(P$23,0)),"■",IF(AND('制度詳細'!$J$6&lt;&gt;"",'制度詳細'!$J$6&gt;=P$23,'制度詳細'!$J$6&lt;=EOMONTH(P$23,0)),"◆","")))</x:f>
      </x:c>
      <x:c r="Q24" s="57" t="str">
        <x:f>IF('制度詳細'!$H$6="",IF('制度詳細'!$J$6="","",IF(AND('制度詳細'!$J$6&gt;=Q$23,'制度詳細'!$J$6&lt;=EOMONTH(Q$23,0)),"◆","")),IF(MAX('制度詳細'!$H$6,Q$23)&lt;=MIN(IF('制度詳細'!$I$6="",EOMONTH(Q$23,0),'制度詳細'!$I$6),EOMONTH(Q$23,0)),"■",IF(AND('制度詳細'!$J$6&lt;&gt;"",'制度詳細'!$J$6&gt;=Q$23,'制度詳細'!$J$6&lt;=EOMONTH(Q$23,0)),"◆","")))</x:f>
      </x:c>
      <x:c r="R24" s="57" t="str">
        <x:f>IF('制度詳細'!$H$6="",IF('制度詳細'!$J$6="","",IF(AND('制度詳細'!$J$6&gt;=R$23,'制度詳細'!$J$6&lt;=EOMONTH(R$23,0)),"◆","")),IF(MAX('制度詳細'!$H$6,R$23)&lt;=MIN(IF('制度詳細'!$I$6="",EOMONTH(R$23,0),'制度詳細'!$I$6),EOMONTH(R$23,0)),"■",IF(AND('制度詳細'!$J$6&lt;&gt;"",'制度詳細'!$J$6&gt;=R$23,'制度詳細'!$J$6&lt;=EOMONTH(R$23,0)),"◆","")))</x:f>
      </x:c>
      <x:c r="S24" s="57" t="str">
        <x:f>IF('制度詳細'!$H$6="",IF('制度詳細'!$J$6="","",IF(AND('制度詳細'!$J$6&gt;=S$23,'制度詳細'!$J$6&lt;=EOMONTH(S$23,0)),"◆","")),IF(MAX('制度詳細'!$H$6,S$23)&lt;=MIN(IF('制度詳細'!$I$6="",EOMONTH(S$23,0),'制度詳細'!$I$6),EOMONTH(S$23,0)),"■",IF(AND('制度詳細'!$J$6&lt;&gt;"",'制度詳細'!$J$6&gt;=S$23,'制度詳細'!$J$6&lt;=EOMONTH(S$23,0)),"◆","")))</x:f>
      </x:c>
      <x:c r="T24" s="57" t="str">
        <x:f>IF('制度詳細'!$H$6="",IF('制度詳細'!$J$6="","",IF(AND('制度詳細'!$J$6&gt;=T$23,'制度詳細'!$J$6&lt;=EOMONTH(T$23,0)),"◆","")),IF(MAX('制度詳細'!$H$6,T$23)&lt;=MIN(IF('制度詳細'!$I$6="",EOMONTH(T$23,0),'制度詳細'!$I$6),EOMONTH(T$23,0)),"■",IF(AND('制度詳細'!$J$6&lt;&gt;"",'制度詳細'!$J$6&gt;=T$23,'制度詳細'!$J$6&lt;=EOMONTH(T$23,0)),"◆","")))</x:f>
      </x:c>
      <x:c r="U24" s="57" t="str">
        <x:f>IF('制度詳細'!$H$6="",IF('制度詳細'!$J$6="","",IF(AND('制度詳細'!$J$6&gt;=U$23,'制度詳細'!$J$6&lt;=EOMONTH(U$23,0)),"◆","")),IF(MAX('制度詳細'!$H$6,U$23)&lt;=MIN(IF('制度詳細'!$I$6="",EOMONTH(U$23,0),'制度詳細'!$I$6),EOMONTH(U$23,0)),"■",IF(AND('制度詳細'!$J$6&lt;&gt;"",'制度詳細'!$J$6&gt;=U$23,'制度詳細'!$J$6&lt;=EOMONTH(U$23,0)),"◆","")))</x:f>
      </x:c>
      <x:c r="V24" s="57" t="str">
        <x:f>IF('制度詳細'!$H$6="",IF('制度詳細'!$J$6="","",IF(AND('制度詳細'!$J$6&gt;=V$23,'制度詳細'!$J$6&lt;=EOMONTH(V$23,0)),"◆","")),IF(MAX('制度詳細'!$H$6,V$23)&lt;=MIN(IF('制度詳細'!$I$6="",EOMONTH(V$23,0),'制度詳細'!$I$6),EOMONTH(V$23,0)),"■",IF(AND('制度詳細'!$J$6&lt;&gt;"",'制度詳細'!$J$6&gt;=V$23,'制度詳細'!$J$6&lt;=EOMONTH(V$23,0)),"◆","")))</x:f>
      </x:c>
      <x:c r="W24" s="57" t="str">
        <x:f>IF('制度詳細'!$H$6="",IF('制度詳細'!$J$6="","",IF(AND('制度詳細'!$J$6&gt;=W$23,'制度詳細'!$J$6&lt;=EOMONTH(W$23,0)),"◆","")),IF(MAX('制度詳細'!$H$6,W$23)&lt;=MIN(IF('制度詳細'!$I$6="",EOMONTH(W$23,0),'制度詳細'!$I$6),EOMONTH(W$23,0)),"■",IF(AND('制度詳細'!$J$6&lt;&gt;"",'制度詳細'!$J$6&gt;=W$23,'制度詳細'!$J$6&lt;=EOMONTH(W$23,0)),"◆","")))</x:f>
      </x:c>
      <x:c r="X24" s="57" t="str">
        <x:f>IF('制度詳細'!$H$6="",IF('制度詳細'!$J$6="","",IF(AND('制度詳細'!$J$6&gt;=X$23,'制度詳細'!$J$6&lt;=EOMONTH(X$23,0)),"◆","")),IF(MAX('制度詳細'!$H$6,X$23)&lt;=MIN(IF('制度詳細'!$I$6="",EOMONTH(X$23,0),'制度詳細'!$I$6),EOMONTH(X$23,0)),"■",IF(AND('制度詳細'!$J$6&lt;&gt;"",'制度詳細'!$J$6&gt;=X$23,'制度詳細'!$J$6&lt;=EOMONTH(X$23,0)),"◆","")))</x:f>
      </x:c>
      <x:c r="Y24" s="57" t="str">
        <x:f>IF('制度詳細'!$H$6="",IF('制度詳細'!$J$6="","",IF(AND('制度詳細'!$J$6&gt;=Y$23,'制度詳細'!$J$6&lt;=EOMONTH(Y$23,0)),"◆","")),IF(MAX('制度詳細'!$H$6,Y$23)&lt;=MIN(IF('制度詳細'!$I$6="",EOMONTH(Y$23,0),'制度詳細'!$I$6),EOMONTH(Y$23,0)),"■",IF(AND('制度詳細'!$J$6&lt;&gt;"",'制度詳細'!$J$6&gt;=Y$23,'制度詳細'!$J$6&lt;=EOMONTH(Y$23,0)),"◆","")))</x:f>
      </x:c>
      <x:c r="Z24" s="57" t="str">
        <x:f>IF('制度詳細'!$H$6="",IF('制度詳細'!$J$6="","",IF(AND('制度詳細'!$J$6&gt;=Z$23,'制度詳細'!$J$6&lt;=EOMONTH(Z$23,0)),"◆","")),IF(MAX('制度詳細'!$H$6,Z$23)&lt;=MIN(IF('制度詳細'!$I$6="",EOMONTH(Z$23,0),'制度詳細'!$I$6),EOMONTH(Z$23,0)),"■",IF(AND('制度詳細'!$J$6&lt;&gt;"",'制度詳細'!$J$6&gt;=Z$23,'制度詳細'!$J$6&lt;=EOMONTH(Z$23,0)),"◆","")))</x:f>
      </x:c>
      <x:c r="AA24" s="57" t="str">
        <x:f>IF('制度詳細'!$H$6="",IF('制度詳細'!$J$6="","",IF(AND('制度詳細'!$J$6&gt;=AA$23,'制度詳細'!$J$6&lt;=EOMONTH(AA$23,0)),"◆","")),IF(MAX('制度詳細'!$H$6,AA$23)&lt;=MIN(IF('制度詳細'!$I$6="",EOMONTH(AA$23,0),'制度詳細'!$I$6),EOMONTH(AA$23,0)),"■",IF(AND('制度詳細'!$J$6&lt;&gt;"",'制度詳細'!$J$6&gt;=AA$23,'制度詳細'!$J$6&lt;=EOMONTH(AA$23,0)),"◆","")))</x:f>
      </x:c>
      <x:c r="AB24" s="57" t="str">
        <x:f>IF('制度詳細'!$H$6="",IF('制度詳細'!$J$6="","",IF(AND('制度詳細'!$J$6&gt;=AB$23,'制度詳細'!$J$6&lt;=EOMONTH(AB$23,0)),"◆","")),IF(MAX('制度詳細'!$H$6,AB$23)&lt;=MIN(IF('制度詳細'!$I$6="",EOMONTH(AB$23,0),'制度詳細'!$I$6),EOMONTH(AB$23,0)),"■",IF(AND('制度詳細'!$J$6&lt;&gt;"",'制度詳細'!$J$6&gt;=AB$23,'制度詳細'!$J$6&lt;=EOMONTH(AB$23,0)),"◆","")))</x:f>
      </x:c>
      <x:c r="AC24" s="57" t="str">
        <x:f>IF('制度詳細'!$H$6="",IF('制度詳細'!$J$6="","",IF(AND('制度詳細'!$J$6&gt;=AC$23,'制度詳細'!$J$6&lt;=EOMONTH(AC$23,0)),"◆","")),IF(MAX('制度詳細'!$H$6,AC$23)&lt;=MIN(IF('制度詳細'!$I$6="",EOMONTH(AC$23,0),'制度詳細'!$I$6),EOMONTH(AC$23,0)),"■",IF(AND('制度詳細'!$J$6&lt;&gt;"",'制度詳細'!$J$6&gt;=AC$23,'制度詳細'!$J$6&lt;=EOMONTH(AC$23,0)),"◆","")))</x:f>
      </x:c>
      <x:c r="AD24" s="57" t="str">
        <x:f>IF('制度詳細'!$H$6="",IF('制度詳細'!$J$6="","",IF(AND('制度詳細'!$J$6&gt;=AD$23,'制度詳細'!$J$6&lt;=EOMONTH(AD$23,0)),"◆","")),IF(MAX('制度詳細'!$H$6,AD$23)&lt;=MIN(IF('制度詳細'!$I$6="",EOMONTH(AD$23,0),'制度詳細'!$I$6),EOMONTH(AD$23,0)),"■",IF(AND('制度詳細'!$J$6&lt;&gt;"",'制度詳細'!$J$6&gt;=AD$23,'制度詳細'!$J$6&lt;=EOMONTH(AD$23,0)),"◆","")))</x:f>
      </x:c>
      <x:c r="AE24" s="57" t="str">
        <x:f>IF('制度詳細'!$H$6="",IF('制度詳細'!$J$6="","",IF(AND('制度詳細'!$J$6&gt;=AE$23,'制度詳細'!$J$6&lt;=EOMONTH(AE$23,0)),"◆","")),IF(MAX('制度詳細'!$H$6,AE$23)&lt;=MIN(IF('制度詳細'!$I$6="",EOMONTH(AE$23,0),'制度詳細'!$I$6),EOMONTH(AE$23,0)),"■",IF(AND('制度詳細'!$J$6&lt;&gt;"",'制度詳細'!$J$6&gt;=AE$23,'制度詳細'!$J$6&lt;=EOMONTH(AE$23,0)),"◆","")))</x:f>
      </x:c>
      <x:c r="AF24" s="57" t="str">
        <x:f>IF('制度詳細'!$H$6="",IF('制度詳細'!$J$6="","",IF(AND('制度詳細'!$J$6&gt;=AF$23,'制度詳細'!$J$6&lt;=EOMONTH(AF$23,0)),"◆","")),IF(MAX('制度詳細'!$H$6,AF$23)&lt;=MIN(IF('制度詳細'!$I$6="",EOMONTH(AF$23,0),'制度詳細'!$I$6),EOMONTH(AF$23,0)),"■",IF(AND('制度詳細'!$J$6&lt;&gt;"",'制度詳細'!$J$6&gt;=AF$23,'制度詳細'!$J$6&lt;=EOMONTH(AF$23,0)),"◆","")))</x:f>
      </x:c>
      <x:c r="AG24" s="57" t="str">
        <x:f>IF('制度詳細'!$H$6="",IF('制度詳細'!$J$6="","",IF(AND('制度詳細'!$J$6&gt;=AG$23,'制度詳細'!$J$6&lt;=EOMONTH(AG$23,0)),"◆","")),IF(MAX('制度詳細'!$H$6,AG$23)&lt;=MIN(IF('制度詳細'!$I$6="",EOMONTH(AG$23,0),'制度詳細'!$I$6),EOMONTH(AG$23,0)),"■",IF(AND('制度詳細'!$J$6&lt;&gt;"",'制度詳細'!$J$6&gt;=AG$23,'制度詳細'!$J$6&lt;=EOMONTH(AG$23,0)),"◆","")))</x:f>
      </x:c>
      <x:c r="AH24" s="57" t="str">
        <x:f>IF('制度詳細'!$H$6="",IF('制度詳細'!$J$6="","",IF(AND('制度詳細'!$J$6&gt;=AH$23,'制度詳細'!$J$6&lt;=EOMONTH(AH$23,0)),"◆","")),IF(MAX('制度詳細'!$H$6,AH$23)&lt;=MIN(IF('制度詳細'!$I$6="",EOMONTH(AH$23,0),'制度詳細'!$I$6),EOMONTH(AH$23,0)),"■",IF(AND('制度詳細'!$J$6&lt;&gt;"",'制度詳細'!$J$6&gt;=AH$23,'制度詳細'!$J$6&lt;=EOMONTH(AH$23,0)),"◆","")))</x:f>
      </x:c>
      <x:c r="AI24" s="57" t="str">
        <x:f>IF('制度詳細'!$H$6="",IF('制度詳細'!$J$6="","",IF(AND('制度詳細'!$J$6&gt;=AI$23,'制度詳細'!$J$6&lt;=EOMONTH(AI$23,0)),"◆","")),IF(MAX('制度詳細'!$H$6,AI$23)&lt;=MIN(IF('制度詳細'!$I$6="",EOMONTH(AI$23,0),'制度詳細'!$I$6),EOMONTH(AI$23,0)),"■",IF(AND('制度詳細'!$J$6&lt;&gt;"",'制度詳細'!$J$6&gt;=AI$23,'制度詳細'!$J$6&lt;=EOMONTH(AI$23,0)),"◆","")))</x:f>
      </x:c>
      <x:c r="AJ24" s="57" t="str">
        <x:f>IF('制度詳細'!$H$6="",IF('制度詳細'!$J$6="","",IF(AND('制度詳細'!$J$6&gt;=AJ$23,'制度詳細'!$J$6&lt;=EOMONTH(AJ$23,0)),"◆","")),IF(MAX('制度詳細'!$H$6,AJ$23)&lt;=MIN(IF('制度詳細'!$I$6="",EOMONTH(AJ$23,0),'制度詳細'!$I$6),EOMONTH(AJ$23,0)),"■",IF(AND('制度詳細'!$J$6&lt;&gt;"",'制度詳細'!$J$6&gt;=AJ$23,'制度詳細'!$J$6&lt;=EOMONTH(AJ$23,0)),"◆","")))</x:f>
      </x:c>
      <x:c r="AK24" s="57" t="str">
        <x:f>IF('制度詳細'!$H$6="",IF('制度詳細'!$J$6="","",IF(AND('制度詳細'!$J$6&gt;=AK$23,'制度詳細'!$J$6&lt;=EOMONTH(AK$23,0)),"◆","")),IF(MAX('制度詳細'!$H$6,AK$23)&lt;=MIN(IF('制度詳細'!$I$6="",EOMONTH(AK$23,0),'制度詳細'!$I$6),EOMONTH(AK$23,0)),"■",IF(AND('制度詳細'!$J$6&lt;&gt;"",'制度詳細'!$J$6&gt;=AK$23,'制度詳細'!$J$6&lt;=EOMONTH(AK$23,0)),"◆","")))</x:f>
      </x:c>
      <x:c r="AL24" s="57" t="str">
        <x:f>IF('制度詳細'!$H$6="",IF('制度詳細'!$J$6="","",IF(AND('制度詳細'!$J$6&gt;=AL$23,'制度詳細'!$J$6&lt;=EOMONTH(AL$23,0)),"◆","")),IF(MAX('制度詳細'!$H$6,AL$23)&lt;=MIN(IF('制度詳細'!$I$6="",EOMONTH(AL$23,0),'制度詳細'!$I$6),EOMONTH(AL$23,0)),"■",IF(AND('制度詳細'!$J$6&lt;&gt;"",'制度詳細'!$J$6&gt;=AL$23,'制度詳細'!$J$6&lt;=EOMONTH(AL$23,0)),"◆","")))</x:f>
      </x:c>
      <x:c r="AM24" s="57" t="str">
        <x:f>IF('制度詳細'!$H$6="",IF('制度詳細'!$J$6="","",IF(AND('制度詳細'!$J$6&gt;=AM$23,'制度詳細'!$J$6&lt;=EOMONTH(AM$23,0)),"◆","")),IF(MAX('制度詳細'!$H$6,AM$23)&lt;=MIN(IF('制度詳細'!$I$6="",EOMONTH(AM$23,0),'制度詳細'!$I$6),EOMONTH(AM$23,0)),"■",IF(AND('制度詳細'!$J$6&lt;&gt;"",'制度詳細'!$J$6&gt;=AM$23,'制度詳細'!$J$6&lt;=EOMONTH(AM$23,0)),"◆","")))</x:f>
      </x:c>
      <x:c r="AN24" s="57" t="str">
        <x:f>IF('制度詳細'!$H$6="",IF('制度詳細'!$J$6="","",IF(AND('制度詳細'!$J$6&gt;=AN$23,'制度詳細'!$J$6&lt;=EOMONTH(AN$23,0)),"◆","")),IF(MAX('制度詳細'!$H$6,AN$23)&lt;=MIN(IF('制度詳細'!$I$6="",EOMONTH(AN$23,0),'制度詳細'!$I$6),EOMONTH(AN$23,0)),"■",IF(AND('制度詳細'!$J$6&lt;&gt;"",'制度詳細'!$J$6&gt;=AN$23,'制度詳細'!$J$6&lt;=EOMONTH(AN$23,0)),"◆","")))</x:f>
      </x:c>
      <x:c r="AO24" s="57" t="str">
        <x:f>IF('制度詳細'!$H$6="",IF('制度詳細'!$J$6="","",IF(AND('制度詳細'!$J$6&gt;=AO$23,'制度詳細'!$J$6&lt;=EOMONTH(AO$23,0)),"◆","")),IF(MAX('制度詳細'!$H$6,AO$23)&lt;=MIN(IF('制度詳細'!$I$6="",EOMONTH(AO$23,0),'制度詳細'!$I$6),EOMONTH(AO$23,0)),"■",IF(AND('制度詳細'!$J$6&lt;&gt;"",'制度詳細'!$J$6&gt;=AO$23,'制度詳細'!$J$6&lt;=EOMONTH(AO$23,0)),"◆","")))</x:f>
      </x:c>
      <x:c r="AP24" s="57" t="str">
        <x:f>IF('制度詳細'!$H$6="",IF('制度詳細'!$J$6="","",IF(AND('制度詳細'!$J$6&gt;=AP$23,'制度詳細'!$J$6&lt;=EOMONTH(AP$23,0)),"◆","")),IF(MAX('制度詳細'!$H$6,AP$23)&lt;=MIN(IF('制度詳細'!$I$6="",EOMONTH(AP$23,0),'制度詳細'!$I$6),EOMONTH(AP$23,0)),"■",IF(AND('制度詳細'!$J$6&lt;&gt;"",'制度詳細'!$J$6&gt;=AP$23,'制度詳細'!$J$6&lt;=EOMONTH(AP$23,0)),"◆","")))</x:f>
      </x:c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</x:row>
    <x:row r="25" ht="30" customHeight="1">
      <x:c r="A25" s="59" t="str">
        <x:v>TH02 EV3.5：購入補助</x:v>
      </x:c>
      <x:c r="B25" s="59"/>
      <x:c r="C25" s="59"/>
      <x:c r="D25" s="59"/>
      <x:c r="E25" s="59"/>
      <x:c r="F25" s="59"/>
      <x:c r="G25" s="57" t="str">
        <x:f>IF('制度詳細'!$H$7="",IF('制度詳細'!$J$7="","",IF(AND('制度詳細'!$J$7&gt;=G$23,'制度詳細'!$J$7&lt;=EOMONTH(G$23,0)),"◆","")),IF(MAX('制度詳細'!$H$7,G$23)&lt;=MIN(IF('制度詳細'!$I$7="",EOMONTH(G$23,0),'制度詳細'!$I$7),EOMONTH(G$23,0)),"■",IF(AND('制度詳細'!$J$7&lt;&gt;"",'制度詳細'!$J$7&gt;=G$23,'制度詳細'!$J$7&lt;=EOMONTH(G$23,0)),"◆","")))</x:f>
        <x:v>■</x:v>
      </x:c>
      <x:c r="H25" s="57" t="str">
        <x:f>IF('制度詳細'!$H$7="",IF('制度詳細'!$J$7="","",IF(AND('制度詳細'!$J$7&gt;=H$23,'制度詳細'!$J$7&lt;=EOMONTH(H$23,0)),"◆","")),IF(MAX('制度詳細'!$H$7,H$23)&lt;=MIN(IF('制度詳細'!$I$7="",EOMONTH(H$23,0),'制度詳細'!$I$7),EOMONTH(H$23,0)),"■",IF(AND('制度詳細'!$J$7&lt;&gt;"",'制度詳細'!$J$7&gt;=H$23,'制度詳細'!$J$7&lt;=EOMONTH(H$23,0)),"◆","")))</x:f>
        <x:v>■</x:v>
      </x:c>
      <x:c r="I25" s="57" t="str">
        <x:f>IF('制度詳細'!$H$7="",IF('制度詳細'!$J$7="","",IF(AND('制度詳細'!$J$7&gt;=I$23,'制度詳細'!$J$7&lt;=EOMONTH(I$23,0)),"◆","")),IF(MAX('制度詳細'!$H$7,I$23)&lt;=MIN(IF('制度詳細'!$I$7="",EOMONTH(I$23,0),'制度詳細'!$I$7),EOMONTH(I$23,0)),"■",IF(AND('制度詳細'!$J$7&lt;&gt;"",'制度詳細'!$J$7&gt;=I$23,'制度詳細'!$J$7&lt;=EOMONTH(I$23,0)),"◆","")))</x:f>
        <x:v>■</x:v>
      </x:c>
      <x:c r="J25" s="57" t="str">
        <x:f>IF('制度詳細'!$H$7="",IF('制度詳細'!$J$7="","",IF(AND('制度詳細'!$J$7&gt;=J$23,'制度詳細'!$J$7&lt;=EOMONTH(J$23,0)),"◆","")),IF(MAX('制度詳細'!$H$7,J$23)&lt;=MIN(IF('制度詳細'!$I$7="",EOMONTH(J$23,0),'制度詳細'!$I$7),EOMONTH(J$23,0)),"■",IF(AND('制度詳細'!$J$7&lt;&gt;"",'制度詳細'!$J$7&gt;=J$23,'制度詳細'!$J$7&lt;=EOMONTH(J$23,0)),"◆","")))</x:f>
        <x:v>■</x:v>
      </x:c>
      <x:c r="K25" s="57" t="str">
        <x:f>IF('制度詳細'!$H$7="",IF('制度詳細'!$J$7="","",IF(AND('制度詳細'!$J$7&gt;=K$23,'制度詳細'!$J$7&lt;=EOMONTH(K$23,0)),"◆","")),IF(MAX('制度詳細'!$H$7,K$23)&lt;=MIN(IF('制度詳細'!$I$7="",EOMONTH(K$23,0),'制度詳細'!$I$7),EOMONTH(K$23,0)),"■",IF(AND('制度詳細'!$J$7&lt;&gt;"",'制度詳細'!$J$7&gt;=K$23,'制度詳細'!$J$7&lt;=EOMONTH(K$23,0)),"◆","")))</x:f>
        <x:v>■</x:v>
      </x:c>
      <x:c r="L25" s="57" t="str">
        <x:f>IF('制度詳細'!$H$7="",IF('制度詳細'!$J$7="","",IF(AND('制度詳細'!$J$7&gt;=L$23,'制度詳細'!$J$7&lt;=EOMONTH(L$23,0)),"◆","")),IF(MAX('制度詳細'!$H$7,L$23)&lt;=MIN(IF('制度詳細'!$I$7="",EOMONTH(L$23,0),'制度詳細'!$I$7),EOMONTH(L$23,0)),"■",IF(AND('制度詳細'!$J$7&lt;&gt;"",'制度詳細'!$J$7&gt;=L$23,'制度詳細'!$J$7&lt;=EOMONTH(L$23,0)),"◆","")))</x:f>
        <x:v>■</x:v>
      </x:c>
      <x:c r="M25" s="57" t="str">
        <x:f>IF('制度詳細'!$H$7="",IF('制度詳細'!$J$7="","",IF(AND('制度詳細'!$J$7&gt;=M$23,'制度詳細'!$J$7&lt;=EOMONTH(M$23,0)),"◆","")),IF(MAX('制度詳細'!$H$7,M$23)&lt;=MIN(IF('制度詳細'!$I$7="",EOMONTH(M$23,0),'制度詳細'!$I$7),EOMONTH(M$23,0)),"■",IF(AND('制度詳細'!$J$7&lt;&gt;"",'制度詳細'!$J$7&gt;=M$23,'制度詳細'!$J$7&lt;=EOMONTH(M$23,0)),"◆","")))</x:f>
        <x:v>■</x:v>
      </x:c>
      <x:c r="N25" s="57" t="str">
        <x:f>IF('制度詳細'!$H$7="",IF('制度詳細'!$J$7="","",IF(AND('制度詳細'!$J$7&gt;=N$23,'制度詳細'!$J$7&lt;=EOMONTH(N$23,0)),"◆","")),IF(MAX('制度詳細'!$H$7,N$23)&lt;=MIN(IF('制度詳細'!$I$7="",EOMONTH(N$23,0),'制度詳細'!$I$7),EOMONTH(N$23,0)),"■",IF(AND('制度詳細'!$J$7&lt;&gt;"",'制度詳細'!$J$7&gt;=N$23,'制度詳細'!$J$7&lt;=EOMONTH(N$23,0)),"◆","")))</x:f>
        <x:v>■</x:v>
      </x:c>
      <x:c r="O25" s="57" t="str">
        <x:f>IF('制度詳細'!$H$7="",IF('制度詳細'!$J$7="","",IF(AND('制度詳細'!$J$7&gt;=O$23,'制度詳細'!$J$7&lt;=EOMONTH(O$23,0)),"◆","")),IF(MAX('制度詳細'!$H$7,O$23)&lt;=MIN(IF('制度詳細'!$I$7="",EOMONTH(O$23,0),'制度詳細'!$I$7),EOMONTH(O$23,0)),"■",IF(AND('制度詳細'!$J$7&lt;&gt;"",'制度詳細'!$J$7&gt;=O$23,'制度詳細'!$J$7&lt;=EOMONTH(O$23,0)),"◆","")))</x:f>
        <x:v>■</x:v>
      </x:c>
      <x:c r="P25" s="57" t="str">
        <x:f>IF('制度詳細'!$H$7="",IF('制度詳細'!$J$7="","",IF(AND('制度詳細'!$J$7&gt;=P$23,'制度詳細'!$J$7&lt;=EOMONTH(P$23,0)),"◆","")),IF(MAX('制度詳細'!$H$7,P$23)&lt;=MIN(IF('制度詳細'!$I$7="",EOMONTH(P$23,0),'制度詳細'!$I$7),EOMONTH(P$23,0)),"■",IF(AND('制度詳細'!$J$7&lt;&gt;"",'制度詳細'!$J$7&gt;=P$23,'制度詳細'!$J$7&lt;=EOMONTH(P$23,0)),"◆","")))</x:f>
        <x:v>■</x:v>
      </x:c>
      <x:c r="Q25" s="57" t="str">
        <x:f>IF('制度詳細'!$H$7="",IF('制度詳細'!$J$7="","",IF(AND('制度詳細'!$J$7&gt;=Q$23,'制度詳細'!$J$7&lt;=EOMONTH(Q$23,0)),"◆","")),IF(MAX('制度詳細'!$H$7,Q$23)&lt;=MIN(IF('制度詳細'!$I$7="",EOMONTH(Q$23,0),'制度詳細'!$I$7),EOMONTH(Q$23,0)),"■",IF(AND('制度詳細'!$J$7&lt;&gt;"",'制度詳細'!$J$7&gt;=Q$23,'制度詳細'!$J$7&lt;=EOMONTH(Q$23,0)),"◆","")))</x:f>
        <x:v>■</x:v>
      </x:c>
      <x:c r="R25" s="57" t="str">
        <x:f>IF('制度詳細'!$H$7="",IF('制度詳細'!$J$7="","",IF(AND('制度詳細'!$J$7&gt;=R$23,'制度詳細'!$J$7&lt;=EOMONTH(R$23,0)),"◆","")),IF(MAX('制度詳細'!$H$7,R$23)&lt;=MIN(IF('制度詳細'!$I$7="",EOMONTH(R$23,0),'制度詳細'!$I$7),EOMONTH(R$23,0)),"■",IF(AND('制度詳細'!$J$7&lt;&gt;"",'制度詳細'!$J$7&gt;=R$23,'制度詳細'!$J$7&lt;=EOMONTH(R$23,0)),"◆","")))</x:f>
        <x:v>■</x:v>
      </x:c>
      <x:c r="S25" s="57" t="str">
        <x:f>IF('制度詳細'!$H$7="",IF('制度詳細'!$J$7="","",IF(AND('制度詳細'!$J$7&gt;=S$23,'制度詳細'!$J$7&lt;=EOMONTH(S$23,0)),"◆","")),IF(MAX('制度詳細'!$H$7,S$23)&lt;=MIN(IF('制度詳細'!$I$7="",EOMONTH(S$23,0),'制度詳細'!$I$7),EOMONTH(S$23,0)),"■",IF(AND('制度詳細'!$J$7&lt;&gt;"",'制度詳細'!$J$7&gt;=S$23,'制度詳細'!$J$7&lt;=EOMONTH(S$23,0)),"◆","")))</x:f>
        <x:v>■</x:v>
      </x:c>
      <x:c r="T25" s="57" t="str">
        <x:f>IF('制度詳細'!$H$7="",IF('制度詳細'!$J$7="","",IF(AND('制度詳細'!$J$7&gt;=T$23,'制度詳細'!$J$7&lt;=EOMONTH(T$23,0)),"◆","")),IF(MAX('制度詳細'!$H$7,T$23)&lt;=MIN(IF('制度詳細'!$I$7="",EOMONTH(T$23,0),'制度詳細'!$I$7),EOMONTH(T$23,0)),"■",IF(AND('制度詳細'!$J$7&lt;&gt;"",'制度詳細'!$J$7&gt;=T$23,'制度詳細'!$J$7&lt;=EOMONTH(T$23,0)),"◆","")))</x:f>
        <x:v>■</x:v>
      </x:c>
      <x:c r="U25" s="57" t="str">
        <x:f>IF('制度詳細'!$H$7="",IF('制度詳細'!$J$7="","",IF(AND('制度詳細'!$J$7&gt;=U$23,'制度詳細'!$J$7&lt;=EOMONTH(U$23,0)),"◆","")),IF(MAX('制度詳細'!$H$7,U$23)&lt;=MIN(IF('制度詳細'!$I$7="",EOMONTH(U$23,0),'制度詳細'!$I$7),EOMONTH(U$23,0)),"■",IF(AND('制度詳細'!$J$7&lt;&gt;"",'制度詳細'!$J$7&gt;=U$23,'制度詳細'!$J$7&lt;=EOMONTH(U$23,0)),"◆","")))</x:f>
        <x:v>■</x:v>
      </x:c>
      <x:c r="V25" s="57" t="str">
        <x:f>IF('制度詳細'!$H$7="",IF('制度詳細'!$J$7="","",IF(AND('制度詳細'!$J$7&gt;=V$23,'制度詳細'!$J$7&lt;=EOMONTH(V$23,0)),"◆","")),IF(MAX('制度詳細'!$H$7,V$23)&lt;=MIN(IF('制度詳細'!$I$7="",EOMONTH(V$23,0),'制度詳細'!$I$7),EOMONTH(V$23,0)),"■",IF(AND('制度詳細'!$J$7&lt;&gt;"",'制度詳細'!$J$7&gt;=V$23,'制度詳細'!$J$7&lt;=EOMONTH(V$23,0)),"◆","")))</x:f>
        <x:v>■</x:v>
      </x:c>
      <x:c r="W25" s="57" t="str">
        <x:f>IF('制度詳細'!$H$7="",IF('制度詳細'!$J$7="","",IF(AND('制度詳細'!$J$7&gt;=W$23,'制度詳細'!$J$7&lt;=EOMONTH(W$23,0)),"◆","")),IF(MAX('制度詳細'!$H$7,W$23)&lt;=MIN(IF('制度詳細'!$I$7="",EOMONTH(W$23,0),'制度詳細'!$I$7),EOMONTH(W$23,0)),"■",IF(AND('制度詳細'!$J$7&lt;&gt;"",'制度詳細'!$J$7&gt;=W$23,'制度詳細'!$J$7&lt;=EOMONTH(W$23,0)),"◆","")))</x:f>
        <x:v>■</x:v>
      </x:c>
      <x:c r="X25" s="57" t="str">
        <x:f>IF('制度詳細'!$H$7="",IF('制度詳細'!$J$7="","",IF(AND('制度詳細'!$J$7&gt;=X$23,'制度詳細'!$J$7&lt;=EOMONTH(X$23,0)),"◆","")),IF(MAX('制度詳細'!$H$7,X$23)&lt;=MIN(IF('制度詳細'!$I$7="",EOMONTH(X$23,0),'制度詳細'!$I$7),EOMONTH(X$23,0)),"■",IF(AND('制度詳細'!$J$7&lt;&gt;"",'制度詳細'!$J$7&gt;=X$23,'制度詳細'!$J$7&lt;=EOMONTH(X$23,0)),"◆","")))</x:f>
        <x:v>■</x:v>
      </x:c>
      <x:c r="Y25" s="57" t="str">
        <x:f>IF('制度詳細'!$H$7="",IF('制度詳細'!$J$7="","",IF(AND('制度詳細'!$J$7&gt;=Y$23,'制度詳細'!$J$7&lt;=EOMONTH(Y$23,0)),"◆","")),IF(MAX('制度詳細'!$H$7,Y$23)&lt;=MIN(IF('制度詳細'!$I$7="",EOMONTH(Y$23,0),'制度詳細'!$I$7),EOMONTH(Y$23,0)),"■",IF(AND('制度詳細'!$J$7&lt;&gt;"",'制度詳細'!$J$7&gt;=Y$23,'制度詳細'!$J$7&lt;=EOMONTH(Y$23,0)),"◆","")))</x:f>
        <x:v>■</x:v>
      </x:c>
      <x:c r="Z25" s="57" t="str">
        <x:f>IF('制度詳細'!$H$7="",IF('制度詳細'!$J$7="","",IF(AND('制度詳細'!$J$7&gt;=Z$23,'制度詳細'!$J$7&lt;=EOMONTH(Z$23,0)),"◆","")),IF(MAX('制度詳細'!$H$7,Z$23)&lt;=MIN(IF('制度詳細'!$I$7="",EOMONTH(Z$23,0),'制度詳細'!$I$7),EOMONTH(Z$23,0)),"■",IF(AND('制度詳細'!$J$7&lt;&gt;"",'制度詳細'!$J$7&gt;=Z$23,'制度詳細'!$J$7&lt;=EOMONTH(Z$23,0)),"◆","")))</x:f>
        <x:v>■</x:v>
      </x:c>
      <x:c r="AA25" s="57" t="str">
        <x:f>IF('制度詳細'!$H$7="",IF('制度詳細'!$J$7="","",IF(AND('制度詳細'!$J$7&gt;=AA$23,'制度詳細'!$J$7&lt;=EOMONTH(AA$23,0)),"◆","")),IF(MAX('制度詳細'!$H$7,AA$23)&lt;=MIN(IF('制度詳細'!$I$7="",EOMONTH(AA$23,0),'制度詳細'!$I$7),EOMONTH(AA$23,0)),"■",IF(AND('制度詳細'!$J$7&lt;&gt;"",'制度詳細'!$J$7&gt;=AA$23,'制度詳細'!$J$7&lt;=EOMONTH(AA$23,0)),"◆","")))</x:f>
        <x:v>■</x:v>
      </x:c>
      <x:c r="AB25" s="57" t="str">
        <x:f>IF('制度詳細'!$H$7="",IF('制度詳細'!$J$7="","",IF(AND('制度詳細'!$J$7&gt;=AB$23,'制度詳細'!$J$7&lt;=EOMONTH(AB$23,0)),"◆","")),IF(MAX('制度詳細'!$H$7,AB$23)&lt;=MIN(IF('制度詳細'!$I$7="",EOMONTH(AB$23,0),'制度詳細'!$I$7),EOMONTH(AB$23,0)),"■",IF(AND('制度詳細'!$J$7&lt;&gt;"",'制度詳細'!$J$7&gt;=AB$23,'制度詳細'!$J$7&lt;=EOMONTH(AB$23,0)),"◆","")))</x:f>
        <x:v>■</x:v>
      </x:c>
      <x:c r="AC25" s="57" t="str">
        <x:f>IF('制度詳細'!$H$7="",IF('制度詳細'!$J$7="","",IF(AND('制度詳細'!$J$7&gt;=AC$23,'制度詳細'!$J$7&lt;=EOMONTH(AC$23,0)),"◆","")),IF(MAX('制度詳細'!$H$7,AC$23)&lt;=MIN(IF('制度詳細'!$I$7="",EOMONTH(AC$23,0),'制度詳細'!$I$7),EOMONTH(AC$23,0)),"■",IF(AND('制度詳細'!$J$7&lt;&gt;"",'制度詳細'!$J$7&gt;=AC$23,'制度詳細'!$J$7&lt;=EOMONTH(AC$23,0)),"◆","")))</x:f>
        <x:v>■</x:v>
      </x:c>
      <x:c r="AD25" s="57" t="str">
        <x:f>IF('制度詳細'!$H$7="",IF('制度詳細'!$J$7="","",IF(AND('制度詳細'!$J$7&gt;=AD$23,'制度詳細'!$J$7&lt;=EOMONTH(AD$23,0)),"◆","")),IF(MAX('制度詳細'!$H$7,AD$23)&lt;=MIN(IF('制度詳細'!$I$7="",EOMONTH(AD$23,0),'制度詳細'!$I$7),EOMONTH(AD$23,0)),"■",IF(AND('制度詳細'!$J$7&lt;&gt;"",'制度詳細'!$J$7&gt;=AD$23,'制度詳細'!$J$7&lt;=EOMONTH(AD$23,0)),"◆","")))</x:f>
        <x:v>■</x:v>
      </x:c>
      <x:c r="AE25" s="57" t="str">
        <x:f>IF('制度詳細'!$H$7="",IF('制度詳細'!$J$7="","",IF(AND('制度詳細'!$J$7&gt;=AE$23,'制度詳細'!$J$7&lt;=EOMONTH(AE$23,0)),"◆","")),IF(MAX('制度詳細'!$H$7,AE$23)&lt;=MIN(IF('制度詳細'!$I$7="",EOMONTH(AE$23,0),'制度詳細'!$I$7),EOMONTH(AE$23,0)),"■",IF(AND('制度詳細'!$J$7&lt;&gt;"",'制度詳細'!$J$7&gt;=AE$23,'制度詳細'!$J$7&lt;=EOMONTH(AE$23,0)),"◆","")))</x:f>
        <x:v>■</x:v>
      </x:c>
      <x:c r="AF25" s="57" t="str">
        <x:f>IF('制度詳細'!$H$7="",IF('制度詳細'!$J$7="","",IF(AND('制度詳細'!$J$7&gt;=AF$23,'制度詳細'!$J$7&lt;=EOMONTH(AF$23,0)),"◆","")),IF(MAX('制度詳細'!$H$7,AF$23)&lt;=MIN(IF('制度詳細'!$I$7="",EOMONTH(AF$23,0),'制度詳細'!$I$7),EOMONTH(AF$23,0)),"■",IF(AND('制度詳細'!$J$7&lt;&gt;"",'制度詳細'!$J$7&gt;=AF$23,'制度詳細'!$J$7&lt;=EOMONTH(AF$23,0)),"◆","")))</x:f>
        <x:v>■</x:v>
      </x:c>
      <x:c r="AG25" s="57" t="str">
        <x:f>IF('制度詳細'!$H$7="",IF('制度詳細'!$J$7="","",IF(AND('制度詳細'!$J$7&gt;=AG$23,'制度詳細'!$J$7&lt;=EOMONTH(AG$23,0)),"◆","")),IF(MAX('制度詳細'!$H$7,AG$23)&lt;=MIN(IF('制度詳細'!$I$7="",EOMONTH(AG$23,0),'制度詳細'!$I$7),EOMONTH(AG$23,0)),"■",IF(AND('制度詳細'!$J$7&lt;&gt;"",'制度詳細'!$J$7&gt;=AG$23,'制度詳細'!$J$7&lt;=EOMONTH(AG$23,0)),"◆","")))</x:f>
        <x:v>■</x:v>
      </x:c>
      <x:c r="AH25" s="57" t="str">
        <x:f>IF('制度詳細'!$H$7="",IF('制度詳細'!$J$7="","",IF(AND('制度詳細'!$J$7&gt;=AH$23,'制度詳細'!$J$7&lt;=EOMONTH(AH$23,0)),"◆","")),IF(MAX('制度詳細'!$H$7,AH$23)&lt;=MIN(IF('制度詳細'!$I$7="",EOMONTH(AH$23,0),'制度詳細'!$I$7),EOMONTH(AH$23,0)),"■",IF(AND('制度詳細'!$J$7&lt;&gt;"",'制度詳細'!$J$7&gt;=AH$23,'制度詳細'!$J$7&lt;=EOMONTH(AH$23,0)),"◆","")))</x:f>
        <x:v>■</x:v>
      </x:c>
      <x:c r="AI25" s="57" t="str">
        <x:f>IF('制度詳細'!$H$7="",IF('制度詳細'!$J$7="","",IF(AND('制度詳細'!$J$7&gt;=AI$23,'制度詳細'!$J$7&lt;=EOMONTH(AI$23,0)),"◆","")),IF(MAX('制度詳細'!$H$7,AI$23)&lt;=MIN(IF('制度詳細'!$I$7="",EOMONTH(AI$23,0),'制度詳細'!$I$7),EOMONTH(AI$23,0)),"■",IF(AND('制度詳細'!$J$7&lt;&gt;"",'制度詳細'!$J$7&gt;=AI$23,'制度詳細'!$J$7&lt;=EOMONTH(AI$23,0)),"◆","")))</x:f>
        <x:v>■</x:v>
      </x:c>
      <x:c r="AJ25" s="57" t="str">
        <x:f>IF('制度詳細'!$H$7="",IF('制度詳細'!$J$7="","",IF(AND('制度詳細'!$J$7&gt;=AJ$23,'制度詳細'!$J$7&lt;=EOMONTH(AJ$23,0)),"◆","")),IF(MAX('制度詳細'!$H$7,AJ$23)&lt;=MIN(IF('制度詳細'!$I$7="",EOMONTH(AJ$23,0),'制度詳細'!$I$7),EOMONTH(AJ$23,0)),"■",IF(AND('制度詳細'!$J$7&lt;&gt;"",'制度詳細'!$J$7&gt;=AJ$23,'制度詳細'!$J$7&lt;=EOMONTH(AJ$23,0)),"◆","")))</x:f>
        <x:v>■</x:v>
      </x:c>
      <x:c r="AK25" s="57" t="str">
        <x:f>IF('制度詳細'!$H$7="",IF('制度詳細'!$J$7="","",IF(AND('制度詳細'!$J$7&gt;=AK$23,'制度詳細'!$J$7&lt;=EOMONTH(AK$23,0)),"◆","")),IF(MAX('制度詳細'!$H$7,AK$23)&lt;=MIN(IF('制度詳細'!$I$7="",EOMONTH(AK$23,0),'制度詳細'!$I$7),EOMONTH(AK$23,0)),"■",IF(AND('制度詳細'!$J$7&lt;&gt;"",'制度詳細'!$J$7&gt;=AK$23,'制度詳細'!$J$7&lt;=EOMONTH(AK$23,0)),"◆","")))</x:f>
        <x:v>■</x:v>
      </x:c>
      <x:c r="AL25" s="57" t="str">
        <x:f>IF('制度詳細'!$H$7="",IF('制度詳細'!$J$7="","",IF(AND('制度詳細'!$J$7&gt;=AL$23,'制度詳細'!$J$7&lt;=EOMONTH(AL$23,0)),"◆","")),IF(MAX('制度詳細'!$H$7,AL$23)&lt;=MIN(IF('制度詳細'!$I$7="",EOMONTH(AL$23,0),'制度詳細'!$I$7),EOMONTH(AL$23,0)),"■",IF(AND('制度詳細'!$J$7&lt;&gt;"",'制度詳細'!$J$7&gt;=AL$23,'制度詳細'!$J$7&lt;=EOMONTH(AL$23,0)),"◆","")))</x:f>
        <x:v>■</x:v>
      </x:c>
      <x:c r="AM25" s="57" t="str">
        <x:f>IF('制度詳細'!$H$7="",IF('制度詳細'!$J$7="","",IF(AND('制度詳細'!$J$7&gt;=AM$23,'制度詳細'!$J$7&lt;=EOMONTH(AM$23,0)),"◆","")),IF(MAX('制度詳細'!$H$7,AM$23)&lt;=MIN(IF('制度詳細'!$I$7="",EOMONTH(AM$23,0),'制度詳細'!$I$7),EOMONTH(AM$23,0)),"■",IF(AND('制度詳細'!$J$7&lt;&gt;"",'制度詳細'!$J$7&gt;=AM$23,'制度詳細'!$J$7&lt;=EOMONTH(AM$23,0)),"◆","")))</x:f>
        <x:v>■</x:v>
      </x:c>
      <x:c r="AN25" s="57" t="str">
        <x:f>IF('制度詳細'!$H$7="",IF('制度詳細'!$J$7="","",IF(AND('制度詳細'!$J$7&gt;=AN$23,'制度詳細'!$J$7&lt;=EOMONTH(AN$23,0)),"◆","")),IF(MAX('制度詳細'!$H$7,AN$23)&lt;=MIN(IF('制度詳細'!$I$7="",EOMONTH(AN$23,0),'制度詳細'!$I$7),EOMONTH(AN$23,0)),"■",IF(AND('制度詳細'!$J$7&lt;&gt;"",'制度詳細'!$J$7&gt;=AN$23,'制度詳細'!$J$7&lt;=EOMONTH(AN$23,0)),"◆","")))</x:f>
        <x:v>■</x:v>
      </x:c>
      <x:c r="AO25" s="57" t="str">
        <x:f>IF('制度詳細'!$H$7="",IF('制度詳細'!$J$7="","",IF(AND('制度詳細'!$J$7&gt;=AO$23,'制度詳細'!$J$7&lt;=EOMONTH(AO$23,0)),"◆","")),IF(MAX('制度詳細'!$H$7,AO$23)&lt;=MIN(IF('制度詳細'!$I$7="",EOMONTH(AO$23,0),'制度詳細'!$I$7),EOMONTH(AO$23,0)),"■",IF(AND('制度詳細'!$J$7&lt;&gt;"",'制度詳細'!$J$7&gt;=AO$23,'制度詳細'!$J$7&lt;=EOMONTH(AO$23,0)),"◆","")))</x:f>
        <x:v>■</x:v>
      </x:c>
      <x:c r="AP25" s="57" t="str">
        <x:f>IF('制度詳細'!$H$7="",IF('制度詳細'!$J$7="","",IF(AND('制度詳細'!$J$7&gt;=AP$23,'制度詳細'!$J$7&lt;=EOMONTH(AP$23,0)),"◆","")),IF(MAX('制度詳細'!$H$7,AP$23)&lt;=MIN(IF('制度詳細'!$I$7="",EOMONTH(AP$23,0),'制度詳細'!$I$7),EOMONTH(AP$23,0)),"■",IF(AND('制度詳細'!$J$7&lt;&gt;"",'制度詳細'!$J$7&gt;=AP$23,'制度詳細'!$J$7&lt;=EOMONTH(AP$23,0)),"◆","")))</x:f>
        <x:v>■</x:v>
      </x:c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</x:row>
    <x:row r="26" ht="30" customHeight="1">
      <x:c r="A26" s="54" t="str">
        <x:v>TH03 EV3.5：物品税8→2%</x:v>
      </x:c>
      <x:c r="B26" s="54"/>
      <x:c r="C26" s="54"/>
      <x:c r="D26" s="54"/>
      <x:c r="E26" s="54"/>
      <x:c r="F26" s="54"/>
      <x:c r="G26" s="57" t="str">
        <x:f>IF('制度詳細'!$H$8="",IF('制度詳細'!$J$8="","",IF(AND('制度詳細'!$J$8&gt;=G$23,'制度詳細'!$J$8&lt;=EOMONTH(G$23,0)),"◆","")),IF(MAX('制度詳細'!$H$8,G$23)&lt;=MIN(IF('制度詳細'!$I$8="",EOMONTH(G$23,0),'制度詳細'!$I$8),EOMONTH(G$23,0)),"■",IF(AND('制度詳細'!$J$8&lt;&gt;"",'制度詳細'!$J$8&gt;=G$23,'制度詳細'!$J$8&lt;=EOMONTH(G$23,0)),"◆","")))</x:f>
        <x:v>■</x:v>
      </x:c>
      <x:c r="H26" s="57" t="str">
        <x:f>IF('制度詳細'!$H$8="",IF('制度詳細'!$J$8="","",IF(AND('制度詳細'!$J$8&gt;=H$23,'制度詳細'!$J$8&lt;=EOMONTH(H$23,0)),"◆","")),IF(MAX('制度詳細'!$H$8,H$23)&lt;=MIN(IF('制度詳細'!$I$8="",EOMONTH(H$23,0),'制度詳細'!$I$8),EOMONTH(H$23,0)),"■",IF(AND('制度詳細'!$J$8&lt;&gt;"",'制度詳細'!$J$8&gt;=H$23,'制度詳細'!$J$8&lt;=EOMONTH(H$23,0)),"◆","")))</x:f>
        <x:v>■</x:v>
      </x:c>
      <x:c r="I26" s="57" t="str">
        <x:f>IF('制度詳細'!$H$8="",IF('制度詳細'!$J$8="","",IF(AND('制度詳細'!$J$8&gt;=I$23,'制度詳細'!$J$8&lt;=EOMONTH(I$23,0)),"◆","")),IF(MAX('制度詳細'!$H$8,I$23)&lt;=MIN(IF('制度詳細'!$I$8="",EOMONTH(I$23,0),'制度詳細'!$I$8),EOMONTH(I$23,0)),"■",IF(AND('制度詳細'!$J$8&lt;&gt;"",'制度詳細'!$J$8&gt;=I$23,'制度詳細'!$J$8&lt;=EOMONTH(I$23,0)),"◆","")))</x:f>
        <x:v>■</x:v>
      </x:c>
      <x:c r="J26" s="57" t="str">
        <x:f>IF('制度詳細'!$H$8="",IF('制度詳細'!$J$8="","",IF(AND('制度詳細'!$J$8&gt;=J$23,'制度詳細'!$J$8&lt;=EOMONTH(J$23,0)),"◆","")),IF(MAX('制度詳細'!$H$8,J$23)&lt;=MIN(IF('制度詳細'!$I$8="",EOMONTH(J$23,0),'制度詳細'!$I$8),EOMONTH(J$23,0)),"■",IF(AND('制度詳細'!$J$8&lt;&gt;"",'制度詳細'!$J$8&gt;=J$23,'制度詳細'!$J$8&lt;=EOMONTH(J$23,0)),"◆","")))</x:f>
        <x:v>■</x:v>
      </x:c>
      <x:c r="K26" s="57" t="str">
        <x:f>IF('制度詳細'!$H$8="",IF('制度詳細'!$J$8="","",IF(AND('制度詳細'!$J$8&gt;=K$23,'制度詳細'!$J$8&lt;=EOMONTH(K$23,0)),"◆","")),IF(MAX('制度詳細'!$H$8,K$23)&lt;=MIN(IF('制度詳細'!$I$8="",EOMONTH(K$23,0),'制度詳細'!$I$8),EOMONTH(K$23,0)),"■",IF(AND('制度詳細'!$J$8&lt;&gt;"",'制度詳細'!$J$8&gt;=K$23,'制度詳細'!$J$8&lt;=EOMONTH(K$23,0)),"◆","")))</x:f>
        <x:v>■</x:v>
      </x:c>
      <x:c r="L26" s="57" t="str">
        <x:f>IF('制度詳細'!$H$8="",IF('制度詳細'!$J$8="","",IF(AND('制度詳細'!$J$8&gt;=L$23,'制度詳細'!$J$8&lt;=EOMONTH(L$23,0)),"◆","")),IF(MAX('制度詳細'!$H$8,L$23)&lt;=MIN(IF('制度詳細'!$I$8="",EOMONTH(L$23,0),'制度詳細'!$I$8),EOMONTH(L$23,0)),"■",IF(AND('制度詳細'!$J$8&lt;&gt;"",'制度詳細'!$J$8&gt;=L$23,'制度詳細'!$J$8&lt;=EOMONTH(L$23,0)),"◆","")))</x:f>
        <x:v>■</x:v>
      </x:c>
      <x:c r="M26" s="57" t="str">
        <x:f>IF('制度詳細'!$H$8="",IF('制度詳細'!$J$8="","",IF(AND('制度詳細'!$J$8&gt;=M$23,'制度詳細'!$J$8&lt;=EOMONTH(M$23,0)),"◆","")),IF(MAX('制度詳細'!$H$8,M$23)&lt;=MIN(IF('制度詳細'!$I$8="",EOMONTH(M$23,0),'制度詳細'!$I$8),EOMONTH(M$23,0)),"■",IF(AND('制度詳細'!$J$8&lt;&gt;"",'制度詳細'!$J$8&gt;=M$23,'制度詳細'!$J$8&lt;=EOMONTH(M$23,0)),"◆","")))</x:f>
        <x:v>■</x:v>
      </x:c>
      <x:c r="N26" s="57" t="str">
        <x:f>IF('制度詳細'!$H$8="",IF('制度詳細'!$J$8="","",IF(AND('制度詳細'!$J$8&gt;=N$23,'制度詳細'!$J$8&lt;=EOMONTH(N$23,0)),"◆","")),IF(MAX('制度詳細'!$H$8,N$23)&lt;=MIN(IF('制度詳細'!$I$8="",EOMONTH(N$23,0),'制度詳細'!$I$8),EOMONTH(N$23,0)),"■",IF(AND('制度詳細'!$J$8&lt;&gt;"",'制度詳細'!$J$8&gt;=N$23,'制度詳細'!$J$8&lt;=EOMONTH(N$23,0)),"◆","")))</x:f>
        <x:v>■</x:v>
      </x:c>
      <x:c r="O26" s="57" t="str">
        <x:f>IF('制度詳細'!$H$8="",IF('制度詳細'!$J$8="","",IF(AND('制度詳細'!$J$8&gt;=O$23,'制度詳細'!$J$8&lt;=EOMONTH(O$23,0)),"◆","")),IF(MAX('制度詳細'!$H$8,O$23)&lt;=MIN(IF('制度詳細'!$I$8="",EOMONTH(O$23,0),'制度詳細'!$I$8),EOMONTH(O$23,0)),"■",IF(AND('制度詳細'!$J$8&lt;&gt;"",'制度詳細'!$J$8&gt;=O$23,'制度詳細'!$J$8&lt;=EOMONTH(O$23,0)),"◆","")))</x:f>
        <x:v>■</x:v>
      </x:c>
      <x:c r="P26" s="57" t="str">
        <x:f>IF('制度詳細'!$H$8="",IF('制度詳細'!$J$8="","",IF(AND('制度詳細'!$J$8&gt;=P$23,'制度詳細'!$J$8&lt;=EOMONTH(P$23,0)),"◆","")),IF(MAX('制度詳細'!$H$8,P$23)&lt;=MIN(IF('制度詳細'!$I$8="",EOMONTH(P$23,0),'制度詳細'!$I$8),EOMONTH(P$23,0)),"■",IF(AND('制度詳細'!$J$8&lt;&gt;"",'制度詳細'!$J$8&gt;=P$23,'制度詳細'!$J$8&lt;=EOMONTH(P$23,0)),"◆","")))</x:f>
        <x:v>■</x:v>
      </x:c>
      <x:c r="Q26" s="57" t="str">
        <x:f>IF('制度詳細'!$H$8="",IF('制度詳細'!$J$8="","",IF(AND('制度詳細'!$J$8&gt;=Q$23,'制度詳細'!$J$8&lt;=EOMONTH(Q$23,0)),"◆","")),IF(MAX('制度詳細'!$H$8,Q$23)&lt;=MIN(IF('制度詳細'!$I$8="",EOMONTH(Q$23,0),'制度詳細'!$I$8),EOMONTH(Q$23,0)),"■",IF(AND('制度詳細'!$J$8&lt;&gt;"",'制度詳細'!$J$8&gt;=Q$23,'制度詳細'!$J$8&lt;=EOMONTH(Q$23,0)),"◆","")))</x:f>
        <x:v>■</x:v>
      </x:c>
      <x:c r="R26" s="57" t="str">
        <x:f>IF('制度詳細'!$H$8="",IF('制度詳細'!$J$8="","",IF(AND('制度詳細'!$J$8&gt;=R$23,'制度詳細'!$J$8&lt;=EOMONTH(R$23,0)),"◆","")),IF(MAX('制度詳細'!$H$8,R$23)&lt;=MIN(IF('制度詳細'!$I$8="",EOMONTH(R$23,0),'制度詳細'!$I$8),EOMONTH(R$23,0)),"■",IF(AND('制度詳細'!$J$8&lt;&gt;"",'制度詳細'!$J$8&gt;=R$23,'制度詳細'!$J$8&lt;=EOMONTH(R$23,0)),"◆","")))</x:f>
        <x:v>■</x:v>
      </x:c>
      <x:c r="S26" s="57" t="str">
        <x:f>IF('制度詳細'!$H$8="",IF('制度詳細'!$J$8="","",IF(AND('制度詳細'!$J$8&gt;=S$23,'制度詳細'!$J$8&lt;=EOMONTH(S$23,0)),"◆","")),IF(MAX('制度詳細'!$H$8,S$23)&lt;=MIN(IF('制度詳細'!$I$8="",EOMONTH(S$23,0),'制度詳細'!$I$8),EOMONTH(S$23,0)),"■",IF(AND('制度詳細'!$J$8&lt;&gt;"",'制度詳細'!$J$8&gt;=S$23,'制度詳細'!$J$8&lt;=EOMONTH(S$23,0)),"◆","")))</x:f>
        <x:v>■</x:v>
      </x:c>
      <x:c r="T26" s="57" t="str">
        <x:f>IF('制度詳細'!$H$8="",IF('制度詳細'!$J$8="","",IF(AND('制度詳細'!$J$8&gt;=T$23,'制度詳細'!$J$8&lt;=EOMONTH(T$23,0)),"◆","")),IF(MAX('制度詳細'!$H$8,T$23)&lt;=MIN(IF('制度詳細'!$I$8="",EOMONTH(T$23,0),'制度詳細'!$I$8),EOMONTH(T$23,0)),"■",IF(AND('制度詳細'!$J$8&lt;&gt;"",'制度詳細'!$J$8&gt;=T$23,'制度詳細'!$J$8&lt;=EOMONTH(T$23,0)),"◆","")))</x:f>
        <x:v>■</x:v>
      </x:c>
      <x:c r="U26" s="57" t="str">
        <x:f>IF('制度詳細'!$H$8="",IF('制度詳細'!$J$8="","",IF(AND('制度詳細'!$J$8&gt;=U$23,'制度詳細'!$J$8&lt;=EOMONTH(U$23,0)),"◆","")),IF(MAX('制度詳細'!$H$8,U$23)&lt;=MIN(IF('制度詳細'!$I$8="",EOMONTH(U$23,0),'制度詳細'!$I$8),EOMONTH(U$23,0)),"■",IF(AND('制度詳細'!$J$8&lt;&gt;"",'制度詳細'!$J$8&gt;=U$23,'制度詳細'!$J$8&lt;=EOMONTH(U$23,0)),"◆","")))</x:f>
        <x:v>■</x:v>
      </x:c>
      <x:c r="V26" s="57" t="str">
        <x:f>IF('制度詳細'!$H$8="",IF('制度詳細'!$J$8="","",IF(AND('制度詳細'!$J$8&gt;=V$23,'制度詳細'!$J$8&lt;=EOMONTH(V$23,0)),"◆","")),IF(MAX('制度詳細'!$H$8,V$23)&lt;=MIN(IF('制度詳細'!$I$8="",EOMONTH(V$23,0),'制度詳細'!$I$8),EOMONTH(V$23,0)),"■",IF(AND('制度詳細'!$J$8&lt;&gt;"",'制度詳細'!$J$8&gt;=V$23,'制度詳細'!$J$8&lt;=EOMONTH(V$23,0)),"◆","")))</x:f>
        <x:v>■</x:v>
      </x:c>
      <x:c r="W26" s="57" t="str">
        <x:f>IF('制度詳細'!$H$8="",IF('制度詳細'!$J$8="","",IF(AND('制度詳細'!$J$8&gt;=W$23,'制度詳細'!$J$8&lt;=EOMONTH(W$23,0)),"◆","")),IF(MAX('制度詳細'!$H$8,W$23)&lt;=MIN(IF('制度詳細'!$I$8="",EOMONTH(W$23,0),'制度詳細'!$I$8),EOMONTH(W$23,0)),"■",IF(AND('制度詳細'!$J$8&lt;&gt;"",'制度詳細'!$J$8&gt;=W$23,'制度詳細'!$J$8&lt;=EOMONTH(W$23,0)),"◆","")))</x:f>
        <x:v>■</x:v>
      </x:c>
      <x:c r="X26" s="57" t="str">
        <x:f>IF('制度詳細'!$H$8="",IF('制度詳細'!$J$8="","",IF(AND('制度詳細'!$J$8&gt;=X$23,'制度詳細'!$J$8&lt;=EOMONTH(X$23,0)),"◆","")),IF(MAX('制度詳細'!$H$8,X$23)&lt;=MIN(IF('制度詳細'!$I$8="",EOMONTH(X$23,0),'制度詳細'!$I$8),EOMONTH(X$23,0)),"■",IF(AND('制度詳細'!$J$8&lt;&gt;"",'制度詳細'!$J$8&gt;=X$23,'制度詳細'!$J$8&lt;=EOMONTH(X$23,0)),"◆","")))</x:f>
        <x:v>■</x:v>
      </x:c>
      <x:c r="Y26" s="57" t="str">
        <x:f>IF('制度詳細'!$H$8="",IF('制度詳細'!$J$8="","",IF(AND('制度詳細'!$J$8&gt;=Y$23,'制度詳細'!$J$8&lt;=EOMONTH(Y$23,0)),"◆","")),IF(MAX('制度詳細'!$H$8,Y$23)&lt;=MIN(IF('制度詳細'!$I$8="",EOMONTH(Y$23,0),'制度詳細'!$I$8),EOMONTH(Y$23,0)),"■",IF(AND('制度詳細'!$J$8&lt;&gt;"",'制度詳細'!$J$8&gt;=Y$23,'制度詳細'!$J$8&lt;=EOMONTH(Y$23,0)),"◆","")))</x:f>
        <x:v>■</x:v>
      </x:c>
      <x:c r="Z26" s="57" t="str">
        <x:f>IF('制度詳細'!$H$8="",IF('制度詳細'!$J$8="","",IF(AND('制度詳細'!$J$8&gt;=Z$23,'制度詳細'!$J$8&lt;=EOMONTH(Z$23,0)),"◆","")),IF(MAX('制度詳細'!$H$8,Z$23)&lt;=MIN(IF('制度詳細'!$I$8="",EOMONTH(Z$23,0),'制度詳細'!$I$8),EOMONTH(Z$23,0)),"■",IF(AND('制度詳細'!$J$8&lt;&gt;"",'制度詳細'!$J$8&gt;=Z$23,'制度詳細'!$J$8&lt;=EOMONTH(Z$23,0)),"◆","")))</x:f>
        <x:v>■</x:v>
      </x:c>
      <x:c r="AA26" s="57" t="str">
        <x:f>IF('制度詳細'!$H$8="",IF('制度詳細'!$J$8="","",IF(AND('制度詳細'!$J$8&gt;=AA$23,'制度詳細'!$J$8&lt;=EOMONTH(AA$23,0)),"◆","")),IF(MAX('制度詳細'!$H$8,AA$23)&lt;=MIN(IF('制度詳細'!$I$8="",EOMONTH(AA$23,0),'制度詳細'!$I$8),EOMONTH(AA$23,0)),"■",IF(AND('制度詳細'!$J$8&lt;&gt;"",'制度詳細'!$J$8&gt;=AA$23,'制度詳細'!$J$8&lt;=EOMONTH(AA$23,0)),"◆","")))</x:f>
        <x:v>■</x:v>
      </x:c>
      <x:c r="AB26" s="57" t="str">
        <x:f>IF('制度詳細'!$H$8="",IF('制度詳細'!$J$8="","",IF(AND('制度詳細'!$J$8&gt;=AB$23,'制度詳細'!$J$8&lt;=EOMONTH(AB$23,0)),"◆","")),IF(MAX('制度詳細'!$H$8,AB$23)&lt;=MIN(IF('制度詳細'!$I$8="",EOMONTH(AB$23,0),'制度詳細'!$I$8),EOMONTH(AB$23,0)),"■",IF(AND('制度詳細'!$J$8&lt;&gt;"",'制度詳細'!$J$8&gt;=AB$23,'制度詳細'!$J$8&lt;=EOMONTH(AB$23,0)),"◆","")))</x:f>
        <x:v>■</x:v>
      </x:c>
      <x:c r="AC26" s="57" t="str">
        <x:f>IF('制度詳細'!$H$8="",IF('制度詳細'!$J$8="","",IF(AND('制度詳細'!$J$8&gt;=AC$23,'制度詳細'!$J$8&lt;=EOMONTH(AC$23,0)),"◆","")),IF(MAX('制度詳細'!$H$8,AC$23)&lt;=MIN(IF('制度詳細'!$I$8="",EOMONTH(AC$23,0),'制度詳細'!$I$8),EOMONTH(AC$23,0)),"■",IF(AND('制度詳細'!$J$8&lt;&gt;"",'制度詳細'!$J$8&gt;=AC$23,'制度詳細'!$J$8&lt;=EOMONTH(AC$23,0)),"◆","")))</x:f>
        <x:v>■</x:v>
      </x:c>
      <x:c r="AD26" s="57" t="str">
        <x:f>IF('制度詳細'!$H$8="",IF('制度詳細'!$J$8="","",IF(AND('制度詳細'!$J$8&gt;=AD$23,'制度詳細'!$J$8&lt;=EOMONTH(AD$23,0)),"◆","")),IF(MAX('制度詳細'!$H$8,AD$23)&lt;=MIN(IF('制度詳細'!$I$8="",EOMONTH(AD$23,0),'制度詳細'!$I$8),EOMONTH(AD$23,0)),"■",IF(AND('制度詳細'!$J$8&lt;&gt;"",'制度詳細'!$J$8&gt;=AD$23,'制度詳細'!$J$8&lt;=EOMONTH(AD$23,0)),"◆","")))</x:f>
        <x:v>■</x:v>
      </x:c>
      <x:c r="AE26" s="57" t="str">
        <x:f>IF('制度詳細'!$H$8="",IF('制度詳細'!$J$8="","",IF(AND('制度詳細'!$J$8&gt;=AE$23,'制度詳細'!$J$8&lt;=EOMONTH(AE$23,0)),"◆","")),IF(MAX('制度詳細'!$H$8,AE$23)&lt;=MIN(IF('制度詳細'!$I$8="",EOMONTH(AE$23,0),'制度詳細'!$I$8),EOMONTH(AE$23,0)),"■",IF(AND('制度詳細'!$J$8&lt;&gt;"",'制度詳細'!$J$8&gt;=AE$23,'制度詳細'!$J$8&lt;=EOMONTH(AE$23,0)),"◆","")))</x:f>
        <x:v>■</x:v>
      </x:c>
      <x:c r="AF26" s="57" t="str">
        <x:f>IF('制度詳細'!$H$8="",IF('制度詳細'!$J$8="","",IF(AND('制度詳細'!$J$8&gt;=AF$23,'制度詳細'!$J$8&lt;=EOMONTH(AF$23,0)),"◆","")),IF(MAX('制度詳細'!$H$8,AF$23)&lt;=MIN(IF('制度詳細'!$I$8="",EOMONTH(AF$23,0),'制度詳細'!$I$8),EOMONTH(AF$23,0)),"■",IF(AND('制度詳細'!$J$8&lt;&gt;"",'制度詳細'!$J$8&gt;=AF$23,'制度詳細'!$J$8&lt;=EOMONTH(AF$23,0)),"◆","")))</x:f>
        <x:v>■</x:v>
      </x:c>
      <x:c r="AG26" s="57" t="str">
        <x:f>IF('制度詳細'!$H$8="",IF('制度詳細'!$J$8="","",IF(AND('制度詳細'!$J$8&gt;=AG$23,'制度詳細'!$J$8&lt;=EOMONTH(AG$23,0)),"◆","")),IF(MAX('制度詳細'!$H$8,AG$23)&lt;=MIN(IF('制度詳細'!$I$8="",EOMONTH(AG$23,0),'制度詳細'!$I$8),EOMONTH(AG$23,0)),"■",IF(AND('制度詳細'!$J$8&lt;&gt;"",'制度詳細'!$J$8&gt;=AG$23,'制度詳細'!$J$8&lt;=EOMONTH(AG$23,0)),"◆","")))</x:f>
        <x:v>■</x:v>
      </x:c>
      <x:c r="AH26" s="57" t="str">
        <x:f>IF('制度詳細'!$H$8="",IF('制度詳細'!$J$8="","",IF(AND('制度詳細'!$J$8&gt;=AH$23,'制度詳細'!$J$8&lt;=EOMONTH(AH$23,0)),"◆","")),IF(MAX('制度詳細'!$H$8,AH$23)&lt;=MIN(IF('制度詳細'!$I$8="",EOMONTH(AH$23,0),'制度詳細'!$I$8),EOMONTH(AH$23,0)),"■",IF(AND('制度詳細'!$J$8&lt;&gt;"",'制度詳細'!$J$8&gt;=AH$23,'制度詳細'!$J$8&lt;=EOMONTH(AH$23,0)),"◆","")))</x:f>
        <x:v>■</x:v>
      </x:c>
      <x:c r="AI26" s="57" t="str">
        <x:f>IF('制度詳細'!$H$8="",IF('制度詳細'!$J$8="","",IF(AND('制度詳細'!$J$8&gt;=AI$23,'制度詳細'!$J$8&lt;=EOMONTH(AI$23,0)),"◆","")),IF(MAX('制度詳細'!$H$8,AI$23)&lt;=MIN(IF('制度詳細'!$I$8="",EOMONTH(AI$23,0),'制度詳細'!$I$8),EOMONTH(AI$23,0)),"■",IF(AND('制度詳細'!$J$8&lt;&gt;"",'制度詳細'!$J$8&gt;=AI$23,'制度詳細'!$J$8&lt;=EOMONTH(AI$23,0)),"◆","")))</x:f>
        <x:v>■</x:v>
      </x:c>
      <x:c r="AJ26" s="57" t="str">
        <x:f>IF('制度詳細'!$H$8="",IF('制度詳細'!$J$8="","",IF(AND('制度詳細'!$J$8&gt;=AJ$23,'制度詳細'!$J$8&lt;=EOMONTH(AJ$23,0)),"◆","")),IF(MAX('制度詳細'!$H$8,AJ$23)&lt;=MIN(IF('制度詳細'!$I$8="",EOMONTH(AJ$23,0),'制度詳細'!$I$8),EOMONTH(AJ$23,0)),"■",IF(AND('制度詳細'!$J$8&lt;&gt;"",'制度詳細'!$J$8&gt;=AJ$23,'制度詳細'!$J$8&lt;=EOMONTH(AJ$23,0)),"◆","")))</x:f>
        <x:v>■</x:v>
      </x:c>
      <x:c r="AK26" s="57" t="str">
        <x:f>IF('制度詳細'!$H$8="",IF('制度詳細'!$J$8="","",IF(AND('制度詳細'!$J$8&gt;=AK$23,'制度詳細'!$J$8&lt;=EOMONTH(AK$23,0)),"◆","")),IF(MAX('制度詳細'!$H$8,AK$23)&lt;=MIN(IF('制度詳細'!$I$8="",EOMONTH(AK$23,0),'制度詳細'!$I$8),EOMONTH(AK$23,0)),"■",IF(AND('制度詳細'!$J$8&lt;&gt;"",'制度詳細'!$J$8&gt;=AK$23,'制度詳細'!$J$8&lt;=EOMONTH(AK$23,0)),"◆","")))</x:f>
        <x:v>■</x:v>
      </x:c>
      <x:c r="AL26" s="57" t="str">
        <x:f>IF('制度詳細'!$H$8="",IF('制度詳細'!$J$8="","",IF(AND('制度詳細'!$J$8&gt;=AL$23,'制度詳細'!$J$8&lt;=EOMONTH(AL$23,0)),"◆","")),IF(MAX('制度詳細'!$H$8,AL$23)&lt;=MIN(IF('制度詳細'!$I$8="",EOMONTH(AL$23,0),'制度詳細'!$I$8),EOMONTH(AL$23,0)),"■",IF(AND('制度詳細'!$J$8&lt;&gt;"",'制度詳細'!$J$8&gt;=AL$23,'制度詳細'!$J$8&lt;=EOMONTH(AL$23,0)),"◆","")))</x:f>
        <x:v>■</x:v>
      </x:c>
      <x:c r="AM26" s="57" t="str">
        <x:f>IF('制度詳細'!$H$8="",IF('制度詳細'!$J$8="","",IF(AND('制度詳細'!$J$8&gt;=AM$23,'制度詳細'!$J$8&lt;=EOMONTH(AM$23,0)),"◆","")),IF(MAX('制度詳細'!$H$8,AM$23)&lt;=MIN(IF('制度詳細'!$I$8="",EOMONTH(AM$23,0),'制度詳細'!$I$8),EOMONTH(AM$23,0)),"■",IF(AND('制度詳細'!$J$8&lt;&gt;"",'制度詳細'!$J$8&gt;=AM$23,'制度詳細'!$J$8&lt;=EOMONTH(AM$23,0)),"◆","")))</x:f>
        <x:v>■</x:v>
      </x:c>
      <x:c r="AN26" s="57" t="str">
        <x:f>IF('制度詳細'!$H$8="",IF('制度詳細'!$J$8="","",IF(AND('制度詳細'!$J$8&gt;=AN$23,'制度詳細'!$J$8&lt;=EOMONTH(AN$23,0)),"◆","")),IF(MAX('制度詳細'!$H$8,AN$23)&lt;=MIN(IF('制度詳細'!$I$8="",EOMONTH(AN$23,0),'制度詳細'!$I$8),EOMONTH(AN$23,0)),"■",IF(AND('制度詳細'!$J$8&lt;&gt;"",'制度詳細'!$J$8&gt;=AN$23,'制度詳細'!$J$8&lt;=EOMONTH(AN$23,0)),"◆","")))</x:f>
        <x:v>■</x:v>
      </x:c>
      <x:c r="AO26" s="57" t="str">
        <x:f>IF('制度詳細'!$H$8="",IF('制度詳細'!$J$8="","",IF(AND('制度詳細'!$J$8&gt;=AO$23,'制度詳細'!$J$8&lt;=EOMONTH(AO$23,0)),"◆","")),IF(MAX('制度詳細'!$H$8,AO$23)&lt;=MIN(IF('制度詳細'!$I$8="",EOMONTH(AO$23,0),'制度詳細'!$I$8),EOMONTH(AO$23,0)),"■",IF(AND('制度詳細'!$J$8&lt;&gt;"",'制度詳細'!$J$8&gt;=AO$23,'制度詳細'!$J$8&lt;=EOMONTH(AO$23,0)),"◆","")))</x:f>
        <x:v>■</x:v>
      </x:c>
      <x:c r="AP26" s="57" t="str">
        <x:f>IF('制度詳細'!$H$8="",IF('制度詳細'!$J$8="","",IF(AND('制度詳細'!$J$8&gt;=AP$23,'制度詳細'!$J$8&lt;=EOMONTH(AP$23,0)),"◆","")),IF(MAX('制度詳細'!$H$8,AP$23)&lt;=MIN(IF('制度詳細'!$I$8="",EOMONTH(AP$23,0),'制度詳細'!$I$8),EOMONTH(AP$23,0)),"■",IF(AND('制度詳細'!$J$8&lt;&gt;"",'制度詳細'!$J$8&gt;=AP$23,'制度詳細'!$J$8&lt;=EOMONTH(AP$23,0)),"◆","")))</x:f>
        <x:v>■</x:v>
      </x:c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</x:row>
    <x:row r="27" ht="30" customHeight="1">
      <x:c r="A27" s="59" t="str">
        <x:v>TH04 EV3.5：CBU輸入軽減</x:v>
      </x:c>
      <x:c r="B27" s="59"/>
      <x:c r="C27" s="59"/>
      <x:c r="D27" s="59"/>
      <x:c r="E27" s="59"/>
      <x:c r="F27" s="59"/>
      <x:c r="G27" s="57" t="str">
        <x:f>IF('制度詳細'!$H$9="",IF('制度詳細'!$J$9="","",IF(AND('制度詳細'!$J$9&gt;=G$23,'制度詳細'!$J$9&lt;=EOMONTH(G$23,0)),"◆","")),IF(MAX('制度詳細'!$H$9,G$23)&lt;=MIN(IF('制度詳細'!$I$9="",EOMONTH(G$23,0),'制度詳細'!$I$9),EOMONTH(G$23,0)),"■",IF(AND('制度詳細'!$J$9&lt;&gt;"",'制度詳細'!$J$9&gt;=G$23,'制度詳細'!$J$9&lt;=EOMONTH(G$23,0)),"◆","")))</x:f>
        <x:v>■</x:v>
      </x:c>
      <x:c r="H27" s="57" t="str">
        <x:f>IF('制度詳細'!$H$9="",IF('制度詳細'!$J$9="","",IF(AND('制度詳細'!$J$9&gt;=H$23,'制度詳細'!$J$9&lt;=EOMONTH(H$23,0)),"◆","")),IF(MAX('制度詳細'!$H$9,H$23)&lt;=MIN(IF('制度詳細'!$I$9="",EOMONTH(H$23,0),'制度詳細'!$I$9),EOMONTH(H$23,0)),"■",IF(AND('制度詳細'!$J$9&lt;&gt;"",'制度詳細'!$J$9&gt;=H$23,'制度詳細'!$J$9&lt;=EOMONTH(H$23,0)),"◆","")))</x:f>
        <x:v>■</x:v>
      </x:c>
      <x:c r="I27" s="57" t="str">
        <x:f>IF('制度詳細'!$H$9="",IF('制度詳細'!$J$9="","",IF(AND('制度詳細'!$J$9&gt;=I$23,'制度詳細'!$J$9&lt;=EOMONTH(I$23,0)),"◆","")),IF(MAX('制度詳細'!$H$9,I$23)&lt;=MIN(IF('制度詳細'!$I$9="",EOMONTH(I$23,0),'制度詳細'!$I$9),EOMONTH(I$23,0)),"■",IF(AND('制度詳細'!$J$9&lt;&gt;"",'制度詳細'!$J$9&gt;=I$23,'制度詳細'!$J$9&lt;=EOMONTH(I$23,0)),"◆","")))</x:f>
        <x:v>■</x:v>
      </x:c>
      <x:c r="J27" s="57" t="str">
        <x:f>IF('制度詳細'!$H$9="",IF('制度詳細'!$J$9="","",IF(AND('制度詳細'!$J$9&gt;=J$23,'制度詳細'!$J$9&lt;=EOMONTH(J$23,0)),"◆","")),IF(MAX('制度詳細'!$H$9,J$23)&lt;=MIN(IF('制度詳細'!$I$9="",EOMONTH(J$23,0),'制度詳細'!$I$9),EOMONTH(J$23,0)),"■",IF(AND('制度詳細'!$J$9&lt;&gt;"",'制度詳細'!$J$9&gt;=J$23,'制度詳細'!$J$9&lt;=EOMONTH(J$23,0)),"◆","")))</x:f>
        <x:v>■</x:v>
      </x:c>
      <x:c r="K27" s="57" t="str">
        <x:f>IF('制度詳細'!$H$9="",IF('制度詳細'!$J$9="","",IF(AND('制度詳細'!$J$9&gt;=K$23,'制度詳細'!$J$9&lt;=EOMONTH(K$23,0)),"◆","")),IF(MAX('制度詳細'!$H$9,K$23)&lt;=MIN(IF('制度詳細'!$I$9="",EOMONTH(K$23,0),'制度詳細'!$I$9),EOMONTH(K$23,0)),"■",IF(AND('制度詳細'!$J$9&lt;&gt;"",'制度詳細'!$J$9&gt;=K$23,'制度詳細'!$J$9&lt;=EOMONTH(K$23,0)),"◆","")))</x:f>
        <x:v>■</x:v>
      </x:c>
      <x:c r="L27" s="57" t="str">
        <x:f>IF('制度詳細'!$H$9="",IF('制度詳細'!$J$9="","",IF(AND('制度詳細'!$J$9&gt;=L$23,'制度詳細'!$J$9&lt;=EOMONTH(L$23,0)),"◆","")),IF(MAX('制度詳細'!$H$9,L$23)&lt;=MIN(IF('制度詳細'!$I$9="",EOMONTH(L$23,0),'制度詳細'!$I$9),EOMONTH(L$23,0)),"■",IF(AND('制度詳細'!$J$9&lt;&gt;"",'制度詳細'!$J$9&gt;=L$23,'制度詳細'!$J$9&lt;=EOMONTH(L$23,0)),"◆","")))</x:f>
        <x:v>■</x:v>
      </x:c>
      <x:c r="M27" s="57" t="str">
        <x:f>IF('制度詳細'!$H$9="",IF('制度詳細'!$J$9="","",IF(AND('制度詳細'!$J$9&gt;=M$23,'制度詳細'!$J$9&lt;=EOMONTH(M$23,0)),"◆","")),IF(MAX('制度詳細'!$H$9,M$23)&lt;=MIN(IF('制度詳細'!$I$9="",EOMONTH(M$23,0),'制度詳細'!$I$9),EOMONTH(M$23,0)),"■",IF(AND('制度詳細'!$J$9&lt;&gt;"",'制度詳細'!$J$9&gt;=M$23,'制度詳細'!$J$9&lt;=EOMONTH(M$23,0)),"◆","")))</x:f>
        <x:v>■</x:v>
      </x:c>
      <x:c r="N27" s="57" t="str">
        <x:f>IF('制度詳細'!$H$9="",IF('制度詳細'!$J$9="","",IF(AND('制度詳細'!$J$9&gt;=N$23,'制度詳細'!$J$9&lt;=EOMONTH(N$23,0)),"◆","")),IF(MAX('制度詳細'!$H$9,N$23)&lt;=MIN(IF('制度詳細'!$I$9="",EOMONTH(N$23,0),'制度詳細'!$I$9),EOMONTH(N$23,0)),"■",IF(AND('制度詳細'!$J$9&lt;&gt;"",'制度詳細'!$J$9&gt;=N$23,'制度詳細'!$J$9&lt;=EOMONTH(N$23,0)),"◆","")))</x:f>
        <x:v>■</x:v>
      </x:c>
      <x:c r="O27" s="57" t="str">
        <x:f>IF('制度詳細'!$H$9="",IF('制度詳細'!$J$9="","",IF(AND('制度詳細'!$J$9&gt;=O$23,'制度詳細'!$J$9&lt;=EOMONTH(O$23,0)),"◆","")),IF(MAX('制度詳細'!$H$9,O$23)&lt;=MIN(IF('制度詳細'!$I$9="",EOMONTH(O$23,0),'制度詳細'!$I$9),EOMONTH(O$23,0)),"■",IF(AND('制度詳細'!$J$9&lt;&gt;"",'制度詳細'!$J$9&gt;=O$23,'制度詳細'!$J$9&lt;=EOMONTH(O$23,0)),"◆","")))</x:f>
        <x:v>■</x:v>
      </x:c>
      <x:c r="P27" s="57" t="str">
        <x:f>IF('制度詳細'!$H$9="",IF('制度詳細'!$J$9="","",IF(AND('制度詳細'!$J$9&gt;=P$23,'制度詳細'!$J$9&lt;=EOMONTH(P$23,0)),"◆","")),IF(MAX('制度詳細'!$H$9,P$23)&lt;=MIN(IF('制度詳細'!$I$9="",EOMONTH(P$23,0),'制度詳細'!$I$9),EOMONTH(P$23,0)),"■",IF(AND('制度詳細'!$J$9&lt;&gt;"",'制度詳細'!$J$9&gt;=P$23,'制度詳細'!$J$9&lt;=EOMONTH(P$23,0)),"◆","")))</x:f>
        <x:v>■</x:v>
      </x:c>
      <x:c r="Q27" s="57" t="str">
        <x:f>IF('制度詳細'!$H$9="",IF('制度詳細'!$J$9="","",IF(AND('制度詳細'!$J$9&gt;=Q$23,'制度詳細'!$J$9&lt;=EOMONTH(Q$23,0)),"◆","")),IF(MAX('制度詳細'!$H$9,Q$23)&lt;=MIN(IF('制度詳細'!$I$9="",EOMONTH(Q$23,0),'制度詳細'!$I$9),EOMONTH(Q$23,0)),"■",IF(AND('制度詳細'!$J$9&lt;&gt;"",'制度詳細'!$J$9&gt;=Q$23,'制度詳細'!$J$9&lt;=EOMONTH(Q$23,0)),"◆","")))</x:f>
        <x:v>■</x:v>
      </x:c>
      <x:c r="R27" s="57" t="str">
        <x:f>IF('制度詳細'!$H$9="",IF('制度詳細'!$J$9="","",IF(AND('制度詳細'!$J$9&gt;=R$23,'制度詳細'!$J$9&lt;=EOMONTH(R$23,0)),"◆","")),IF(MAX('制度詳細'!$H$9,R$23)&lt;=MIN(IF('制度詳細'!$I$9="",EOMONTH(R$23,0),'制度詳細'!$I$9),EOMONTH(R$23,0)),"■",IF(AND('制度詳細'!$J$9&lt;&gt;"",'制度詳細'!$J$9&gt;=R$23,'制度詳細'!$J$9&lt;=EOMONTH(R$23,0)),"◆","")))</x:f>
        <x:v>■</x:v>
      </x:c>
      <x:c r="S27" s="57" t="str">
        <x:f>IF('制度詳細'!$H$9="",IF('制度詳細'!$J$9="","",IF(AND('制度詳細'!$J$9&gt;=S$23,'制度詳細'!$J$9&lt;=EOMONTH(S$23,0)),"◆","")),IF(MAX('制度詳細'!$H$9,S$23)&lt;=MIN(IF('制度詳細'!$I$9="",EOMONTH(S$23,0),'制度詳細'!$I$9),EOMONTH(S$23,0)),"■",IF(AND('制度詳細'!$J$9&lt;&gt;"",'制度詳細'!$J$9&gt;=S$23,'制度詳細'!$J$9&lt;=EOMONTH(S$23,0)),"◆","")))</x:f>
        <x:v>■</x:v>
      </x:c>
      <x:c r="T27" s="57" t="str">
        <x:f>IF('制度詳細'!$H$9="",IF('制度詳細'!$J$9="","",IF(AND('制度詳細'!$J$9&gt;=T$23,'制度詳細'!$J$9&lt;=EOMONTH(T$23,0)),"◆","")),IF(MAX('制度詳細'!$H$9,T$23)&lt;=MIN(IF('制度詳細'!$I$9="",EOMONTH(T$23,0),'制度詳細'!$I$9),EOMONTH(T$23,0)),"■",IF(AND('制度詳細'!$J$9&lt;&gt;"",'制度詳細'!$J$9&gt;=T$23,'制度詳細'!$J$9&lt;=EOMONTH(T$23,0)),"◆","")))</x:f>
        <x:v>■</x:v>
      </x:c>
      <x:c r="U27" s="57" t="str">
        <x:f>IF('制度詳細'!$H$9="",IF('制度詳細'!$J$9="","",IF(AND('制度詳細'!$J$9&gt;=U$23,'制度詳細'!$J$9&lt;=EOMONTH(U$23,0)),"◆","")),IF(MAX('制度詳細'!$H$9,U$23)&lt;=MIN(IF('制度詳細'!$I$9="",EOMONTH(U$23,0),'制度詳細'!$I$9),EOMONTH(U$23,0)),"■",IF(AND('制度詳細'!$J$9&lt;&gt;"",'制度詳細'!$J$9&gt;=U$23,'制度詳細'!$J$9&lt;=EOMONTH(U$23,0)),"◆","")))</x:f>
        <x:v>■</x:v>
      </x:c>
      <x:c r="V27" s="57" t="str">
        <x:f>IF('制度詳細'!$H$9="",IF('制度詳細'!$J$9="","",IF(AND('制度詳細'!$J$9&gt;=V$23,'制度詳細'!$J$9&lt;=EOMONTH(V$23,0)),"◆","")),IF(MAX('制度詳細'!$H$9,V$23)&lt;=MIN(IF('制度詳細'!$I$9="",EOMONTH(V$23,0),'制度詳細'!$I$9),EOMONTH(V$23,0)),"■",IF(AND('制度詳細'!$J$9&lt;&gt;"",'制度詳細'!$J$9&gt;=V$23,'制度詳細'!$J$9&lt;=EOMONTH(V$23,0)),"◆","")))</x:f>
        <x:v>■</x:v>
      </x:c>
      <x:c r="W27" s="57" t="str">
        <x:f>IF('制度詳細'!$H$9="",IF('制度詳細'!$J$9="","",IF(AND('制度詳細'!$J$9&gt;=W$23,'制度詳細'!$J$9&lt;=EOMONTH(W$23,0)),"◆","")),IF(MAX('制度詳細'!$H$9,W$23)&lt;=MIN(IF('制度詳細'!$I$9="",EOMONTH(W$23,0),'制度詳細'!$I$9),EOMONTH(W$23,0)),"■",IF(AND('制度詳細'!$J$9&lt;&gt;"",'制度詳細'!$J$9&gt;=W$23,'制度詳細'!$J$9&lt;=EOMONTH(W$23,0)),"◆","")))</x:f>
        <x:v>■</x:v>
      </x:c>
      <x:c r="X27" s="57" t="str">
        <x:f>IF('制度詳細'!$H$9="",IF('制度詳細'!$J$9="","",IF(AND('制度詳細'!$J$9&gt;=X$23,'制度詳細'!$J$9&lt;=EOMONTH(X$23,0)),"◆","")),IF(MAX('制度詳細'!$H$9,X$23)&lt;=MIN(IF('制度詳細'!$I$9="",EOMONTH(X$23,0),'制度詳細'!$I$9),EOMONTH(X$23,0)),"■",IF(AND('制度詳細'!$J$9&lt;&gt;"",'制度詳細'!$J$9&gt;=X$23,'制度詳細'!$J$9&lt;=EOMONTH(X$23,0)),"◆","")))</x:f>
        <x:v>■</x:v>
      </x:c>
      <x:c r="Y27" s="57" t="str">
        <x:f>IF('制度詳細'!$H$9="",IF('制度詳細'!$J$9="","",IF(AND('制度詳細'!$J$9&gt;=Y$23,'制度詳細'!$J$9&lt;=EOMONTH(Y$23,0)),"◆","")),IF(MAX('制度詳細'!$H$9,Y$23)&lt;=MIN(IF('制度詳細'!$I$9="",EOMONTH(Y$23,0),'制度詳細'!$I$9),EOMONTH(Y$23,0)),"■",IF(AND('制度詳細'!$J$9&lt;&gt;"",'制度詳細'!$J$9&gt;=Y$23,'制度詳細'!$J$9&lt;=EOMONTH(Y$23,0)),"◆","")))</x:f>
        <x:v>■</x:v>
      </x:c>
      <x:c r="Z27" s="57" t="str">
        <x:f>IF('制度詳細'!$H$9="",IF('制度詳細'!$J$9="","",IF(AND('制度詳細'!$J$9&gt;=Z$23,'制度詳細'!$J$9&lt;=EOMONTH(Z$23,0)),"◆","")),IF(MAX('制度詳細'!$H$9,Z$23)&lt;=MIN(IF('制度詳細'!$I$9="",EOMONTH(Z$23,0),'制度詳細'!$I$9),EOMONTH(Z$23,0)),"■",IF(AND('制度詳細'!$J$9&lt;&gt;"",'制度詳細'!$J$9&gt;=Z$23,'制度詳細'!$J$9&lt;=EOMONTH(Z$23,0)),"◆","")))</x:f>
        <x:v>■</x:v>
      </x:c>
      <x:c r="AA27" s="57" t="str">
        <x:f>IF('制度詳細'!$H$9="",IF('制度詳細'!$J$9="","",IF(AND('制度詳細'!$J$9&gt;=AA$23,'制度詳細'!$J$9&lt;=EOMONTH(AA$23,0)),"◆","")),IF(MAX('制度詳細'!$H$9,AA$23)&lt;=MIN(IF('制度詳細'!$I$9="",EOMONTH(AA$23,0),'制度詳細'!$I$9),EOMONTH(AA$23,0)),"■",IF(AND('制度詳細'!$J$9&lt;&gt;"",'制度詳細'!$J$9&gt;=AA$23,'制度詳細'!$J$9&lt;=EOMONTH(AA$23,0)),"◆","")))</x:f>
        <x:v>■</x:v>
      </x:c>
      <x:c r="AB27" s="57" t="str">
        <x:f>IF('制度詳細'!$H$9="",IF('制度詳細'!$J$9="","",IF(AND('制度詳細'!$J$9&gt;=AB$23,'制度詳細'!$J$9&lt;=EOMONTH(AB$23,0)),"◆","")),IF(MAX('制度詳細'!$H$9,AB$23)&lt;=MIN(IF('制度詳細'!$I$9="",EOMONTH(AB$23,0),'制度詳細'!$I$9),EOMONTH(AB$23,0)),"■",IF(AND('制度詳細'!$J$9&lt;&gt;"",'制度詳細'!$J$9&gt;=AB$23,'制度詳細'!$J$9&lt;=EOMONTH(AB$23,0)),"◆","")))</x:f>
        <x:v>■</x:v>
      </x:c>
      <x:c r="AC27" s="57" t="str">
        <x:f>IF('制度詳細'!$H$9="",IF('制度詳細'!$J$9="","",IF(AND('制度詳細'!$J$9&gt;=AC$23,'制度詳細'!$J$9&lt;=EOMONTH(AC$23,0)),"◆","")),IF(MAX('制度詳細'!$H$9,AC$23)&lt;=MIN(IF('制度詳細'!$I$9="",EOMONTH(AC$23,0),'制度詳細'!$I$9),EOMONTH(AC$23,0)),"■",IF(AND('制度詳細'!$J$9&lt;&gt;"",'制度詳細'!$J$9&gt;=AC$23,'制度詳細'!$J$9&lt;=EOMONTH(AC$23,0)),"◆","")))</x:f>
        <x:v>■</x:v>
      </x:c>
      <x:c r="AD27" s="57" t="str">
        <x:f>IF('制度詳細'!$H$9="",IF('制度詳細'!$J$9="","",IF(AND('制度詳細'!$J$9&gt;=AD$23,'制度詳細'!$J$9&lt;=EOMONTH(AD$23,0)),"◆","")),IF(MAX('制度詳細'!$H$9,AD$23)&lt;=MIN(IF('制度詳細'!$I$9="",EOMONTH(AD$23,0),'制度詳細'!$I$9),EOMONTH(AD$23,0)),"■",IF(AND('制度詳細'!$J$9&lt;&gt;"",'制度詳細'!$J$9&gt;=AD$23,'制度詳細'!$J$9&lt;=EOMONTH(AD$23,0)),"◆","")))</x:f>
        <x:v>■</x:v>
      </x:c>
      <x:c r="AE27" s="57" t="str">
        <x:f>IF('制度詳細'!$H$9="",IF('制度詳細'!$J$9="","",IF(AND('制度詳細'!$J$9&gt;=AE$23,'制度詳細'!$J$9&lt;=EOMONTH(AE$23,0)),"◆","")),IF(MAX('制度詳細'!$H$9,AE$23)&lt;=MIN(IF('制度詳細'!$I$9="",EOMONTH(AE$23,0),'制度詳細'!$I$9),EOMONTH(AE$23,0)),"■",IF(AND('制度詳細'!$J$9&lt;&gt;"",'制度詳細'!$J$9&gt;=AE$23,'制度詳細'!$J$9&lt;=EOMONTH(AE$23,0)),"◆","")))</x:f>
      </x:c>
      <x:c r="AF27" s="57" t="str">
        <x:f>IF('制度詳細'!$H$9="",IF('制度詳細'!$J$9="","",IF(AND('制度詳細'!$J$9&gt;=AF$23,'制度詳細'!$J$9&lt;=EOMONTH(AF$23,0)),"◆","")),IF(MAX('制度詳細'!$H$9,AF$23)&lt;=MIN(IF('制度詳細'!$I$9="",EOMONTH(AF$23,0),'制度詳細'!$I$9),EOMONTH(AF$23,0)),"■",IF(AND('制度詳細'!$J$9&lt;&gt;"",'制度詳細'!$J$9&gt;=AF$23,'制度詳細'!$J$9&lt;=EOMONTH(AF$23,0)),"◆","")))</x:f>
      </x:c>
      <x:c r="AG27" s="57" t="str">
        <x:f>IF('制度詳細'!$H$9="",IF('制度詳細'!$J$9="","",IF(AND('制度詳細'!$J$9&gt;=AG$23,'制度詳細'!$J$9&lt;=EOMONTH(AG$23,0)),"◆","")),IF(MAX('制度詳細'!$H$9,AG$23)&lt;=MIN(IF('制度詳細'!$I$9="",EOMONTH(AG$23,0),'制度詳細'!$I$9),EOMONTH(AG$23,0)),"■",IF(AND('制度詳細'!$J$9&lt;&gt;"",'制度詳細'!$J$9&gt;=AG$23,'制度詳細'!$J$9&lt;=EOMONTH(AG$23,0)),"◆","")))</x:f>
      </x:c>
      <x:c r="AH27" s="57" t="str">
        <x:f>IF('制度詳細'!$H$9="",IF('制度詳細'!$J$9="","",IF(AND('制度詳細'!$J$9&gt;=AH$23,'制度詳細'!$J$9&lt;=EOMONTH(AH$23,0)),"◆","")),IF(MAX('制度詳細'!$H$9,AH$23)&lt;=MIN(IF('制度詳細'!$I$9="",EOMONTH(AH$23,0),'制度詳細'!$I$9),EOMONTH(AH$23,0)),"■",IF(AND('制度詳細'!$J$9&lt;&gt;"",'制度詳細'!$J$9&gt;=AH$23,'制度詳細'!$J$9&lt;=EOMONTH(AH$23,0)),"◆","")))</x:f>
      </x:c>
      <x:c r="AI27" s="57" t="str">
        <x:f>IF('制度詳細'!$H$9="",IF('制度詳細'!$J$9="","",IF(AND('制度詳細'!$J$9&gt;=AI$23,'制度詳細'!$J$9&lt;=EOMONTH(AI$23,0)),"◆","")),IF(MAX('制度詳細'!$H$9,AI$23)&lt;=MIN(IF('制度詳細'!$I$9="",EOMONTH(AI$23,0),'制度詳細'!$I$9),EOMONTH(AI$23,0)),"■",IF(AND('制度詳細'!$J$9&lt;&gt;"",'制度詳細'!$J$9&gt;=AI$23,'制度詳細'!$J$9&lt;=EOMONTH(AI$23,0)),"◆","")))</x:f>
      </x:c>
      <x:c r="AJ27" s="57" t="str">
        <x:f>IF('制度詳細'!$H$9="",IF('制度詳細'!$J$9="","",IF(AND('制度詳細'!$J$9&gt;=AJ$23,'制度詳細'!$J$9&lt;=EOMONTH(AJ$23,0)),"◆","")),IF(MAX('制度詳細'!$H$9,AJ$23)&lt;=MIN(IF('制度詳細'!$I$9="",EOMONTH(AJ$23,0),'制度詳細'!$I$9),EOMONTH(AJ$23,0)),"■",IF(AND('制度詳細'!$J$9&lt;&gt;"",'制度詳細'!$J$9&gt;=AJ$23,'制度詳細'!$J$9&lt;=EOMONTH(AJ$23,0)),"◆","")))</x:f>
      </x:c>
      <x:c r="AK27" s="57" t="str">
        <x:f>IF('制度詳細'!$H$9="",IF('制度詳細'!$J$9="","",IF(AND('制度詳細'!$J$9&gt;=AK$23,'制度詳細'!$J$9&lt;=EOMONTH(AK$23,0)),"◆","")),IF(MAX('制度詳細'!$H$9,AK$23)&lt;=MIN(IF('制度詳細'!$I$9="",EOMONTH(AK$23,0),'制度詳細'!$I$9),EOMONTH(AK$23,0)),"■",IF(AND('制度詳細'!$J$9&lt;&gt;"",'制度詳細'!$J$9&gt;=AK$23,'制度詳細'!$J$9&lt;=EOMONTH(AK$23,0)),"◆","")))</x:f>
      </x:c>
      <x:c r="AL27" s="57" t="str">
        <x:f>IF('制度詳細'!$H$9="",IF('制度詳細'!$J$9="","",IF(AND('制度詳細'!$J$9&gt;=AL$23,'制度詳細'!$J$9&lt;=EOMONTH(AL$23,0)),"◆","")),IF(MAX('制度詳細'!$H$9,AL$23)&lt;=MIN(IF('制度詳細'!$I$9="",EOMONTH(AL$23,0),'制度詳細'!$I$9),EOMONTH(AL$23,0)),"■",IF(AND('制度詳細'!$J$9&lt;&gt;"",'制度詳細'!$J$9&gt;=AL$23,'制度詳細'!$J$9&lt;=EOMONTH(AL$23,0)),"◆","")))</x:f>
      </x:c>
      <x:c r="AM27" s="57" t="str">
        <x:f>IF('制度詳細'!$H$9="",IF('制度詳細'!$J$9="","",IF(AND('制度詳細'!$J$9&gt;=AM$23,'制度詳細'!$J$9&lt;=EOMONTH(AM$23,0)),"◆","")),IF(MAX('制度詳細'!$H$9,AM$23)&lt;=MIN(IF('制度詳細'!$I$9="",EOMONTH(AM$23,0),'制度詳細'!$I$9),EOMONTH(AM$23,0)),"■",IF(AND('制度詳細'!$J$9&lt;&gt;"",'制度詳細'!$J$9&gt;=AM$23,'制度詳細'!$J$9&lt;=EOMONTH(AM$23,0)),"◆","")))</x:f>
      </x:c>
      <x:c r="AN27" s="57" t="str">
        <x:f>IF('制度詳細'!$H$9="",IF('制度詳細'!$J$9="","",IF(AND('制度詳細'!$J$9&gt;=AN$23,'制度詳細'!$J$9&lt;=EOMONTH(AN$23,0)),"◆","")),IF(MAX('制度詳細'!$H$9,AN$23)&lt;=MIN(IF('制度詳細'!$I$9="",EOMONTH(AN$23,0),'制度詳細'!$I$9),EOMONTH(AN$23,0)),"■",IF(AND('制度詳細'!$J$9&lt;&gt;"",'制度詳細'!$J$9&gt;=AN$23,'制度詳細'!$J$9&lt;=EOMONTH(AN$23,0)),"◆","")))</x:f>
      </x:c>
      <x:c r="AO27" s="57" t="str">
        <x:f>IF('制度詳細'!$H$9="",IF('制度詳細'!$J$9="","",IF(AND('制度詳細'!$J$9&gt;=AO$23,'制度詳細'!$J$9&lt;=EOMONTH(AO$23,0)),"◆","")),IF(MAX('制度詳細'!$H$9,AO$23)&lt;=MIN(IF('制度詳細'!$I$9="",EOMONTH(AO$23,0),'制度詳細'!$I$9),EOMONTH(AO$23,0)),"■",IF(AND('制度詳細'!$J$9&lt;&gt;"",'制度詳細'!$J$9&gt;=AO$23,'制度詳細'!$J$9&lt;=EOMONTH(AO$23,0)),"◆","")))</x:f>
      </x:c>
      <x:c r="AP27" s="57" t="str">
        <x:f>IF('制度詳細'!$H$9="",IF('制度詳細'!$J$9="","",IF(AND('制度詳細'!$J$9&gt;=AP$23,'制度詳細'!$J$9&lt;=EOMONTH(AP$23,0)),"◆","")),IF(MAX('制度詳細'!$H$9,AP$23)&lt;=MIN(IF('制度詳細'!$I$9="",EOMONTH(AP$23,0),'制度詳細'!$I$9),EOMONTH(AP$23,0)),"■",IF(AND('制度詳細'!$J$9&lt;&gt;"",'制度詳細'!$J$9&gt;=AP$23,'制度詳細'!$J$9&lt;=EOMONTH(AP$23,0)),"◆","")))</x:f>
      </x:c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</x:row>
    <x:row r="28" ht="30" customHeight="1">
      <x:c r="A28" s="54" t="str">
        <x:v>TH05 EV3.5：国内生産2倍期限</x:v>
      </x:c>
      <x:c r="B28" s="54"/>
      <x:c r="C28" s="54"/>
      <x:c r="D28" s="54"/>
      <x:c r="E28" s="54"/>
      <x:c r="F28" s="54"/>
      <x:c r="G28" s="57" t="str">
        <x:f>IF('制度詳細'!$H$10="",IF('制度詳細'!$J$10="","",IF(AND('制度詳細'!$J$10&gt;=G$23,'制度詳細'!$J$10&lt;=EOMONTH(G$23,0)),"◆","")),IF(MAX('制度詳細'!$H$10,G$23)&lt;=MIN(IF('制度詳細'!$I$10="",EOMONTH(G$23,0),'制度詳細'!$I$10),EOMONTH(G$23,0)),"■",IF(AND('制度詳細'!$J$10&lt;&gt;"",'制度詳細'!$J$10&gt;=G$23,'制度詳細'!$J$10&lt;=EOMONTH(G$23,0)),"◆","")))</x:f>
      </x:c>
      <x:c r="H28" s="57" t="str">
        <x:f>IF('制度詳細'!$H$10="",IF('制度詳細'!$J$10="","",IF(AND('制度詳細'!$J$10&gt;=H$23,'制度詳細'!$J$10&lt;=EOMONTH(H$23,0)),"◆","")),IF(MAX('制度詳細'!$H$10,H$23)&lt;=MIN(IF('制度詳細'!$I$10="",EOMONTH(H$23,0),'制度詳細'!$I$10),EOMONTH(H$23,0)),"■",IF(AND('制度詳細'!$J$10&lt;&gt;"",'制度詳細'!$J$10&gt;=H$23,'制度詳細'!$J$10&lt;=EOMONTH(H$23,0)),"◆","")))</x:f>
      </x:c>
      <x:c r="I28" s="57" t="str">
        <x:f>IF('制度詳細'!$H$10="",IF('制度詳細'!$J$10="","",IF(AND('制度詳細'!$J$10&gt;=I$23,'制度詳細'!$J$10&lt;=EOMONTH(I$23,0)),"◆","")),IF(MAX('制度詳細'!$H$10,I$23)&lt;=MIN(IF('制度詳細'!$I$10="",EOMONTH(I$23,0),'制度詳細'!$I$10),EOMONTH(I$23,0)),"■",IF(AND('制度詳細'!$J$10&lt;&gt;"",'制度詳細'!$J$10&gt;=I$23,'制度詳細'!$J$10&lt;=EOMONTH(I$23,0)),"◆","")))</x:f>
      </x:c>
      <x:c r="J28" s="57" t="str">
        <x:f>IF('制度詳細'!$H$10="",IF('制度詳細'!$J$10="","",IF(AND('制度詳細'!$J$10&gt;=J$23,'制度詳細'!$J$10&lt;=EOMONTH(J$23,0)),"◆","")),IF(MAX('制度詳細'!$H$10,J$23)&lt;=MIN(IF('制度詳細'!$I$10="",EOMONTH(J$23,0),'制度詳細'!$I$10),EOMONTH(J$23,0)),"■",IF(AND('制度詳細'!$J$10&lt;&gt;"",'制度詳細'!$J$10&gt;=J$23,'制度詳細'!$J$10&lt;=EOMONTH(J$23,0)),"◆","")))</x:f>
      </x:c>
      <x:c r="K28" s="57" t="str">
        <x:f>IF('制度詳細'!$H$10="",IF('制度詳細'!$J$10="","",IF(AND('制度詳細'!$J$10&gt;=K$23,'制度詳細'!$J$10&lt;=EOMONTH(K$23,0)),"◆","")),IF(MAX('制度詳細'!$H$10,K$23)&lt;=MIN(IF('制度詳細'!$I$10="",EOMONTH(K$23,0),'制度詳細'!$I$10),EOMONTH(K$23,0)),"■",IF(AND('制度詳細'!$J$10&lt;&gt;"",'制度詳細'!$J$10&gt;=K$23,'制度詳細'!$J$10&lt;=EOMONTH(K$23,0)),"◆","")))</x:f>
      </x:c>
      <x:c r="L28" s="57" t="str">
        <x:f>IF('制度詳細'!$H$10="",IF('制度詳細'!$J$10="","",IF(AND('制度詳細'!$J$10&gt;=L$23,'制度詳細'!$J$10&lt;=EOMONTH(L$23,0)),"◆","")),IF(MAX('制度詳細'!$H$10,L$23)&lt;=MIN(IF('制度詳細'!$I$10="",EOMONTH(L$23,0),'制度詳細'!$I$10),EOMONTH(L$23,0)),"■",IF(AND('制度詳細'!$J$10&lt;&gt;"",'制度詳細'!$J$10&gt;=L$23,'制度詳細'!$J$10&lt;=EOMONTH(L$23,0)),"◆","")))</x:f>
      </x:c>
      <x:c r="M28" s="57" t="str">
        <x:f>IF('制度詳細'!$H$10="",IF('制度詳細'!$J$10="","",IF(AND('制度詳細'!$J$10&gt;=M$23,'制度詳細'!$J$10&lt;=EOMONTH(M$23,0)),"◆","")),IF(MAX('制度詳細'!$H$10,M$23)&lt;=MIN(IF('制度詳細'!$I$10="",EOMONTH(M$23,0),'制度詳細'!$I$10),EOMONTH(M$23,0)),"■",IF(AND('制度詳細'!$J$10&lt;&gt;"",'制度詳細'!$J$10&gt;=M$23,'制度詳細'!$J$10&lt;=EOMONTH(M$23,0)),"◆","")))</x:f>
      </x:c>
      <x:c r="N28" s="57" t="str">
        <x:f>IF('制度詳細'!$H$10="",IF('制度詳細'!$J$10="","",IF(AND('制度詳細'!$J$10&gt;=N$23,'制度詳細'!$J$10&lt;=EOMONTH(N$23,0)),"◆","")),IF(MAX('制度詳細'!$H$10,N$23)&lt;=MIN(IF('制度詳細'!$I$10="",EOMONTH(N$23,0),'制度詳細'!$I$10),EOMONTH(N$23,0)),"■",IF(AND('制度詳細'!$J$10&lt;&gt;"",'制度詳細'!$J$10&gt;=N$23,'制度詳細'!$J$10&lt;=EOMONTH(N$23,0)),"◆","")))</x:f>
      </x:c>
      <x:c r="O28" s="57" t="str">
        <x:f>IF('制度詳細'!$H$10="",IF('制度詳細'!$J$10="","",IF(AND('制度詳細'!$J$10&gt;=O$23,'制度詳細'!$J$10&lt;=EOMONTH(O$23,0)),"◆","")),IF(MAX('制度詳細'!$H$10,O$23)&lt;=MIN(IF('制度詳細'!$I$10="",EOMONTH(O$23,0),'制度詳細'!$I$10),EOMONTH(O$23,0)),"■",IF(AND('制度詳細'!$J$10&lt;&gt;"",'制度詳細'!$J$10&gt;=O$23,'制度詳細'!$J$10&lt;=EOMONTH(O$23,0)),"◆","")))</x:f>
      </x:c>
      <x:c r="P28" s="57" t="str">
        <x:f>IF('制度詳細'!$H$10="",IF('制度詳細'!$J$10="","",IF(AND('制度詳細'!$J$10&gt;=P$23,'制度詳細'!$J$10&lt;=EOMONTH(P$23,0)),"◆","")),IF(MAX('制度詳細'!$H$10,P$23)&lt;=MIN(IF('制度詳細'!$I$10="",EOMONTH(P$23,0),'制度詳細'!$I$10),EOMONTH(P$23,0)),"■",IF(AND('制度詳細'!$J$10&lt;&gt;"",'制度詳細'!$J$10&gt;=P$23,'制度詳細'!$J$10&lt;=EOMONTH(P$23,0)),"◆","")))</x:f>
      </x:c>
      <x:c r="Q28" s="57" t="str">
        <x:f>IF('制度詳細'!$H$10="",IF('制度詳細'!$J$10="","",IF(AND('制度詳細'!$J$10&gt;=Q$23,'制度詳細'!$J$10&lt;=EOMONTH(Q$23,0)),"◆","")),IF(MAX('制度詳細'!$H$10,Q$23)&lt;=MIN(IF('制度詳細'!$I$10="",EOMONTH(Q$23,0),'制度詳細'!$I$10),EOMONTH(Q$23,0)),"■",IF(AND('制度詳細'!$J$10&lt;&gt;"",'制度詳細'!$J$10&gt;=Q$23,'制度詳細'!$J$10&lt;=EOMONTH(Q$23,0)),"◆","")))</x:f>
      </x:c>
      <x:c r="R28" s="57" t="str">
        <x:f>IF('制度詳細'!$H$10="",IF('制度詳細'!$J$10="","",IF(AND('制度詳細'!$J$10&gt;=R$23,'制度詳細'!$J$10&lt;=EOMONTH(R$23,0)),"◆","")),IF(MAX('制度詳細'!$H$10,R$23)&lt;=MIN(IF('制度詳細'!$I$10="",EOMONTH(R$23,0),'制度詳細'!$I$10),EOMONTH(R$23,0)),"■",IF(AND('制度詳細'!$J$10&lt;&gt;"",'制度詳細'!$J$10&gt;=R$23,'制度詳細'!$J$10&lt;=EOMONTH(R$23,0)),"◆","")))</x:f>
      </x:c>
      <x:c r="S28" s="57" t="str">
        <x:f>IF('制度詳細'!$H$10="",IF('制度詳細'!$J$10="","",IF(AND('制度詳細'!$J$10&gt;=S$23,'制度詳細'!$J$10&lt;=EOMONTH(S$23,0)),"◆","")),IF(MAX('制度詳細'!$H$10,S$23)&lt;=MIN(IF('制度詳細'!$I$10="",EOMONTH(S$23,0),'制度詳細'!$I$10),EOMONTH(S$23,0)),"■",IF(AND('制度詳細'!$J$10&lt;&gt;"",'制度詳細'!$J$10&gt;=S$23,'制度詳細'!$J$10&lt;=EOMONTH(S$23,0)),"◆","")))</x:f>
      </x:c>
      <x:c r="T28" s="57" t="str">
        <x:f>IF('制度詳細'!$H$10="",IF('制度詳細'!$J$10="","",IF(AND('制度詳細'!$J$10&gt;=T$23,'制度詳細'!$J$10&lt;=EOMONTH(T$23,0)),"◆","")),IF(MAX('制度詳細'!$H$10,T$23)&lt;=MIN(IF('制度詳細'!$I$10="",EOMONTH(T$23,0),'制度詳細'!$I$10),EOMONTH(T$23,0)),"■",IF(AND('制度詳細'!$J$10&lt;&gt;"",'制度詳細'!$J$10&gt;=T$23,'制度詳細'!$J$10&lt;=EOMONTH(T$23,0)),"◆","")))</x:f>
      </x:c>
      <x:c r="U28" s="57" t="str">
        <x:f>IF('制度詳細'!$H$10="",IF('制度詳細'!$J$10="","",IF(AND('制度詳細'!$J$10&gt;=U$23,'制度詳細'!$J$10&lt;=EOMONTH(U$23,0)),"◆","")),IF(MAX('制度詳細'!$H$10,U$23)&lt;=MIN(IF('制度詳細'!$I$10="",EOMONTH(U$23,0),'制度詳細'!$I$10),EOMONTH(U$23,0)),"■",IF(AND('制度詳細'!$J$10&lt;&gt;"",'制度詳細'!$J$10&gt;=U$23,'制度詳細'!$J$10&lt;=EOMONTH(U$23,0)),"◆","")))</x:f>
      </x:c>
      <x:c r="V28" s="57" t="str">
        <x:f>IF('制度詳細'!$H$10="",IF('制度詳細'!$J$10="","",IF(AND('制度詳細'!$J$10&gt;=V$23,'制度詳細'!$J$10&lt;=EOMONTH(V$23,0)),"◆","")),IF(MAX('制度詳細'!$H$10,V$23)&lt;=MIN(IF('制度詳細'!$I$10="",EOMONTH(V$23,0),'制度詳細'!$I$10),EOMONTH(V$23,0)),"■",IF(AND('制度詳細'!$J$10&lt;&gt;"",'制度詳細'!$J$10&gt;=V$23,'制度詳細'!$J$10&lt;=EOMONTH(V$23,0)),"◆","")))</x:f>
      </x:c>
      <x:c r="W28" s="57" t="str">
        <x:f>IF('制度詳細'!$H$10="",IF('制度詳細'!$J$10="","",IF(AND('制度詳細'!$J$10&gt;=W$23,'制度詳細'!$J$10&lt;=EOMONTH(W$23,0)),"◆","")),IF(MAX('制度詳細'!$H$10,W$23)&lt;=MIN(IF('制度詳細'!$I$10="",EOMONTH(W$23,0),'制度詳細'!$I$10),EOMONTH(W$23,0)),"■",IF(AND('制度詳細'!$J$10&lt;&gt;"",'制度詳細'!$J$10&gt;=W$23,'制度詳細'!$J$10&lt;=EOMONTH(W$23,0)),"◆","")))</x:f>
      </x:c>
      <x:c r="X28" s="57" t="str">
        <x:f>IF('制度詳細'!$H$10="",IF('制度詳細'!$J$10="","",IF(AND('制度詳細'!$J$10&gt;=X$23,'制度詳細'!$J$10&lt;=EOMONTH(X$23,0)),"◆","")),IF(MAX('制度詳細'!$H$10,X$23)&lt;=MIN(IF('制度詳細'!$I$10="",EOMONTH(X$23,0),'制度詳細'!$I$10),EOMONTH(X$23,0)),"■",IF(AND('制度詳細'!$J$10&lt;&gt;"",'制度詳細'!$J$10&gt;=X$23,'制度詳細'!$J$10&lt;=EOMONTH(X$23,0)),"◆","")))</x:f>
      </x:c>
      <x:c r="Y28" s="57" t="str">
        <x:f>IF('制度詳細'!$H$10="",IF('制度詳細'!$J$10="","",IF(AND('制度詳細'!$J$10&gt;=Y$23,'制度詳細'!$J$10&lt;=EOMONTH(Y$23,0)),"◆","")),IF(MAX('制度詳細'!$H$10,Y$23)&lt;=MIN(IF('制度詳細'!$I$10="",EOMONTH(Y$23,0),'制度詳細'!$I$10),EOMONTH(Y$23,0)),"■",IF(AND('制度詳細'!$J$10&lt;&gt;"",'制度詳細'!$J$10&gt;=Y$23,'制度詳細'!$J$10&lt;=EOMONTH(Y$23,0)),"◆","")))</x:f>
      </x:c>
      <x:c r="Z28" s="57" t="str">
        <x:f>IF('制度詳細'!$H$10="",IF('制度詳細'!$J$10="","",IF(AND('制度詳細'!$J$10&gt;=Z$23,'制度詳細'!$J$10&lt;=EOMONTH(Z$23,0)),"◆","")),IF(MAX('制度詳細'!$H$10,Z$23)&lt;=MIN(IF('制度詳細'!$I$10="",EOMONTH(Z$23,0),'制度詳細'!$I$10),EOMONTH(Z$23,0)),"■",IF(AND('制度詳細'!$J$10&lt;&gt;"",'制度詳細'!$J$10&gt;=Z$23,'制度詳細'!$J$10&lt;=EOMONTH(Z$23,0)),"◆","")))</x:f>
      </x:c>
      <x:c r="AA28" s="57" t="str">
        <x:f>IF('制度詳細'!$H$10="",IF('制度詳細'!$J$10="","",IF(AND('制度詳細'!$J$10&gt;=AA$23,'制度詳細'!$J$10&lt;=EOMONTH(AA$23,0)),"◆","")),IF(MAX('制度詳細'!$H$10,AA$23)&lt;=MIN(IF('制度詳細'!$I$10="",EOMONTH(AA$23,0),'制度詳細'!$I$10),EOMONTH(AA$23,0)),"■",IF(AND('制度詳細'!$J$10&lt;&gt;"",'制度詳細'!$J$10&gt;=AA$23,'制度詳細'!$J$10&lt;=EOMONTH(AA$23,0)),"◆","")))</x:f>
      </x:c>
      <x:c r="AB28" s="57" t="str">
        <x:f>IF('制度詳細'!$H$10="",IF('制度詳細'!$J$10="","",IF(AND('制度詳細'!$J$10&gt;=AB$23,'制度詳細'!$J$10&lt;=EOMONTH(AB$23,0)),"◆","")),IF(MAX('制度詳細'!$H$10,AB$23)&lt;=MIN(IF('制度詳細'!$I$10="",EOMONTH(AB$23,0),'制度詳細'!$I$10),EOMONTH(AB$23,0)),"■",IF(AND('制度詳細'!$J$10&lt;&gt;"",'制度詳細'!$J$10&gt;=AB$23,'制度詳細'!$J$10&lt;=EOMONTH(AB$23,0)),"◆","")))</x:f>
      </x:c>
      <x:c r="AC28" s="57" t="str">
        <x:f>IF('制度詳細'!$H$10="",IF('制度詳細'!$J$10="","",IF(AND('制度詳細'!$J$10&gt;=AC$23,'制度詳細'!$J$10&lt;=EOMONTH(AC$23,0)),"◆","")),IF(MAX('制度詳細'!$H$10,AC$23)&lt;=MIN(IF('制度詳細'!$I$10="",EOMONTH(AC$23,0),'制度詳細'!$I$10),EOMONTH(AC$23,0)),"■",IF(AND('制度詳細'!$J$10&lt;&gt;"",'制度詳細'!$J$10&gt;=AC$23,'制度詳細'!$J$10&lt;=EOMONTH(AC$23,0)),"◆","")))</x:f>
      </x:c>
      <x:c r="AD28" s="57" t="str">
        <x:f>IF('制度詳細'!$H$10="",IF('制度詳細'!$J$10="","",IF(AND('制度詳細'!$J$10&gt;=AD$23,'制度詳細'!$J$10&lt;=EOMONTH(AD$23,0)),"◆","")),IF(MAX('制度詳細'!$H$10,AD$23)&lt;=MIN(IF('制度詳細'!$I$10="",EOMONTH(AD$23,0),'制度詳細'!$I$10),EOMONTH(AD$23,0)),"■",IF(AND('制度詳細'!$J$10&lt;&gt;"",'制度詳細'!$J$10&gt;=AD$23,'制度詳細'!$J$10&lt;=EOMONTH(AD$23,0)),"◆","")))</x:f>
      </x:c>
      <x:c r="AE28" s="57" t="str">
        <x:f>IF('制度詳細'!$H$10="",IF('制度詳細'!$J$10="","",IF(AND('制度詳細'!$J$10&gt;=AE$23,'制度詳細'!$J$10&lt;=EOMONTH(AE$23,0)),"◆","")),IF(MAX('制度詳細'!$H$10,AE$23)&lt;=MIN(IF('制度詳細'!$I$10="",EOMONTH(AE$23,0),'制度詳細'!$I$10),EOMONTH(AE$23,0)),"■",IF(AND('制度詳細'!$J$10&lt;&gt;"",'制度詳細'!$J$10&gt;=AE$23,'制度詳細'!$J$10&lt;=EOMONTH(AE$23,0)),"◆","")))</x:f>
      </x:c>
      <x:c r="AF28" s="57" t="str">
        <x:f>IF('制度詳細'!$H$10="",IF('制度詳細'!$J$10="","",IF(AND('制度詳細'!$J$10&gt;=AF$23,'制度詳細'!$J$10&lt;=EOMONTH(AF$23,0)),"◆","")),IF(MAX('制度詳細'!$H$10,AF$23)&lt;=MIN(IF('制度詳細'!$I$10="",EOMONTH(AF$23,0),'制度詳細'!$I$10),EOMONTH(AF$23,0)),"■",IF(AND('制度詳細'!$J$10&lt;&gt;"",'制度詳細'!$J$10&gt;=AF$23,'制度詳細'!$J$10&lt;=EOMONTH(AF$23,0)),"◆","")))</x:f>
      </x:c>
      <x:c r="AG28" s="57" t="str">
        <x:f>IF('制度詳細'!$H$10="",IF('制度詳細'!$J$10="","",IF(AND('制度詳細'!$J$10&gt;=AG$23,'制度詳細'!$J$10&lt;=EOMONTH(AG$23,0)),"◆","")),IF(MAX('制度詳細'!$H$10,AG$23)&lt;=MIN(IF('制度詳細'!$I$10="",EOMONTH(AG$23,0),'制度詳細'!$I$10),EOMONTH(AG$23,0)),"■",IF(AND('制度詳細'!$J$10&lt;&gt;"",'制度詳細'!$J$10&gt;=AG$23,'制度詳細'!$J$10&lt;=EOMONTH(AG$23,0)),"◆","")))</x:f>
      </x:c>
      <x:c r="AH28" s="57" t="str">
        <x:f>IF('制度詳細'!$H$10="",IF('制度詳細'!$J$10="","",IF(AND('制度詳細'!$J$10&gt;=AH$23,'制度詳細'!$J$10&lt;=EOMONTH(AH$23,0)),"◆","")),IF(MAX('制度詳細'!$H$10,AH$23)&lt;=MIN(IF('制度詳細'!$I$10="",EOMONTH(AH$23,0),'制度詳細'!$I$10),EOMONTH(AH$23,0)),"■",IF(AND('制度詳細'!$J$10&lt;&gt;"",'制度詳細'!$J$10&gt;=AH$23,'制度詳細'!$J$10&lt;=EOMONTH(AH$23,0)),"◆","")))</x:f>
      </x:c>
      <x:c r="AI28" s="57" t="str">
        <x:f>IF('制度詳細'!$H$10="",IF('制度詳細'!$J$10="","",IF(AND('制度詳細'!$J$10&gt;=AI$23,'制度詳細'!$J$10&lt;=EOMONTH(AI$23,0)),"◆","")),IF(MAX('制度詳細'!$H$10,AI$23)&lt;=MIN(IF('制度詳細'!$I$10="",EOMONTH(AI$23,0),'制度詳細'!$I$10),EOMONTH(AI$23,0)),"■",IF(AND('制度詳細'!$J$10&lt;&gt;"",'制度詳細'!$J$10&gt;=AI$23,'制度詳細'!$J$10&lt;=EOMONTH(AI$23,0)),"◆","")))</x:f>
      </x:c>
      <x:c r="AJ28" s="57" t="str">
        <x:f>IF('制度詳細'!$H$10="",IF('制度詳細'!$J$10="","",IF(AND('制度詳細'!$J$10&gt;=AJ$23,'制度詳細'!$J$10&lt;=EOMONTH(AJ$23,0)),"◆","")),IF(MAX('制度詳細'!$H$10,AJ$23)&lt;=MIN(IF('制度詳細'!$I$10="",EOMONTH(AJ$23,0),'制度詳細'!$I$10),EOMONTH(AJ$23,0)),"■",IF(AND('制度詳細'!$J$10&lt;&gt;"",'制度詳細'!$J$10&gt;=AJ$23,'制度詳細'!$J$10&lt;=EOMONTH(AJ$23,0)),"◆","")))</x:f>
      </x:c>
      <x:c r="AK28" s="57" t="str">
        <x:f>IF('制度詳細'!$H$10="",IF('制度詳細'!$J$10="","",IF(AND('制度詳細'!$J$10&gt;=AK$23,'制度詳細'!$J$10&lt;=EOMONTH(AK$23,0)),"◆","")),IF(MAX('制度詳細'!$H$10,AK$23)&lt;=MIN(IF('制度詳細'!$I$10="",EOMONTH(AK$23,0),'制度詳細'!$I$10),EOMONTH(AK$23,0)),"■",IF(AND('制度詳細'!$J$10&lt;&gt;"",'制度詳細'!$J$10&gt;=AK$23,'制度詳細'!$J$10&lt;=EOMONTH(AK$23,0)),"◆","")))</x:f>
      </x:c>
      <x:c r="AL28" s="57" t="str">
        <x:f>IF('制度詳細'!$H$10="",IF('制度詳細'!$J$10="","",IF(AND('制度詳細'!$J$10&gt;=AL$23,'制度詳細'!$J$10&lt;=EOMONTH(AL$23,0)),"◆","")),IF(MAX('制度詳細'!$H$10,AL$23)&lt;=MIN(IF('制度詳細'!$I$10="",EOMONTH(AL$23,0),'制度詳細'!$I$10),EOMONTH(AL$23,0)),"■",IF(AND('制度詳細'!$J$10&lt;&gt;"",'制度詳細'!$J$10&gt;=AL$23,'制度詳細'!$J$10&lt;=EOMONTH(AL$23,0)),"◆","")))</x:f>
      </x:c>
      <x:c r="AM28" s="57" t="str">
        <x:f>IF('制度詳細'!$H$10="",IF('制度詳細'!$J$10="","",IF(AND('制度詳細'!$J$10&gt;=AM$23,'制度詳細'!$J$10&lt;=EOMONTH(AM$23,0)),"◆","")),IF(MAX('制度詳細'!$H$10,AM$23)&lt;=MIN(IF('制度詳細'!$I$10="",EOMONTH(AM$23,0),'制度詳細'!$I$10),EOMONTH(AM$23,0)),"■",IF(AND('制度詳細'!$J$10&lt;&gt;"",'制度詳細'!$J$10&gt;=AM$23,'制度詳細'!$J$10&lt;=EOMONTH(AM$23,0)),"◆","")))</x:f>
      </x:c>
      <x:c r="AN28" s="57" t="str">
        <x:f>IF('制度詳細'!$H$10="",IF('制度詳細'!$J$10="","",IF(AND('制度詳細'!$J$10&gt;=AN$23,'制度詳細'!$J$10&lt;=EOMONTH(AN$23,0)),"◆","")),IF(MAX('制度詳細'!$H$10,AN$23)&lt;=MIN(IF('制度詳細'!$I$10="",EOMONTH(AN$23,0),'制度詳細'!$I$10),EOMONTH(AN$23,0)),"■",IF(AND('制度詳細'!$J$10&lt;&gt;"",'制度詳細'!$J$10&gt;=AN$23,'制度詳細'!$J$10&lt;=EOMONTH(AN$23,0)),"◆","")))</x:f>
      </x:c>
      <x:c r="AO28" s="57" t="str">
        <x:f>IF('制度詳細'!$H$10="",IF('制度詳細'!$J$10="","",IF(AND('制度詳細'!$J$10&gt;=AO$23,'制度詳細'!$J$10&lt;=EOMONTH(AO$23,0)),"◆","")),IF(MAX('制度詳細'!$H$10,AO$23)&lt;=MIN(IF('制度詳細'!$I$10="",EOMONTH(AO$23,0),'制度詳細'!$I$10),EOMONTH(AO$23,0)),"■",IF(AND('制度詳細'!$J$10&lt;&gt;"",'制度詳細'!$J$10&gt;=AO$23,'制度詳細'!$J$10&lt;=EOMONTH(AO$23,0)),"◆","")))</x:f>
      </x:c>
      <x:c r="AP28" s="57" t="str">
        <x:f>IF('制度詳細'!$H$10="",IF('制度詳細'!$J$10="","",IF(AND('制度詳細'!$J$10&gt;=AP$23,'制度詳細'!$J$10&lt;=EOMONTH(AP$23,0)),"◆","")),IF(MAX('制度詳細'!$H$10,AP$23)&lt;=MIN(IF('制度詳細'!$I$10="",EOMONTH(AP$23,0),'制度詳細'!$I$10),EOMONTH(AP$23,0)),"■",IF(AND('制度詳細'!$J$10&lt;&gt;"",'制度詳細'!$J$10&gt;=AP$23,'制度詳細'!$J$10&lt;=EOMONTH(AP$23,0)),"◆","")))</x:f>
        <x:v>■</x:v>
      </x:c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</x:row>
    <x:row r="29" ht="30" customHeight="1">
      <x:c r="A29" s="59" t="str">
        <x:v>TH06 EV3.5：国内生産3倍期限</x:v>
      </x:c>
      <x:c r="B29" s="59"/>
      <x:c r="C29" s="59"/>
      <x:c r="D29" s="59"/>
      <x:c r="E29" s="59"/>
      <x:c r="F29" s="59"/>
      <x:c r="G29" s="57" t="str">
        <x:f>IF('制度詳細'!$H$11="",IF('制度詳細'!$J$11="","",IF(AND('制度詳細'!$J$11&gt;=G$23,'制度詳細'!$J$11&lt;=EOMONTH(G$23,0)),"◆","")),IF(MAX('制度詳細'!$H$11,G$23)&lt;=MIN(IF('制度詳細'!$I$11="",EOMONTH(G$23,0),'制度詳細'!$I$11),EOMONTH(G$23,0)),"■",IF(AND('制度詳細'!$J$11&lt;&gt;"",'制度詳細'!$J$11&gt;=G$23,'制度詳細'!$J$11&lt;=EOMONTH(G$23,0)),"◆","")))</x:f>
      </x:c>
      <x:c r="H29" s="57" t="str">
        <x:f>IF('制度詳細'!$H$11="",IF('制度詳細'!$J$11="","",IF(AND('制度詳細'!$J$11&gt;=H$23,'制度詳細'!$J$11&lt;=EOMONTH(H$23,0)),"◆","")),IF(MAX('制度詳細'!$H$11,H$23)&lt;=MIN(IF('制度詳細'!$I$11="",EOMONTH(H$23,0),'制度詳細'!$I$11),EOMONTH(H$23,0)),"■",IF(AND('制度詳細'!$J$11&lt;&gt;"",'制度詳細'!$J$11&gt;=H$23,'制度詳細'!$J$11&lt;=EOMONTH(H$23,0)),"◆","")))</x:f>
      </x:c>
      <x:c r="I29" s="57" t="str">
        <x:f>IF('制度詳細'!$H$11="",IF('制度詳細'!$J$11="","",IF(AND('制度詳細'!$J$11&gt;=I$23,'制度詳細'!$J$11&lt;=EOMONTH(I$23,0)),"◆","")),IF(MAX('制度詳細'!$H$11,I$23)&lt;=MIN(IF('制度詳細'!$I$11="",EOMONTH(I$23,0),'制度詳細'!$I$11),EOMONTH(I$23,0)),"■",IF(AND('制度詳細'!$J$11&lt;&gt;"",'制度詳細'!$J$11&gt;=I$23,'制度詳細'!$J$11&lt;=EOMONTH(I$23,0)),"◆","")))</x:f>
      </x:c>
      <x:c r="J29" s="57" t="str">
        <x:f>IF('制度詳細'!$H$11="",IF('制度詳細'!$J$11="","",IF(AND('制度詳細'!$J$11&gt;=J$23,'制度詳細'!$J$11&lt;=EOMONTH(J$23,0)),"◆","")),IF(MAX('制度詳細'!$H$11,J$23)&lt;=MIN(IF('制度詳細'!$I$11="",EOMONTH(J$23,0),'制度詳細'!$I$11),EOMONTH(J$23,0)),"■",IF(AND('制度詳細'!$J$11&lt;&gt;"",'制度詳細'!$J$11&gt;=J$23,'制度詳細'!$J$11&lt;=EOMONTH(J$23,0)),"◆","")))</x:f>
      </x:c>
      <x:c r="K29" s="57" t="str">
        <x:f>IF('制度詳細'!$H$11="",IF('制度詳細'!$J$11="","",IF(AND('制度詳細'!$J$11&gt;=K$23,'制度詳細'!$J$11&lt;=EOMONTH(K$23,0)),"◆","")),IF(MAX('制度詳細'!$H$11,K$23)&lt;=MIN(IF('制度詳細'!$I$11="",EOMONTH(K$23,0),'制度詳細'!$I$11),EOMONTH(K$23,0)),"■",IF(AND('制度詳細'!$J$11&lt;&gt;"",'制度詳細'!$J$11&gt;=K$23,'制度詳細'!$J$11&lt;=EOMONTH(K$23,0)),"◆","")))</x:f>
      </x:c>
      <x:c r="L29" s="57" t="str">
        <x:f>IF('制度詳細'!$H$11="",IF('制度詳細'!$J$11="","",IF(AND('制度詳細'!$J$11&gt;=L$23,'制度詳細'!$J$11&lt;=EOMONTH(L$23,0)),"◆","")),IF(MAX('制度詳細'!$H$11,L$23)&lt;=MIN(IF('制度詳細'!$I$11="",EOMONTH(L$23,0),'制度詳細'!$I$11),EOMONTH(L$23,0)),"■",IF(AND('制度詳細'!$J$11&lt;&gt;"",'制度詳細'!$J$11&gt;=L$23,'制度詳細'!$J$11&lt;=EOMONTH(L$23,0)),"◆","")))</x:f>
      </x:c>
      <x:c r="M29" s="57" t="str">
        <x:f>IF('制度詳細'!$H$11="",IF('制度詳細'!$J$11="","",IF(AND('制度詳細'!$J$11&gt;=M$23,'制度詳細'!$J$11&lt;=EOMONTH(M$23,0)),"◆","")),IF(MAX('制度詳細'!$H$11,M$23)&lt;=MIN(IF('制度詳細'!$I$11="",EOMONTH(M$23,0),'制度詳細'!$I$11),EOMONTH(M$23,0)),"■",IF(AND('制度詳細'!$J$11&lt;&gt;"",'制度詳細'!$J$11&gt;=M$23,'制度詳細'!$J$11&lt;=EOMONTH(M$23,0)),"◆","")))</x:f>
      </x:c>
      <x:c r="N29" s="57" t="str">
        <x:f>IF('制度詳細'!$H$11="",IF('制度詳細'!$J$11="","",IF(AND('制度詳細'!$J$11&gt;=N$23,'制度詳細'!$J$11&lt;=EOMONTH(N$23,0)),"◆","")),IF(MAX('制度詳細'!$H$11,N$23)&lt;=MIN(IF('制度詳細'!$I$11="",EOMONTH(N$23,0),'制度詳細'!$I$11),EOMONTH(N$23,0)),"■",IF(AND('制度詳細'!$J$11&lt;&gt;"",'制度詳細'!$J$11&gt;=N$23,'制度詳細'!$J$11&lt;=EOMONTH(N$23,0)),"◆","")))</x:f>
      </x:c>
      <x:c r="O29" s="57" t="str">
        <x:f>IF('制度詳細'!$H$11="",IF('制度詳細'!$J$11="","",IF(AND('制度詳細'!$J$11&gt;=O$23,'制度詳細'!$J$11&lt;=EOMONTH(O$23,0)),"◆","")),IF(MAX('制度詳細'!$H$11,O$23)&lt;=MIN(IF('制度詳細'!$I$11="",EOMONTH(O$23,0),'制度詳細'!$I$11),EOMONTH(O$23,0)),"■",IF(AND('制度詳細'!$J$11&lt;&gt;"",'制度詳細'!$J$11&gt;=O$23,'制度詳細'!$J$11&lt;=EOMONTH(O$23,0)),"◆","")))</x:f>
      </x:c>
      <x:c r="P29" s="57" t="str">
        <x:f>IF('制度詳細'!$H$11="",IF('制度詳細'!$J$11="","",IF(AND('制度詳細'!$J$11&gt;=P$23,'制度詳細'!$J$11&lt;=EOMONTH(P$23,0)),"◆","")),IF(MAX('制度詳細'!$H$11,P$23)&lt;=MIN(IF('制度詳細'!$I$11="",EOMONTH(P$23,0),'制度詳細'!$I$11),EOMONTH(P$23,0)),"■",IF(AND('制度詳細'!$J$11&lt;&gt;"",'制度詳細'!$J$11&gt;=P$23,'制度詳細'!$J$11&lt;=EOMONTH(P$23,0)),"◆","")))</x:f>
      </x:c>
      <x:c r="Q29" s="57" t="str">
        <x:f>IF('制度詳細'!$H$11="",IF('制度詳細'!$J$11="","",IF(AND('制度詳細'!$J$11&gt;=Q$23,'制度詳細'!$J$11&lt;=EOMONTH(Q$23,0)),"◆","")),IF(MAX('制度詳細'!$H$11,Q$23)&lt;=MIN(IF('制度詳細'!$I$11="",EOMONTH(Q$23,0),'制度詳細'!$I$11),EOMONTH(Q$23,0)),"■",IF(AND('制度詳細'!$J$11&lt;&gt;"",'制度詳細'!$J$11&gt;=Q$23,'制度詳細'!$J$11&lt;=EOMONTH(Q$23,0)),"◆","")))</x:f>
      </x:c>
      <x:c r="R29" s="57" t="str">
        <x:f>IF('制度詳細'!$H$11="",IF('制度詳細'!$J$11="","",IF(AND('制度詳細'!$J$11&gt;=R$23,'制度詳細'!$J$11&lt;=EOMONTH(R$23,0)),"◆","")),IF(MAX('制度詳細'!$H$11,R$23)&lt;=MIN(IF('制度詳細'!$I$11="",EOMONTH(R$23,0),'制度詳細'!$I$11),EOMONTH(R$23,0)),"■",IF(AND('制度詳細'!$J$11&lt;&gt;"",'制度詳細'!$J$11&gt;=R$23,'制度詳細'!$J$11&lt;=EOMONTH(R$23,0)),"◆","")))</x:f>
      </x:c>
      <x:c r="S29" s="57" t="str">
        <x:f>IF('制度詳細'!$H$11="",IF('制度詳細'!$J$11="","",IF(AND('制度詳細'!$J$11&gt;=S$23,'制度詳細'!$J$11&lt;=EOMONTH(S$23,0)),"◆","")),IF(MAX('制度詳細'!$H$11,S$23)&lt;=MIN(IF('制度詳細'!$I$11="",EOMONTH(S$23,0),'制度詳細'!$I$11),EOMONTH(S$23,0)),"■",IF(AND('制度詳細'!$J$11&lt;&gt;"",'制度詳細'!$J$11&gt;=S$23,'制度詳細'!$J$11&lt;=EOMONTH(S$23,0)),"◆","")))</x:f>
      </x:c>
      <x:c r="T29" s="57" t="str">
        <x:f>IF('制度詳細'!$H$11="",IF('制度詳細'!$J$11="","",IF(AND('制度詳細'!$J$11&gt;=T$23,'制度詳細'!$J$11&lt;=EOMONTH(T$23,0)),"◆","")),IF(MAX('制度詳細'!$H$11,T$23)&lt;=MIN(IF('制度詳細'!$I$11="",EOMONTH(T$23,0),'制度詳細'!$I$11),EOMONTH(T$23,0)),"■",IF(AND('制度詳細'!$J$11&lt;&gt;"",'制度詳細'!$J$11&gt;=T$23,'制度詳細'!$J$11&lt;=EOMONTH(T$23,0)),"◆","")))</x:f>
      </x:c>
      <x:c r="U29" s="57" t="str">
        <x:f>IF('制度詳細'!$H$11="",IF('制度詳細'!$J$11="","",IF(AND('制度詳細'!$J$11&gt;=U$23,'制度詳細'!$J$11&lt;=EOMONTH(U$23,0)),"◆","")),IF(MAX('制度詳細'!$H$11,U$23)&lt;=MIN(IF('制度詳細'!$I$11="",EOMONTH(U$23,0),'制度詳細'!$I$11),EOMONTH(U$23,0)),"■",IF(AND('制度詳細'!$J$11&lt;&gt;"",'制度詳細'!$J$11&gt;=U$23,'制度詳細'!$J$11&lt;=EOMONTH(U$23,0)),"◆","")))</x:f>
      </x:c>
      <x:c r="V29" s="57" t="str">
        <x:f>IF('制度詳細'!$H$11="",IF('制度詳細'!$J$11="","",IF(AND('制度詳細'!$J$11&gt;=V$23,'制度詳細'!$J$11&lt;=EOMONTH(V$23,0)),"◆","")),IF(MAX('制度詳細'!$H$11,V$23)&lt;=MIN(IF('制度詳細'!$I$11="",EOMONTH(V$23,0),'制度詳細'!$I$11),EOMONTH(V$23,0)),"■",IF(AND('制度詳細'!$J$11&lt;&gt;"",'制度詳細'!$J$11&gt;=V$23,'制度詳細'!$J$11&lt;=EOMONTH(V$23,0)),"◆","")))</x:f>
      </x:c>
      <x:c r="W29" s="57" t="str">
        <x:f>IF('制度詳細'!$H$11="",IF('制度詳細'!$J$11="","",IF(AND('制度詳細'!$J$11&gt;=W$23,'制度詳細'!$J$11&lt;=EOMONTH(W$23,0)),"◆","")),IF(MAX('制度詳細'!$H$11,W$23)&lt;=MIN(IF('制度詳細'!$I$11="",EOMONTH(W$23,0),'制度詳細'!$I$11),EOMONTH(W$23,0)),"■",IF(AND('制度詳細'!$J$11&lt;&gt;"",'制度詳細'!$J$11&gt;=W$23,'制度詳細'!$J$11&lt;=EOMONTH(W$23,0)),"◆","")))</x:f>
      </x:c>
      <x:c r="X29" s="57" t="str">
        <x:f>IF('制度詳細'!$H$11="",IF('制度詳細'!$J$11="","",IF(AND('制度詳細'!$J$11&gt;=X$23,'制度詳細'!$J$11&lt;=EOMONTH(X$23,0)),"◆","")),IF(MAX('制度詳細'!$H$11,X$23)&lt;=MIN(IF('制度詳細'!$I$11="",EOMONTH(X$23,0),'制度詳細'!$I$11),EOMONTH(X$23,0)),"■",IF(AND('制度詳細'!$J$11&lt;&gt;"",'制度詳細'!$J$11&gt;=X$23,'制度詳細'!$J$11&lt;=EOMONTH(X$23,0)),"◆","")))</x:f>
      </x:c>
      <x:c r="Y29" s="57" t="str">
        <x:f>IF('制度詳細'!$H$11="",IF('制度詳細'!$J$11="","",IF(AND('制度詳細'!$J$11&gt;=Y$23,'制度詳細'!$J$11&lt;=EOMONTH(Y$23,0)),"◆","")),IF(MAX('制度詳細'!$H$11,Y$23)&lt;=MIN(IF('制度詳細'!$I$11="",EOMONTH(Y$23,0),'制度詳細'!$I$11),EOMONTH(Y$23,0)),"■",IF(AND('制度詳細'!$J$11&lt;&gt;"",'制度詳細'!$J$11&gt;=Y$23,'制度詳細'!$J$11&lt;=EOMONTH(Y$23,0)),"◆","")))</x:f>
      </x:c>
      <x:c r="Z29" s="57" t="str">
        <x:f>IF('制度詳細'!$H$11="",IF('制度詳細'!$J$11="","",IF(AND('制度詳細'!$J$11&gt;=Z$23,'制度詳細'!$J$11&lt;=EOMONTH(Z$23,0)),"◆","")),IF(MAX('制度詳細'!$H$11,Z$23)&lt;=MIN(IF('制度詳細'!$I$11="",EOMONTH(Z$23,0),'制度詳細'!$I$11),EOMONTH(Z$23,0)),"■",IF(AND('制度詳細'!$J$11&lt;&gt;"",'制度詳細'!$J$11&gt;=Z$23,'制度詳細'!$J$11&lt;=EOMONTH(Z$23,0)),"◆","")))</x:f>
      </x:c>
      <x:c r="AA29" s="57" t="str">
        <x:f>IF('制度詳細'!$H$11="",IF('制度詳細'!$J$11="","",IF(AND('制度詳細'!$J$11&gt;=AA$23,'制度詳細'!$J$11&lt;=EOMONTH(AA$23,0)),"◆","")),IF(MAX('制度詳細'!$H$11,AA$23)&lt;=MIN(IF('制度詳細'!$I$11="",EOMONTH(AA$23,0),'制度詳細'!$I$11),EOMONTH(AA$23,0)),"■",IF(AND('制度詳細'!$J$11&lt;&gt;"",'制度詳細'!$J$11&gt;=AA$23,'制度詳細'!$J$11&lt;=EOMONTH(AA$23,0)),"◆","")))</x:f>
      </x:c>
      <x:c r="AB29" s="57" t="str">
        <x:f>IF('制度詳細'!$H$11="",IF('制度詳細'!$J$11="","",IF(AND('制度詳細'!$J$11&gt;=AB$23,'制度詳細'!$J$11&lt;=EOMONTH(AB$23,0)),"◆","")),IF(MAX('制度詳細'!$H$11,AB$23)&lt;=MIN(IF('制度詳細'!$I$11="",EOMONTH(AB$23,0),'制度詳細'!$I$11),EOMONTH(AB$23,0)),"■",IF(AND('制度詳細'!$J$11&lt;&gt;"",'制度詳細'!$J$11&gt;=AB$23,'制度詳細'!$J$11&lt;=EOMONTH(AB$23,0)),"◆","")))</x:f>
      </x:c>
      <x:c r="AC29" s="57" t="str">
        <x:f>IF('制度詳細'!$H$11="",IF('制度詳細'!$J$11="","",IF(AND('制度詳細'!$J$11&gt;=AC$23,'制度詳細'!$J$11&lt;=EOMONTH(AC$23,0)),"◆","")),IF(MAX('制度詳細'!$H$11,AC$23)&lt;=MIN(IF('制度詳細'!$I$11="",EOMONTH(AC$23,0),'制度詳細'!$I$11),EOMONTH(AC$23,0)),"■",IF(AND('制度詳細'!$J$11&lt;&gt;"",'制度詳細'!$J$11&gt;=AC$23,'制度詳細'!$J$11&lt;=EOMONTH(AC$23,0)),"◆","")))</x:f>
      </x:c>
      <x:c r="AD29" s="57" t="str">
        <x:f>IF('制度詳細'!$H$11="",IF('制度詳細'!$J$11="","",IF(AND('制度詳細'!$J$11&gt;=AD$23,'制度詳細'!$J$11&lt;=EOMONTH(AD$23,0)),"◆","")),IF(MAX('制度詳細'!$H$11,AD$23)&lt;=MIN(IF('制度詳細'!$I$11="",EOMONTH(AD$23,0),'制度詳細'!$I$11),EOMONTH(AD$23,0)),"■",IF(AND('制度詳細'!$J$11&lt;&gt;"",'制度詳細'!$J$11&gt;=AD$23,'制度詳細'!$J$11&lt;=EOMONTH(AD$23,0)),"◆","")))</x:f>
      </x:c>
      <x:c r="AE29" s="57" t="str">
        <x:f>IF('制度詳細'!$H$11="",IF('制度詳細'!$J$11="","",IF(AND('制度詳細'!$J$11&gt;=AE$23,'制度詳細'!$J$11&lt;=EOMONTH(AE$23,0)),"◆","")),IF(MAX('制度詳細'!$H$11,AE$23)&lt;=MIN(IF('制度詳細'!$I$11="",EOMONTH(AE$23,0),'制度詳細'!$I$11),EOMONTH(AE$23,0)),"■",IF(AND('制度詳細'!$J$11&lt;&gt;"",'制度詳細'!$J$11&gt;=AE$23,'制度詳細'!$J$11&lt;=EOMONTH(AE$23,0)),"◆","")))</x:f>
      </x:c>
      <x:c r="AF29" s="57" t="str">
        <x:f>IF('制度詳細'!$H$11="",IF('制度詳細'!$J$11="","",IF(AND('制度詳細'!$J$11&gt;=AF$23,'制度詳細'!$J$11&lt;=EOMONTH(AF$23,0)),"◆","")),IF(MAX('制度詳細'!$H$11,AF$23)&lt;=MIN(IF('制度詳細'!$I$11="",EOMONTH(AF$23,0),'制度詳細'!$I$11),EOMONTH(AF$23,0)),"■",IF(AND('制度詳細'!$J$11&lt;&gt;"",'制度詳細'!$J$11&gt;=AF$23,'制度詳細'!$J$11&lt;=EOMONTH(AF$23,0)),"◆","")))</x:f>
      </x:c>
      <x:c r="AG29" s="57" t="str">
        <x:f>IF('制度詳細'!$H$11="",IF('制度詳細'!$J$11="","",IF(AND('制度詳細'!$J$11&gt;=AG$23,'制度詳細'!$J$11&lt;=EOMONTH(AG$23,0)),"◆","")),IF(MAX('制度詳細'!$H$11,AG$23)&lt;=MIN(IF('制度詳細'!$I$11="",EOMONTH(AG$23,0),'制度詳細'!$I$11),EOMONTH(AG$23,0)),"■",IF(AND('制度詳細'!$J$11&lt;&gt;"",'制度詳細'!$J$11&gt;=AG$23,'制度詳細'!$J$11&lt;=EOMONTH(AG$23,0)),"◆","")))</x:f>
      </x:c>
      <x:c r="AH29" s="57" t="str">
        <x:f>IF('制度詳細'!$H$11="",IF('制度詳細'!$J$11="","",IF(AND('制度詳細'!$J$11&gt;=AH$23,'制度詳細'!$J$11&lt;=EOMONTH(AH$23,0)),"◆","")),IF(MAX('制度詳細'!$H$11,AH$23)&lt;=MIN(IF('制度詳細'!$I$11="",EOMONTH(AH$23,0),'制度詳細'!$I$11),EOMONTH(AH$23,0)),"■",IF(AND('制度詳細'!$J$11&lt;&gt;"",'制度詳細'!$J$11&gt;=AH$23,'制度詳細'!$J$11&lt;=EOMONTH(AH$23,0)),"◆","")))</x:f>
      </x:c>
      <x:c r="AI29" s="57" t="str">
        <x:f>IF('制度詳細'!$H$11="",IF('制度詳細'!$J$11="","",IF(AND('制度詳細'!$J$11&gt;=AI$23,'制度詳細'!$J$11&lt;=EOMONTH(AI$23,0)),"◆","")),IF(MAX('制度詳細'!$H$11,AI$23)&lt;=MIN(IF('制度詳細'!$I$11="",EOMONTH(AI$23,0),'制度詳細'!$I$11),EOMONTH(AI$23,0)),"■",IF(AND('制度詳細'!$J$11&lt;&gt;"",'制度詳細'!$J$11&gt;=AI$23,'制度詳細'!$J$11&lt;=EOMONTH(AI$23,0)),"◆","")))</x:f>
      </x:c>
      <x:c r="AJ29" s="57" t="str">
        <x:f>IF('制度詳細'!$H$11="",IF('制度詳細'!$J$11="","",IF(AND('制度詳細'!$J$11&gt;=AJ$23,'制度詳細'!$J$11&lt;=EOMONTH(AJ$23,0)),"◆","")),IF(MAX('制度詳細'!$H$11,AJ$23)&lt;=MIN(IF('制度詳細'!$I$11="",EOMONTH(AJ$23,0),'制度詳細'!$I$11),EOMONTH(AJ$23,0)),"■",IF(AND('制度詳細'!$J$11&lt;&gt;"",'制度詳細'!$J$11&gt;=AJ$23,'制度詳細'!$J$11&lt;=EOMONTH(AJ$23,0)),"◆","")))</x:f>
      </x:c>
      <x:c r="AK29" s="57" t="str">
        <x:f>IF('制度詳細'!$H$11="",IF('制度詳細'!$J$11="","",IF(AND('制度詳細'!$J$11&gt;=AK$23,'制度詳細'!$J$11&lt;=EOMONTH(AK$23,0)),"◆","")),IF(MAX('制度詳細'!$H$11,AK$23)&lt;=MIN(IF('制度詳細'!$I$11="",EOMONTH(AK$23,0),'制度詳細'!$I$11),EOMONTH(AK$23,0)),"■",IF(AND('制度詳細'!$J$11&lt;&gt;"",'制度詳細'!$J$11&gt;=AK$23,'制度詳細'!$J$11&lt;=EOMONTH(AK$23,0)),"◆","")))</x:f>
      </x:c>
      <x:c r="AL29" s="57" t="str">
        <x:f>IF('制度詳細'!$H$11="",IF('制度詳細'!$J$11="","",IF(AND('制度詳細'!$J$11&gt;=AL$23,'制度詳細'!$J$11&lt;=EOMONTH(AL$23,0)),"◆","")),IF(MAX('制度詳細'!$H$11,AL$23)&lt;=MIN(IF('制度詳細'!$I$11="",EOMONTH(AL$23,0),'制度詳細'!$I$11),EOMONTH(AL$23,0)),"■",IF(AND('制度詳細'!$J$11&lt;&gt;"",'制度詳細'!$J$11&gt;=AL$23,'制度詳細'!$J$11&lt;=EOMONTH(AL$23,0)),"◆","")))</x:f>
      </x:c>
      <x:c r="AM29" s="57" t="str">
        <x:f>IF('制度詳細'!$H$11="",IF('制度詳細'!$J$11="","",IF(AND('制度詳細'!$J$11&gt;=AM$23,'制度詳細'!$J$11&lt;=EOMONTH(AM$23,0)),"◆","")),IF(MAX('制度詳細'!$H$11,AM$23)&lt;=MIN(IF('制度詳細'!$I$11="",EOMONTH(AM$23,0),'制度詳細'!$I$11),EOMONTH(AM$23,0)),"■",IF(AND('制度詳細'!$J$11&lt;&gt;"",'制度詳細'!$J$11&gt;=AM$23,'制度詳細'!$J$11&lt;=EOMONTH(AM$23,0)),"◆","")))</x:f>
      </x:c>
      <x:c r="AN29" s="57" t="str">
        <x:f>IF('制度詳細'!$H$11="",IF('制度詳細'!$J$11="","",IF(AND('制度詳細'!$J$11&gt;=AN$23,'制度詳細'!$J$11&lt;=EOMONTH(AN$23,0)),"◆","")),IF(MAX('制度詳細'!$H$11,AN$23)&lt;=MIN(IF('制度詳細'!$I$11="",EOMONTH(AN$23,0),'制度詳細'!$I$11),EOMONTH(AN$23,0)),"■",IF(AND('制度詳細'!$J$11&lt;&gt;"",'制度詳細'!$J$11&gt;=AN$23,'制度詳細'!$J$11&lt;=EOMONTH(AN$23,0)),"◆","")))</x:f>
      </x:c>
      <x:c r="AO29" s="57" t="str">
        <x:f>IF('制度詳細'!$H$11="",IF('制度詳細'!$J$11="","",IF(AND('制度詳細'!$J$11&gt;=AO$23,'制度詳細'!$J$11&lt;=EOMONTH(AO$23,0)),"◆","")),IF(MAX('制度詳細'!$H$11,AO$23)&lt;=MIN(IF('制度詳細'!$I$11="",EOMONTH(AO$23,0),'制度詳細'!$I$11),EOMONTH(AO$23,0)),"■",IF(AND('制度詳細'!$J$11&lt;&gt;"",'制度詳細'!$J$11&gt;=AO$23,'制度詳細'!$J$11&lt;=EOMONTH(AO$23,0)),"◆","")))</x:f>
      </x:c>
      <x:c r="AP29" s="57" t="str">
        <x:f>IF('制度詳細'!$H$11="",IF('制度詳細'!$J$11="","",IF(AND('制度詳細'!$J$11&gt;=AP$23,'制度詳細'!$J$11&lt;=EOMONTH(AP$23,0)),"◆","")),IF(MAX('制度詳細'!$H$11,AP$23)&lt;=MIN(IF('制度詳細'!$I$11="",EOMONTH(AP$23,0),'制度詳細'!$I$11),EOMONTH(AP$23,0)),"■",IF(AND('制度詳細'!$J$11&lt;&gt;"",'制度詳細'!$J$11&gt;=AP$23,'制度詳細'!$J$11&lt;=EOMONTH(AP$23,0)),"◆","")))</x:f>
      </x:c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</x:row>
    <x:row r="30" ht="30" customHeight="1">
      <x:c r="A30" s="54" t="str">
        <x:v>TH07 輸出1台＝補填1.5台の決定</x:v>
      </x:c>
      <x:c r="B30" s="54"/>
      <x:c r="C30" s="54"/>
      <x:c r="D30" s="54"/>
      <x:c r="E30" s="54"/>
      <x:c r="F30" s="54"/>
      <x:c r="G30" s="57" t="str">
        <x:f>IF('制度詳細'!$H$12="",IF('制度詳細'!$J$12="","",IF(AND('制度詳細'!$J$12&gt;=G$23,'制度詳細'!$J$12&lt;=EOMONTH(G$23,0)),"◆","")),IF(MAX('制度詳細'!$H$12,G$23)&lt;=MIN(IF('制度詳細'!$I$12="",EOMONTH(G$23,0),'制度詳細'!$I$12),EOMONTH(G$23,0)),"■",IF(AND('制度詳細'!$J$12&lt;&gt;"",'制度詳細'!$J$12&gt;=G$23,'制度詳細'!$J$12&lt;=EOMONTH(G$23,0)),"◆","")))</x:f>
      </x:c>
      <x:c r="H30" s="57" t="str">
        <x:f>IF('制度詳細'!$H$12="",IF('制度詳細'!$J$12="","",IF(AND('制度詳細'!$J$12&gt;=H$23,'制度詳細'!$J$12&lt;=EOMONTH(H$23,0)),"◆","")),IF(MAX('制度詳細'!$H$12,H$23)&lt;=MIN(IF('制度詳細'!$I$12="",EOMONTH(H$23,0),'制度詳細'!$I$12),EOMONTH(H$23,0)),"■",IF(AND('制度詳細'!$J$12&lt;&gt;"",'制度詳細'!$J$12&gt;=H$23,'制度詳細'!$J$12&lt;=EOMONTH(H$23,0)),"◆","")))</x:f>
      </x:c>
      <x:c r="I30" s="57" t="str">
        <x:f>IF('制度詳細'!$H$12="",IF('制度詳細'!$J$12="","",IF(AND('制度詳細'!$J$12&gt;=I$23,'制度詳細'!$J$12&lt;=EOMONTH(I$23,0)),"◆","")),IF(MAX('制度詳細'!$H$12,I$23)&lt;=MIN(IF('制度詳細'!$I$12="",EOMONTH(I$23,0),'制度詳細'!$I$12),EOMONTH(I$23,0)),"■",IF(AND('制度詳細'!$J$12&lt;&gt;"",'制度詳細'!$J$12&gt;=I$23,'制度詳細'!$J$12&lt;=EOMONTH(I$23,0)),"◆","")))</x:f>
      </x:c>
      <x:c r="J30" s="57" t="str">
        <x:f>IF('制度詳細'!$H$12="",IF('制度詳細'!$J$12="","",IF(AND('制度詳細'!$J$12&gt;=J$23,'制度詳細'!$J$12&lt;=EOMONTH(J$23,0)),"◆","")),IF(MAX('制度詳細'!$H$12,J$23)&lt;=MIN(IF('制度詳細'!$I$12="",EOMONTH(J$23,0),'制度詳細'!$I$12),EOMONTH(J$23,0)),"■",IF(AND('制度詳細'!$J$12&lt;&gt;"",'制度詳細'!$J$12&gt;=J$23,'制度詳細'!$J$12&lt;=EOMONTH(J$23,0)),"◆","")))</x:f>
      </x:c>
      <x:c r="K30" s="57" t="str">
        <x:f>IF('制度詳細'!$H$12="",IF('制度詳細'!$J$12="","",IF(AND('制度詳細'!$J$12&gt;=K$23,'制度詳細'!$J$12&lt;=EOMONTH(K$23,0)),"◆","")),IF(MAX('制度詳細'!$H$12,K$23)&lt;=MIN(IF('制度詳細'!$I$12="",EOMONTH(K$23,0),'制度詳細'!$I$12),EOMONTH(K$23,0)),"■",IF(AND('制度詳細'!$J$12&lt;&gt;"",'制度詳細'!$J$12&gt;=K$23,'制度詳細'!$J$12&lt;=EOMONTH(K$23,0)),"◆","")))</x:f>
      </x:c>
      <x:c r="L30" s="57" t="str">
        <x:f>IF('制度詳細'!$H$12="",IF('制度詳細'!$J$12="","",IF(AND('制度詳細'!$J$12&gt;=L$23,'制度詳細'!$J$12&lt;=EOMONTH(L$23,0)),"◆","")),IF(MAX('制度詳細'!$H$12,L$23)&lt;=MIN(IF('制度詳細'!$I$12="",EOMONTH(L$23,0),'制度詳細'!$I$12),EOMONTH(L$23,0)),"■",IF(AND('制度詳細'!$J$12&lt;&gt;"",'制度詳細'!$J$12&gt;=L$23,'制度詳細'!$J$12&lt;=EOMONTH(L$23,0)),"◆","")))</x:f>
      </x:c>
      <x:c r="M30" s="57" t="str">
        <x:f>IF('制度詳細'!$H$12="",IF('制度詳細'!$J$12="","",IF(AND('制度詳細'!$J$12&gt;=M$23,'制度詳細'!$J$12&lt;=EOMONTH(M$23,0)),"◆","")),IF(MAX('制度詳細'!$H$12,M$23)&lt;=MIN(IF('制度詳細'!$I$12="",EOMONTH(M$23,0),'制度詳細'!$I$12),EOMONTH(M$23,0)),"■",IF(AND('制度詳細'!$J$12&lt;&gt;"",'制度詳細'!$J$12&gt;=M$23,'制度詳細'!$J$12&lt;=EOMONTH(M$23,0)),"◆","")))</x:f>
      </x:c>
      <x:c r="N30" s="57" t="str">
        <x:f>IF('制度詳細'!$H$12="",IF('制度詳細'!$J$12="","",IF(AND('制度詳細'!$J$12&gt;=N$23,'制度詳細'!$J$12&lt;=EOMONTH(N$23,0)),"◆","")),IF(MAX('制度詳細'!$H$12,N$23)&lt;=MIN(IF('制度詳細'!$I$12="",EOMONTH(N$23,0),'制度詳細'!$I$12),EOMONTH(N$23,0)),"■",IF(AND('制度詳細'!$J$12&lt;&gt;"",'制度詳細'!$J$12&gt;=N$23,'制度詳細'!$J$12&lt;=EOMONTH(N$23,0)),"◆","")))</x:f>
      </x:c>
      <x:c r="O30" s="57" t="str">
        <x:f>IF('制度詳細'!$H$12="",IF('制度詳細'!$J$12="","",IF(AND('制度詳細'!$J$12&gt;=O$23,'制度詳細'!$J$12&lt;=EOMONTH(O$23,0)),"◆","")),IF(MAX('制度詳細'!$H$12,O$23)&lt;=MIN(IF('制度詳細'!$I$12="",EOMONTH(O$23,0),'制度詳細'!$I$12),EOMONTH(O$23,0)),"■",IF(AND('制度詳細'!$J$12&lt;&gt;"",'制度詳細'!$J$12&gt;=O$23,'制度詳細'!$J$12&lt;=EOMONTH(O$23,0)),"◆","")))</x:f>
      </x:c>
      <x:c r="P30" s="57" t="str">
        <x:f>IF('制度詳細'!$H$12="",IF('制度詳細'!$J$12="","",IF(AND('制度詳細'!$J$12&gt;=P$23,'制度詳細'!$J$12&lt;=EOMONTH(P$23,0)),"◆","")),IF(MAX('制度詳細'!$H$12,P$23)&lt;=MIN(IF('制度詳細'!$I$12="",EOMONTH(P$23,0),'制度詳細'!$I$12),EOMONTH(P$23,0)),"■",IF(AND('制度詳細'!$J$12&lt;&gt;"",'制度詳細'!$J$12&gt;=P$23,'制度詳細'!$J$12&lt;=EOMONTH(P$23,0)),"◆","")))</x:f>
      </x:c>
      <x:c r="Q30" s="57" t="str">
        <x:f>IF('制度詳細'!$H$12="",IF('制度詳細'!$J$12="","",IF(AND('制度詳細'!$J$12&gt;=Q$23,'制度詳細'!$J$12&lt;=EOMONTH(Q$23,0)),"◆","")),IF(MAX('制度詳細'!$H$12,Q$23)&lt;=MIN(IF('制度詳細'!$I$12="",EOMONTH(Q$23,0),'制度詳細'!$I$12),EOMONTH(Q$23,0)),"■",IF(AND('制度詳細'!$J$12&lt;&gt;"",'制度詳細'!$J$12&gt;=Q$23,'制度詳細'!$J$12&lt;=EOMONTH(Q$23,0)),"◆","")))</x:f>
      </x:c>
      <x:c r="R30" s="57" t="str">
        <x:f>IF('制度詳細'!$H$12="",IF('制度詳細'!$J$12="","",IF(AND('制度詳細'!$J$12&gt;=R$23,'制度詳細'!$J$12&lt;=EOMONTH(R$23,0)),"◆","")),IF(MAX('制度詳細'!$H$12,R$23)&lt;=MIN(IF('制度詳細'!$I$12="",EOMONTH(R$23,0),'制度詳細'!$I$12),EOMONTH(R$23,0)),"■",IF(AND('制度詳細'!$J$12&lt;&gt;"",'制度詳細'!$J$12&gt;=R$23,'制度詳細'!$J$12&lt;=EOMONTH(R$23,0)),"◆","")))</x:f>
      </x:c>
      <x:c r="S30" s="57" t="str">
        <x:f>IF('制度詳細'!$H$12="",IF('制度詳細'!$J$12="","",IF(AND('制度詳細'!$J$12&gt;=S$23,'制度詳細'!$J$12&lt;=EOMONTH(S$23,0)),"◆","")),IF(MAX('制度詳細'!$H$12,S$23)&lt;=MIN(IF('制度詳細'!$I$12="",EOMONTH(S$23,0),'制度詳細'!$I$12),EOMONTH(S$23,0)),"■",IF(AND('制度詳細'!$J$12&lt;&gt;"",'制度詳細'!$J$12&gt;=S$23,'制度詳細'!$J$12&lt;=EOMONTH(S$23,0)),"◆","")))</x:f>
      </x:c>
      <x:c r="T30" s="57" t="str">
        <x:f>IF('制度詳細'!$H$12="",IF('制度詳細'!$J$12="","",IF(AND('制度詳細'!$J$12&gt;=T$23,'制度詳細'!$J$12&lt;=EOMONTH(T$23,0)),"◆","")),IF(MAX('制度詳細'!$H$12,T$23)&lt;=MIN(IF('制度詳細'!$I$12="",EOMONTH(T$23,0),'制度詳細'!$I$12),EOMONTH(T$23,0)),"■",IF(AND('制度詳細'!$J$12&lt;&gt;"",'制度詳細'!$J$12&gt;=T$23,'制度詳細'!$J$12&lt;=EOMONTH(T$23,0)),"◆","")))</x:f>
      </x:c>
      <x:c r="U30" s="57" t="str">
        <x:f>IF('制度詳細'!$H$12="",IF('制度詳細'!$J$12="","",IF(AND('制度詳細'!$J$12&gt;=U$23,'制度詳細'!$J$12&lt;=EOMONTH(U$23,0)),"◆","")),IF(MAX('制度詳細'!$H$12,U$23)&lt;=MIN(IF('制度詳細'!$I$12="",EOMONTH(U$23,0),'制度詳細'!$I$12),EOMONTH(U$23,0)),"■",IF(AND('制度詳細'!$J$12&lt;&gt;"",'制度詳細'!$J$12&gt;=U$23,'制度詳細'!$J$12&lt;=EOMONTH(U$23,0)),"◆","")))</x:f>
      </x:c>
      <x:c r="V30" s="57" t="str">
        <x:f>IF('制度詳細'!$H$12="",IF('制度詳細'!$J$12="","",IF(AND('制度詳細'!$J$12&gt;=V$23,'制度詳細'!$J$12&lt;=EOMONTH(V$23,0)),"◆","")),IF(MAX('制度詳細'!$H$12,V$23)&lt;=MIN(IF('制度詳細'!$I$12="",EOMONTH(V$23,0),'制度詳細'!$I$12),EOMONTH(V$23,0)),"■",IF(AND('制度詳細'!$J$12&lt;&gt;"",'制度詳細'!$J$12&gt;=V$23,'制度詳細'!$J$12&lt;=EOMONTH(V$23,0)),"◆","")))</x:f>
      </x:c>
      <x:c r="W30" s="57" t="str">
        <x:f>IF('制度詳細'!$H$12="",IF('制度詳細'!$J$12="","",IF(AND('制度詳細'!$J$12&gt;=W$23,'制度詳細'!$J$12&lt;=EOMONTH(W$23,0)),"◆","")),IF(MAX('制度詳細'!$H$12,W$23)&lt;=MIN(IF('制度詳細'!$I$12="",EOMONTH(W$23,0),'制度詳細'!$I$12),EOMONTH(W$23,0)),"■",IF(AND('制度詳細'!$J$12&lt;&gt;"",'制度詳細'!$J$12&gt;=W$23,'制度詳細'!$J$12&lt;=EOMONTH(W$23,0)),"◆","")))</x:f>
      </x:c>
      <x:c r="X30" s="57" t="str">
        <x:f>IF('制度詳細'!$H$12="",IF('制度詳細'!$J$12="","",IF(AND('制度詳細'!$J$12&gt;=X$23,'制度詳細'!$J$12&lt;=EOMONTH(X$23,0)),"◆","")),IF(MAX('制度詳細'!$H$12,X$23)&lt;=MIN(IF('制度詳細'!$I$12="",EOMONTH(X$23,0),'制度詳細'!$I$12),EOMONTH(X$23,0)),"■",IF(AND('制度詳細'!$J$12&lt;&gt;"",'制度詳細'!$J$12&gt;=X$23,'制度詳細'!$J$12&lt;=EOMONTH(X$23,0)),"◆","")))</x:f>
      </x:c>
      <x:c r="Y30" s="57" t="str">
        <x:f>IF('制度詳細'!$H$12="",IF('制度詳細'!$J$12="","",IF(AND('制度詳細'!$J$12&gt;=Y$23,'制度詳細'!$J$12&lt;=EOMONTH(Y$23,0)),"◆","")),IF(MAX('制度詳細'!$H$12,Y$23)&lt;=MIN(IF('制度詳細'!$I$12="",EOMONTH(Y$23,0),'制度詳細'!$I$12),EOMONTH(Y$23,0)),"■",IF(AND('制度詳細'!$J$12&lt;&gt;"",'制度詳細'!$J$12&gt;=Y$23,'制度詳細'!$J$12&lt;=EOMONTH(Y$23,0)),"◆","")))</x:f>
        <x:v>◆</x:v>
      </x:c>
      <x:c r="Z30" s="57" t="str">
        <x:f>IF('制度詳細'!$H$12="",IF('制度詳細'!$J$12="","",IF(AND('制度詳細'!$J$12&gt;=Z$23,'制度詳細'!$J$12&lt;=EOMONTH(Z$23,0)),"◆","")),IF(MAX('制度詳細'!$H$12,Z$23)&lt;=MIN(IF('制度詳細'!$I$12="",EOMONTH(Z$23,0),'制度詳細'!$I$12),EOMONTH(Z$23,0)),"■",IF(AND('制度詳細'!$J$12&lt;&gt;"",'制度詳細'!$J$12&gt;=Z$23,'制度詳細'!$J$12&lt;=EOMONTH(Z$23,0)),"◆","")))</x:f>
      </x:c>
      <x:c r="AA30" s="57" t="str">
        <x:f>IF('制度詳細'!$H$12="",IF('制度詳細'!$J$12="","",IF(AND('制度詳細'!$J$12&gt;=AA$23,'制度詳細'!$J$12&lt;=EOMONTH(AA$23,0)),"◆","")),IF(MAX('制度詳細'!$H$12,AA$23)&lt;=MIN(IF('制度詳細'!$I$12="",EOMONTH(AA$23,0),'制度詳細'!$I$12),EOMONTH(AA$23,0)),"■",IF(AND('制度詳細'!$J$12&lt;&gt;"",'制度詳細'!$J$12&gt;=AA$23,'制度詳細'!$J$12&lt;=EOMONTH(AA$23,0)),"◆","")))</x:f>
      </x:c>
      <x:c r="AB30" s="57" t="str">
        <x:f>IF('制度詳細'!$H$12="",IF('制度詳細'!$J$12="","",IF(AND('制度詳細'!$J$12&gt;=AB$23,'制度詳細'!$J$12&lt;=EOMONTH(AB$23,0)),"◆","")),IF(MAX('制度詳細'!$H$12,AB$23)&lt;=MIN(IF('制度詳細'!$I$12="",EOMONTH(AB$23,0),'制度詳細'!$I$12),EOMONTH(AB$23,0)),"■",IF(AND('制度詳細'!$J$12&lt;&gt;"",'制度詳細'!$J$12&gt;=AB$23,'制度詳細'!$J$12&lt;=EOMONTH(AB$23,0)),"◆","")))</x:f>
      </x:c>
      <x:c r="AC30" s="57" t="str">
        <x:f>IF('制度詳細'!$H$12="",IF('制度詳細'!$J$12="","",IF(AND('制度詳細'!$J$12&gt;=AC$23,'制度詳細'!$J$12&lt;=EOMONTH(AC$23,0)),"◆","")),IF(MAX('制度詳細'!$H$12,AC$23)&lt;=MIN(IF('制度詳細'!$I$12="",EOMONTH(AC$23,0),'制度詳細'!$I$12),EOMONTH(AC$23,0)),"■",IF(AND('制度詳細'!$J$12&lt;&gt;"",'制度詳細'!$J$12&gt;=AC$23,'制度詳細'!$J$12&lt;=EOMONTH(AC$23,0)),"◆","")))</x:f>
      </x:c>
      <x:c r="AD30" s="57" t="str">
        <x:f>IF('制度詳細'!$H$12="",IF('制度詳細'!$J$12="","",IF(AND('制度詳細'!$J$12&gt;=AD$23,'制度詳細'!$J$12&lt;=EOMONTH(AD$23,0)),"◆","")),IF(MAX('制度詳細'!$H$12,AD$23)&lt;=MIN(IF('制度詳細'!$I$12="",EOMONTH(AD$23,0),'制度詳細'!$I$12),EOMONTH(AD$23,0)),"■",IF(AND('制度詳細'!$J$12&lt;&gt;"",'制度詳細'!$J$12&gt;=AD$23,'制度詳細'!$J$12&lt;=EOMONTH(AD$23,0)),"◆","")))</x:f>
      </x:c>
      <x:c r="AE30" s="57" t="str">
        <x:f>IF('制度詳細'!$H$12="",IF('制度詳細'!$J$12="","",IF(AND('制度詳細'!$J$12&gt;=AE$23,'制度詳細'!$J$12&lt;=EOMONTH(AE$23,0)),"◆","")),IF(MAX('制度詳細'!$H$12,AE$23)&lt;=MIN(IF('制度詳細'!$I$12="",EOMONTH(AE$23,0),'制度詳細'!$I$12),EOMONTH(AE$23,0)),"■",IF(AND('制度詳細'!$J$12&lt;&gt;"",'制度詳細'!$J$12&gt;=AE$23,'制度詳細'!$J$12&lt;=EOMONTH(AE$23,0)),"◆","")))</x:f>
      </x:c>
      <x:c r="AF30" s="57" t="str">
        <x:f>IF('制度詳細'!$H$12="",IF('制度詳細'!$J$12="","",IF(AND('制度詳細'!$J$12&gt;=AF$23,'制度詳細'!$J$12&lt;=EOMONTH(AF$23,0)),"◆","")),IF(MAX('制度詳細'!$H$12,AF$23)&lt;=MIN(IF('制度詳細'!$I$12="",EOMONTH(AF$23,0),'制度詳細'!$I$12),EOMONTH(AF$23,0)),"■",IF(AND('制度詳細'!$J$12&lt;&gt;"",'制度詳細'!$J$12&gt;=AF$23,'制度詳細'!$J$12&lt;=EOMONTH(AF$23,0)),"◆","")))</x:f>
      </x:c>
      <x:c r="AG30" s="57" t="str">
        <x:f>IF('制度詳細'!$H$12="",IF('制度詳細'!$J$12="","",IF(AND('制度詳細'!$J$12&gt;=AG$23,'制度詳細'!$J$12&lt;=EOMONTH(AG$23,0)),"◆","")),IF(MAX('制度詳細'!$H$12,AG$23)&lt;=MIN(IF('制度詳細'!$I$12="",EOMONTH(AG$23,0),'制度詳細'!$I$12),EOMONTH(AG$23,0)),"■",IF(AND('制度詳細'!$J$12&lt;&gt;"",'制度詳細'!$J$12&gt;=AG$23,'制度詳細'!$J$12&lt;=EOMONTH(AG$23,0)),"◆","")))</x:f>
      </x:c>
      <x:c r="AH30" s="57" t="str">
        <x:f>IF('制度詳細'!$H$12="",IF('制度詳細'!$J$12="","",IF(AND('制度詳細'!$J$12&gt;=AH$23,'制度詳細'!$J$12&lt;=EOMONTH(AH$23,0)),"◆","")),IF(MAX('制度詳細'!$H$12,AH$23)&lt;=MIN(IF('制度詳細'!$I$12="",EOMONTH(AH$23,0),'制度詳細'!$I$12),EOMONTH(AH$23,0)),"■",IF(AND('制度詳細'!$J$12&lt;&gt;"",'制度詳細'!$J$12&gt;=AH$23,'制度詳細'!$J$12&lt;=EOMONTH(AH$23,0)),"◆","")))</x:f>
      </x:c>
      <x:c r="AI30" s="57" t="str">
        <x:f>IF('制度詳細'!$H$12="",IF('制度詳細'!$J$12="","",IF(AND('制度詳細'!$J$12&gt;=AI$23,'制度詳細'!$J$12&lt;=EOMONTH(AI$23,0)),"◆","")),IF(MAX('制度詳細'!$H$12,AI$23)&lt;=MIN(IF('制度詳細'!$I$12="",EOMONTH(AI$23,0),'制度詳細'!$I$12),EOMONTH(AI$23,0)),"■",IF(AND('制度詳細'!$J$12&lt;&gt;"",'制度詳細'!$J$12&gt;=AI$23,'制度詳細'!$J$12&lt;=EOMONTH(AI$23,0)),"◆","")))</x:f>
      </x:c>
      <x:c r="AJ30" s="57" t="str">
        <x:f>IF('制度詳細'!$H$12="",IF('制度詳細'!$J$12="","",IF(AND('制度詳細'!$J$12&gt;=AJ$23,'制度詳細'!$J$12&lt;=EOMONTH(AJ$23,0)),"◆","")),IF(MAX('制度詳細'!$H$12,AJ$23)&lt;=MIN(IF('制度詳細'!$I$12="",EOMONTH(AJ$23,0),'制度詳細'!$I$12),EOMONTH(AJ$23,0)),"■",IF(AND('制度詳細'!$J$12&lt;&gt;"",'制度詳細'!$J$12&gt;=AJ$23,'制度詳細'!$J$12&lt;=EOMONTH(AJ$23,0)),"◆","")))</x:f>
      </x:c>
      <x:c r="AK30" s="57" t="str">
        <x:f>IF('制度詳細'!$H$12="",IF('制度詳細'!$J$12="","",IF(AND('制度詳細'!$J$12&gt;=AK$23,'制度詳細'!$J$12&lt;=EOMONTH(AK$23,0)),"◆","")),IF(MAX('制度詳細'!$H$12,AK$23)&lt;=MIN(IF('制度詳細'!$I$12="",EOMONTH(AK$23,0),'制度詳細'!$I$12),EOMONTH(AK$23,0)),"■",IF(AND('制度詳細'!$J$12&lt;&gt;"",'制度詳細'!$J$12&gt;=AK$23,'制度詳細'!$J$12&lt;=EOMONTH(AK$23,0)),"◆","")))</x:f>
      </x:c>
      <x:c r="AL30" s="57" t="str">
        <x:f>IF('制度詳細'!$H$12="",IF('制度詳細'!$J$12="","",IF(AND('制度詳細'!$J$12&gt;=AL$23,'制度詳細'!$J$12&lt;=EOMONTH(AL$23,0)),"◆","")),IF(MAX('制度詳細'!$H$12,AL$23)&lt;=MIN(IF('制度詳細'!$I$12="",EOMONTH(AL$23,0),'制度詳細'!$I$12),EOMONTH(AL$23,0)),"■",IF(AND('制度詳細'!$J$12&lt;&gt;"",'制度詳細'!$J$12&gt;=AL$23,'制度詳細'!$J$12&lt;=EOMONTH(AL$23,0)),"◆","")))</x:f>
      </x:c>
      <x:c r="AM30" s="57" t="str">
        <x:f>IF('制度詳細'!$H$12="",IF('制度詳細'!$J$12="","",IF(AND('制度詳細'!$J$12&gt;=AM$23,'制度詳細'!$J$12&lt;=EOMONTH(AM$23,0)),"◆","")),IF(MAX('制度詳細'!$H$12,AM$23)&lt;=MIN(IF('制度詳細'!$I$12="",EOMONTH(AM$23,0),'制度詳細'!$I$12),EOMONTH(AM$23,0)),"■",IF(AND('制度詳細'!$J$12&lt;&gt;"",'制度詳細'!$J$12&gt;=AM$23,'制度詳細'!$J$12&lt;=EOMONTH(AM$23,0)),"◆","")))</x:f>
      </x:c>
      <x:c r="AN30" s="57" t="str">
        <x:f>IF('制度詳細'!$H$12="",IF('制度詳細'!$J$12="","",IF(AND('制度詳細'!$J$12&gt;=AN$23,'制度詳細'!$J$12&lt;=EOMONTH(AN$23,0)),"◆","")),IF(MAX('制度詳細'!$H$12,AN$23)&lt;=MIN(IF('制度詳細'!$I$12="",EOMONTH(AN$23,0),'制度詳細'!$I$12),EOMONTH(AN$23,0)),"■",IF(AND('制度詳細'!$J$12&lt;&gt;"",'制度詳細'!$J$12&gt;=AN$23,'制度詳細'!$J$12&lt;=EOMONTH(AN$23,0)),"◆","")))</x:f>
      </x:c>
      <x:c r="AO30" s="57" t="str">
        <x:f>IF('制度詳細'!$H$12="",IF('制度詳細'!$J$12="","",IF(AND('制度詳細'!$J$12&gt;=AO$23,'制度詳細'!$J$12&lt;=EOMONTH(AO$23,0)),"◆","")),IF(MAX('制度詳細'!$H$12,AO$23)&lt;=MIN(IF('制度詳細'!$I$12="",EOMONTH(AO$23,0),'制度詳細'!$I$12),EOMONTH(AO$23,0)),"■",IF(AND('制度詳細'!$J$12&lt;&gt;"",'制度詳細'!$J$12&gt;=AO$23,'制度詳細'!$J$12&lt;=EOMONTH(AO$23,0)),"◆","")))</x:f>
      </x:c>
      <x:c r="AP30" s="57" t="str">
        <x:f>IF('制度詳細'!$H$12="",IF('制度詳細'!$J$12="","",IF(AND('制度詳細'!$J$12&gt;=AP$23,'制度詳細'!$J$12&lt;=EOMONTH(AP$23,0)),"◆","")),IF(MAX('制度詳細'!$H$12,AP$23)&lt;=MIN(IF('制度詳細'!$I$12="",EOMONTH(AP$23,0),'制度詳細'!$I$12),EOMONTH(AP$23,0)),"■",IF(AND('制度詳細'!$J$12&lt;&gt;"",'制度詳細'!$J$12&gt;=AP$23,'制度詳細'!$J$12&lt;=EOMONTH(AP$23,0)),"◆","")))</x:f>
      </x:c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</x:row>
    <x:row r="31" ht="30" customHeight="1">
      <x:c r="A31" s="59" t="str">
        <x:v>TH08 EV3販売期限・登録猶予</x:v>
      </x:c>
      <x:c r="B31" s="59"/>
      <x:c r="C31" s="59"/>
      <x:c r="D31" s="59"/>
      <x:c r="E31" s="59"/>
      <x:c r="F31" s="59"/>
      <x:c r="G31" s="57" t="str">
        <x:f>IF('制度詳細'!$H$13="",IF('制度詳細'!$J$13="","",IF(AND('制度詳細'!$J$13&gt;=G$23,'制度詳細'!$J$13&lt;=EOMONTH(G$23,0)),"◆","")),IF(MAX('制度詳細'!$H$13,G$23)&lt;=MIN(IF('制度詳細'!$I$13="",EOMONTH(G$23,0),'制度詳細'!$I$13),EOMONTH(G$23,0)),"■",IF(AND('制度詳細'!$J$13&lt;&gt;"",'制度詳細'!$J$13&gt;=G$23,'制度詳細'!$J$13&lt;=EOMONTH(G$23,0)),"◆","")))</x:f>
      </x:c>
      <x:c r="H31" s="57" t="str">
        <x:f>IF('制度詳細'!$H$13="",IF('制度詳細'!$J$13="","",IF(AND('制度詳細'!$J$13&gt;=H$23,'制度詳細'!$J$13&lt;=EOMONTH(H$23,0)),"◆","")),IF(MAX('制度詳細'!$H$13,H$23)&lt;=MIN(IF('制度詳細'!$I$13="",EOMONTH(H$23,0),'制度詳細'!$I$13),EOMONTH(H$23,0)),"■",IF(AND('制度詳細'!$J$13&lt;&gt;"",'制度詳細'!$J$13&gt;=H$23,'制度詳細'!$J$13&lt;=EOMONTH(H$23,0)),"◆","")))</x:f>
      </x:c>
      <x:c r="I31" s="57" t="str">
        <x:f>IF('制度詳細'!$H$13="",IF('制度詳細'!$J$13="","",IF(AND('制度詳細'!$J$13&gt;=I$23,'制度詳細'!$J$13&lt;=EOMONTH(I$23,0)),"◆","")),IF(MAX('制度詳細'!$H$13,I$23)&lt;=MIN(IF('制度詳細'!$I$13="",EOMONTH(I$23,0),'制度詳細'!$I$13),EOMONTH(I$23,0)),"■",IF(AND('制度詳細'!$J$13&lt;&gt;"",'制度詳細'!$J$13&gt;=I$23,'制度詳細'!$J$13&lt;=EOMONTH(I$23,0)),"◆","")))</x:f>
      </x:c>
      <x:c r="J31" s="57" t="str">
        <x:f>IF('制度詳細'!$H$13="",IF('制度詳細'!$J$13="","",IF(AND('制度詳細'!$J$13&gt;=J$23,'制度詳細'!$J$13&lt;=EOMONTH(J$23,0)),"◆","")),IF(MAX('制度詳細'!$H$13,J$23)&lt;=MIN(IF('制度詳細'!$I$13="",EOMONTH(J$23,0),'制度詳細'!$I$13),EOMONTH(J$23,0)),"■",IF(AND('制度詳細'!$J$13&lt;&gt;"",'制度詳細'!$J$13&gt;=J$23,'制度詳細'!$J$13&lt;=EOMONTH(J$23,0)),"◆","")))</x:f>
      </x:c>
      <x:c r="K31" s="57" t="str">
        <x:f>IF('制度詳細'!$H$13="",IF('制度詳細'!$J$13="","",IF(AND('制度詳細'!$J$13&gt;=K$23,'制度詳細'!$J$13&lt;=EOMONTH(K$23,0)),"◆","")),IF(MAX('制度詳細'!$H$13,K$23)&lt;=MIN(IF('制度詳細'!$I$13="",EOMONTH(K$23,0),'制度詳細'!$I$13),EOMONTH(K$23,0)),"■",IF(AND('制度詳細'!$J$13&lt;&gt;"",'制度詳細'!$J$13&gt;=K$23,'制度詳細'!$J$13&lt;=EOMONTH(K$23,0)),"◆","")))</x:f>
      </x:c>
      <x:c r="L31" s="57" t="str">
        <x:f>IF('制度詳細'!$H$13="",IF('制度詳細'!$J$13="","",IF(AND('制度詳細'!$J$13&gt;=L$23,'制度詳細'!$J$13&lt;=EOMONTH(L$23,0)),"◆","")),IF(MAX('制度詳細'!$H$13,L$23)&lt;=MIN(IF('制度詳細'!$I$13="",EOMONTH(L$23,0),'制度詳細'!$I$13),EOMONTH(L$23,0)),"■",IF(AND('制度詳細'!$J$13&lt;&gt;"",'制度詳細'!$J$13&gt;=L$23,'制度詳細'!$J$13&lt;=EOMONTH(L$23,0)),"◆","")))</x:f>
      </x:c>
      <x:c r="M31" s="57" t="str">
        <x:f>IF('制度詳細'!$H$13="",IF('制度詳細'!$J$13="","",IF(AND('制度詳細'!$J$13&gt;=M$23,'制度詳細'!$J$13&lt;=EOMONTH(M$23,0)),"◆","")),IF(MAX('制度詳細'!$H$13,M$23)&lt;=MIN(IF('制度詳細'!$I$13="",EOMONTH(M$23,0),'制度詳細'!$I$13),EOMONTH(M$23,0)),"■",IF(AND('制度詳細'!$J$13&lt;&gt;"",'制度詳細'!$J$13&gt;=M$23,'制度詳細'!$J$13&lt;=EOMONTH(M$23,0)),"◆","")))</x:f>
      </x:c>
      <x:c r="N31" s="57" t="str">
        <x:f>IF('制度詳細'!$H$13="",IF('制度詳細'!$J$13="","",IF(AND('制度詳細'!$J$13&gt;=N$23,'制度詳細'!$J$13&lt;=EOMONTH(N$23,0)),"◆","")),IF(MAX('制度詳細'!$H$13,N$23)&lt;=MIN(IF('制度詳細'!$I$13="",EOMONTH(N$23,0),'制度詳細'!$I$13),EOMONTH(N$23,0)),"■",IF(AND('制度詳細'!$J$13&lt;&gt;"",'制度詳細'!$J$13&gt;=N$23,'制度詳細'!$J$13&lt;=EOMONTH(N$23,0)),"◆","")))</x:f>
      </x:c>
      <x:c r="O31" s="57" t="str">
        <x:f>IF('制度詳細'!$H$13="",IF('制度詳細'!$J$13="","",IF(AND('制度詳細'!$J$13&gt;=O$23,'制度詳細'!$J$13&lt;=EOMONTH(O$23,0)),"◆","")),IF(MAX('制度詳細'!$H$13,O$23)&lt;=MIN(IF('制度詳細'!$I$13="",EOMONTH(O$23,0),'制度詳細'!$I$13),EOMONTH(O$23,0)),"■",IF(AND('制度詳細'!$J$13&lt;&gt;"",'制度詳細'!$J$13&gt;=O$23,'制度詳細'!$J$13&lt;=EOMONTH(O$23,0)),"◆","")))</x:f>
      </x:c>
      <x:c r="P31" s="57" t="str">
        <x:f>IF('制度詳細'!$H$13="",IF('制度詳細'!$J$13="","",IF(AND('制度詳細'!$J$13&gt;=P$23,'制度詳細'!$J$13&lt;=EOMONTH(P$23,0)),"◆","")),IF(MAX('制度詳細'!$H$13,P$23)&lt;=MIN(IF('制度詳細'!$I$13="",EOMONTH(P$23,0),'制度詳細'!$I$13),EOMONTH(P$23,0)),"■",IF(AND('制度詳細'!$J$13&lt;&gt;"",'制度詳細'!$J$13&gt;=P$23,'制度詳細'!$J$13&lt;=EOMONTH(P$23,0)),"◆","")))</x:f>
      </x:c>
      <x:c r="Q31" s="57" t="str">
        <x:f>IF('制度詳細'!$H$13="",IF('制度詳細'!$J$13="","",IF(AND('制度詳細'!$J$13&gt;=Q$23,'制度詳細'!$J$13&lt;=EOMONTH(Q$23,0)),"◆","")),IF(MAX('制度詳細'!$H$13,Q$23)&lt;=MIN(IF('制度詳細'!$I$13="",EOMONTH(Q$23,0),'制度詳細'!$I$13),EOMONTH(Q$23,0)),"■",IF(AND('制度詳細'!$J$13&lt;&gt;"",'制度詳細'!$J$13&gt;=Q$23,'制度詳細'!$J$13&lt;=EOMONTH(Q$23,0)),"◆","")))</x:f>
      </x:c>
      <x:c r="R31" s="57" t="str">
        <x:f>IF('制度詳細'!$H$13="",IF('制度詳細'!$J$13="","",IF(AND('制度詳細'!$J$13&gt;=R$23,'制度詳細'!$J$13&lt;=EOMONTH(R$23,0)),"◆","")),IF(MAX('制度詳細'!$H$13,R$23)&lt;=MIN(IF('制度詳細'!$I$13="",EOMONTH(R$23,0),'制度詳細'!$I$13),EOMONTH(R$23,0)),"■",IF(AND('制度詳細'!$J$13&lt;&gt;"",'制度詳細'!$J$13&gt;=R$23,'制度詳細'!$J$13&lt;=EOMONTH(R$23,0)),"◆","")))</x:f>
      </x:c>
      <x:c r="S31" s="57" t="str">
        <x:f>IF('制度詳細'!$H$13="",IF('制度詳細'!$J$13="","",IF(AND('制度詳細'!$J$13&gt;=S$23,'制度詳細'!$J$13&lt;=EOMONTH(S$23,0)),"◆","")),IF(MAX('制度詳細'!$H$13,S$23)&lt;=MIN(IF('制度詳細'!$I$13="",EOMONTH(S$23,0),'制度詳細'!$I$13),EOMONTH(S$23,0)),"■",IF(AND('制度詳細'!$J$13&lt;&gt;"",'制度詳細'!$J$13&gt;=S$23,'制度詳細'!$J$13&lt;=EOMONTH(S$23,0)),"◆","")))</x:f>
      </x:c>
      <x:c r="T31" s="57" t="str">
        <x:f>IF('制度詳細'!$H$13="",IF('制度詳細'!$J$13="","",IF(AND('制度詳細'!$J$13&gt;=T$23,'制度詳細'!$J$13&lt;=EOMONTH(T$23,0)),"◆","")),IF(MAX('制度詳細'!$H$13,T$23)&lt;=MIN(IF('制度詳細'!$I$13="",EOMONTH(T$23,0),'制度詳細'!$I$13),EOMONTH(T$23,0)),"■",IF(AND('制度詳細'!$J$13&lt;&gt;"",'制度詳細'!$J$13&gt;=T$23,'制度詳細'!$J$13&lt;=EOMONTH(T$23,0)),"◆","")))</x:f>
      </x:c>
      <x:c r="U31" s="57" t="str">
        <x:f>IF('制度詳細'!$H$13="",IF('制度詳細'!$J$13="","",IF(AND('制度詳細'!$J$13&gt;=U$23,'制度詳細'!$J$13&lt;=EOMONTH(U$23,0)),"◆","")),IF(MAX('制度詳細'!$H$13,U$23)&lt;=MIN(IF('制度詳細'!$I$13="",EOMONTH(U$23,0),'制度詳細'!$I$13),EOMONTH(U$23,0)),"■",IF(AND('制度詳細'!$J$13&lt;&gt;"",'制度詳細'!$J$13&gt;=U$23,'制度詳細'!$J$13&lt;=EOMONTH(U$23,0)),"◆","")))</x:f>
      </x:c>
      <x:c r="V31" s="57" t="str">
        <x:f>IF('制度詳細'!$H$13="",IF('制度詳細'!$J$13="","",IF(AND('制度詳細'!$J$13&gt;=V$23,'制度詳細'!$J$13&lt;=EOMONTH(V$23,0)),"◆","")),IF(MAX('制度詳細'!$H$13,V$23)&lt;=MIN(IF('制度詳細'!$I$13="",EOMONTH(V$23,0),'制度詳細'!$I$13),EOMONTH(V$23,0)),"■",IF(AND('制度詳細'!$J$13&lt;&gt;"",'制度詳細'!$J$13&gt;=V$23,'制度詳細'!$J$13&lt;=EOMONTH(V$23,0)),"◆","")))</x:f>
      </x:c>
      <x:c r="W31" s="57" t="str">
        <x:f>IF('制度詳細'!$H$13="",IF('制度詳細'!$J$13="","",IF(AND('制度詳細'!$J$13&gt;=W$23,'制度詳細'!$J$13&lt;=EOMONTH(W$23,0)),"◆","")),IF(MAX('制度詳細'!$H$13,W$23)&lt;=MIN(IF('制度詳細'!$I$13="",EOMONTH(W$23,0),'制度詳細'!$I$13),EOMONTH(W$23,0)),"■",IF(AND('制度詳細'!$J$13&lt;&gt;"",'制度詳細'!$J$13&gt;=W$23,'制度詳細'!$J$13&lt;=EOMONTH(W$23,0)),"◆","")))</x:f>
      </x:c>
      <x:c r="X31" s="57" t="str">
        <x:f>IF('制度詳細'!$H$13="",IF('制度詳細'!$J$13="","",IF(AND('制度詳細'!$J$13&gt;=X$23,'制度詳細'!$J$13&lt;=EOMONTH(X$23,0)),"◆","")),IF(MAX('制度詳細'!$H$13,X$23)&lt;=MIN(IF('制度詳細'!$I$13="",EOMONTH(X$23,0),'制度詳細'!$I$13),EOMONTH(X$23,0)),"■",IF(AND('制度詳細'!$J$13&lt;&gt;"",'制度詳細'!$J$13&gt;=X$23,'制度詳細'!$J$13&lt;=EOMONTH(X$23,0)),"◆","")))</x:f>
      </x:c>
      <x:c r="Y31" s="57" t="str">
        <x:f>IF('制度詳細'!$H$13="",IF('制度詳細'!$J$13="","",IF(AND('制度詳細'!$J$13&gt;=Y$23,'制度詳細'!$J$13&lt;=EOMONTH(Y$23,0)),"◆","")),IF(MAX('制度詳細'!$H$13,Y$23)&lt;=MIN(IF('制度詳細'!$I$13="",EOMONTH(Y$23,0),'制度詳細'!$I$13),EOMONTH(Y$23,0)),"■",IF(AND('制度詳細'!$J$13&lt;&gt;"",'制度詳細'!$J$13&gt;=Y$23,'制度詳細'!$J$13&lt;=EOMONTH(Y$23,0)),"◆","")))</x:f>
      </x:c>
      <x:c r="Z31" s="57" t="str">
        <x:f>IF('制度詳細'!$H$13="",IF('制度詳細'!$J$13="","",IF(AND('制度詳細'!$J$13&gt;=Z$23,'制度詳細'!$J$13&lt;=EOMONTH(Z$23,0)),"◆","")),IF(MAX('制度詳細'!$H$13,Z$23)&lt;=MIN(IF('制度詳細'!$I$13="",EOMONTH(Z$23,0),'制度詳細'!$I$13),EOMONTH(Z$23,0)),"■",IF(AND('制度詳細'!$J$13&lt;&gt;"",'制度詳細'!$J$13&gt;=Z$23,'制度詳細'!$J$13&lt;=EOMONTH(Z$23,0)),"◆","")))</x:f>
      </x:c>
      <x:c r="AA31" s="57" t="str">
        <x:f>IF('制度詳細'!$H$13="",IF('制度詳細'!$J$13="","",IF(AND('制度詳細'!$J$13&gt;=AA$23,'制度詳細'!$J$13&lt;=EOMONTH(AA$23,0)),"◆","")),IF(MAX('制度詳細'!$H$13,AA$23)&lt;=MIN(IF('制度詳細'!$I$13="",EOMONTH(AA$23,0),'制度詳細'!$I$13),EOMONTH(AA$23,0)),"■",IF(AND('制度詳細'!$J$13&lt;&gt;"",'制度詳細'!$J$13&gt;=AA$23,'制度詳細'!$J$13&lt;=EOMONTH(AA$23,0)),"◆","")))</x:f>
      </x:c>
      <x:c r="AB31" s="57" t="str">
        <x:f>IF('制度詳細'!$H$13="",IF('制度詳細'!$J$13="","",IF(AND('制度詳細'!$J$13&gt;=AB$23,'制度詳細'!$J$13&lt;=EOMONTH(AB$23,0)),"◆","")),IF(MAX('制度詳細'!$H$13,AB$23)&lt;=MIN(IF('制度詳細'!$I$13="",EOMONTH(AB$23,0),'制度詳細'!$I$13),EOMONTH(AB$23,0)),"■",IF(AND('制度詳細'!$J$13&lt;&gt;"",'制度詳細'!$J$13&gt;=AB$23,'制度詳細'!$J$13&lt;=EOMONTH(AB$23,0)),"◆","")))</x:f>
      </x:c>
      <x:c r="AC31" s="57" t="str">
        <x:f>IF('制度詳細'!$H$13="",IF('制度詳細'!$J$13="","",IF(AND('制度詳細'!$J$13&gt;=AC$23,'制度詳細'!$J$13&lt;=EOMONTH(AC$23,0)),"◆","")),IF(MAX('制度詳細'!$H$13,AC$23)&lt;=MIN(IF('制度詳細'!$I$13="",EOMONTH(AC$23,0),'制度詳細'!$I$13),EOMONTH(AC$23,0)),"■",IF(AND('制度詳細'!$J$13&lt;&gt;"",'制度詳細'!$J$13&gt;=AC$23,'制度詳細'!$J$13&lt;=EOMONTH(AC$23,0)),"◆","")))</x:f>
        <x:v>◆</x:v>
      </x:c>
      <x:c r="AD31" s="57" t="str">
        <x:f>IF('制度詳細'!$H$13="",IF('制度詳細'!$J$13="","",IF(AND('制度詳細'!$J$13&gt;=AD$23,'制度詳細'!$J$13&lt;=EOMONTH(AD$23,0)),"◆","")),IF(MAX('制度詳細'!$H$13,AD$23)&lt;=MIN(IF('制度詳細'!$I$13="",EOMONTH(AD$23,0),'制度詳細'!$I$13),EOMONTH(AD$23,0)),"■",IF(AND('制度詳細'!$J$13&lt;&gt;"",'制度詳細'!$J$13&gt;=AD$23,'制度詳細'!$J$13&lt;=EOMONTH(AD$23,0)),"◆","")))</x:f>
        <x:v>■</x:v>
      </x:c>
      <x:c r="AE31" s="57" t="str">
        <x:f>IF('制度詳細'!$H$13="",IF('制度詳細'!$J$13="","",IF(AND('制度詳細'!$J$13&gt;=AE$23,'制度詳細'!$J$13&lt;=EOMONTH(AE$23,0)),"◆","")),IF(MAX('制度詳細'!$H$13,AE$23)&lt;=MIN(IF('制度詳細'!$I$13="",EOMONTH(AE$23,0),'制度詳細'!$I$13),EOMONTH(AE$23,0)),"■",IF(AND('制度詳細'!$J$13&lt;&gt;"",'制度詳細'!$J$13&gt;=AE$23,'制度詳細'!$J$13&lt;=EOMONTH(AE$23,0)),"◆","")))</x:f>
        <x:v>■</x:v>
      </x:c>
      <x:c r="AF31" s="57" t="str">
        <x:f>IF('制度詳細'!$H$13="",IF('制度詳細'!$J$13="","",IF(AND('制度詳細'!$J$13&gt;=AF$23,'制度詳細'!$J$13&lt;=EOMONTH(AF$23,0)),"◆","")),IF(MAX('制度詳細'!$H$13,AF$23)&lt;=MIN(IF('制度詳細'!$I$13="",EOMONTH(AF$23,0),'制度詳細'!$I$13),EOMONTH(AF$23,0)),"■",IF(AND('制度詳細'!$J$13&lt;&gt;"",'制度詳細'!$J$13&gt;=AF$23,'制度詳細'!$J$13&lt;=EOMONTH(AF$23,0)),"◆","")))</x:f>
      </x:c>
      <x:c r="AG31" s="57" t="str">
        <x:f>IF('制度詳細'!$H$13="",IF('制度詳細'!$J$13="","",IF(AND('制度詳細'!$J$13&gt;=AG$23,'制度詳細'!$J$13&lt;=EOMONTH(AG$23,0)),"◆","")),IF(MAX('制度詳細'!$H$13,AG$23)&lt;=MIN(IF('制度詳細'!$I$13="",EOMONTH(AG$23,0),'制度詳細'!$I$13),EOMONTH(AG$23,0)),"■",IF(AND('制度詳細'!$J$13&lt;&gt;"",'制度詳細'!$J$13&gt;=AG$23,'制度詳細'!$J$13&lt;=EOMONTH(AG$23,0)),"◆","")))</x:f>
      </x:c>
      <x:c r="AH31" s="57" t="str">
        <x:f>IF('制度詳細'!$H$13="",IF('制度詳細'!$J$13="","",IF(AND('制度詳細'!$J$13&gt;=AH$23,'制度詳細'!$J$13&lt;=EOMONTH(AH$23,0)),"◆","")),IF(MAX('制度詳細'!$H$13,AH$23)&lt;=MIN(IF('制度詳細'!$I$13="",EOMONTH(AH$23,0),'制度詳細'!$I$13),EOMONTH(AH$23,0)),"■",IF(AND('制度詳細'!$J$13&lt;&gt;"",'制度詳細'!$J$13&gt;=AH$23,'制度詳細'!$J$13&lt;=EOMONTH(AH$23,0)),"◆","")))</x:f>
      </x:c>
      <x:c r="AI31" s="57" t="str">
        <x:f>IF('制度詳細'!$H$13="",IF('制度詳細'!$J$13="","",IF(AND('制度詳細'!$J$13&gt;=AI$23,'制度詳細'!$J$13&lt;=EOMONTH(AI$23,0)),"◆","")),IF(MAX('制度詳細'!$H$13,AI$23)&lt;=MIN(IF('制度詳細'!$I$13="",EOMONTH(AI$23,0),'制度詳細'!$I$13),EOMONTH(AI$23,0)),"■",IF(AND('制度詳細'!$J$13&lt;&gt;"",'制度詳細'!$J$13&gt;=AI$23,'制度詳細'!$J$13&lt;=EOMONTH(AI$23,0)),"◆","")))</x:f>
      </x:c>
      <x:c r="AJ31" s="57" t="str">
        <x:f>IF('制度詳細'!$H$13="",IF('制度詳細'!$J$13="","",IF(AND('制度詳細'!$J$13&gt;=AJ$23,'制度詳細'!$J$13&lt;=EOMONTH(AJ$23,0)),"◆","")),IF(MAX('制度詳細'!$H$13,AJ$23)&lt;=MIN(IF('制度詳細'!$I$13="",EOMONTH(AJ$23,0),'制度詳細'!$I$13),EOMONTH(AJ$23,0)),"■",IF(AND('制度詳細'!$J$13&lt;&gt;"",'制度詳細'!$J$13&gt;=AJ$23,'制度詳細'!$J$13&lt;=EOMONTH(AJ$23,0)),"◆","")))</x:f>
      </x:c>
      <x:c r="AK31" s="57" t="str">
        <x:f>IF('制度詳細'!$H$13="",IF('制度詳細'!$J$13="","",IF(AND('制度詳細'!$J$13&gt;=AK$23,'制度詳細'!$J$13&lt;=EOMONTH(AK$23,0)),"◆","")),IF(MAX('制度詳細'!$H$13,AK$23)&lt;=MIN(IF('制度詳細'!$I$13="",EOMONTH(AK$23,0),'制度詳細'!$I$13),EOMONTH(AK$23,0)),"■",IF(AND('制度詳細'!$J$13&lt;&gt;"",'制度詳細'!$J$13&gt;=AK$23,'制度詳細'!$J$13&lt;=EOMONTH(AK$23,0)),"◆","")))</x:f>
      </x:c>
      <x:c r="AL31" s="57" t="str">
        <x:f>IF('制度詳細'!$H$13="",IF('制度詳細'!$J$13="","",IF(AND('制度詳細'!$J$13&gt;=AL$23,'制度詳細'!$J$13&lt;=EOMONTH(AL$23,0)),"◆","")),IF(MAX('制度詳細'!$H$13,AL$23)&lt;=MIN(IF('制度詳細'!$I$13="",EOMONTH(AL$23,0),'制度詳細'!$I$13),EOMONTH(AL$23,0)),"■",IF(AND('制度詳細'!$J$13&lt;&gt;"",'制度詳細'!$J$13&gt;=AL$23,'制度詳細'!$J$13&lt;=EOMONTH(AL$23,0)),"◆","")))</x:f>
      </x:c>
      <x:c r="AM31" s="57" t="str">
        <x:f>IF('制度詳細'!$H$13="",IF('制度詳細'!$J$13="","",IF(AND('制度詳細'!$J$13&gt;=AM$23,'制度詳細'!$J$13&lt;=EOMONTH(AM$23,0)),"◆","")),IF(MAX('制度詳細'!$H$13,AM$23)&lt;=MIN(IF('制度詳細'!$I$13="",EOMONTH(AM$23,0),'制度詳細'!$I$13),EOMONTH(AM$23,0)),"■",IF(AND('制度詳細'!$J$13&lt;&gt;"",'制度詳細'!$J$13&gt;=AM$23,'制度詳細'!$J$13&lt;=EOMONTH(AM$23,0)),"◆","")))</x:f>
      </x:c>
      <x:c r="AN31" s="57" t="str">
        <x:f>IF('制度詳細'!$H$13="",IF('制度詳細'!$J$13="","",IF(AND('制度詳細'!$J$13&gt;=AN$23,'制度詳細'!$J$13&lt;=EOMONTH(AN$23,0)),"◆","")),IF(MAX('制度詳細'!$H$13,AN$23)&lt;=MIN(IF('制度詳細'!$I$13="",EOMONTH(AN$23,0),'制度詳細'!$I$13),EOMONTH(AN$23,0)),"■",IF(AND('制度詳細'!$J$13&lt;&gt;"",'制度詳細'!$J$13&gt;=AN$23,'制度詳細'!$J$13&lt;=EOMONTH(AN$23,0)),"◆","")))</x:f>
      </x:c>
      <x:c r="AO31" s="57" t="str">
        <x:f>IF('制度詳細'!$H$13="",IF('制度詳細'!$J$13="","",IF(AND('制度詳細'!$J$13&gt;=AO$23,'制度詳細'!$J$13&lt;=EOMONTH(AO$23,0)),"◆","")),IF(MAX('制度詳細'!$H$13,AO$23)&lt;=MIN(IF('制度詳細'!$I$13="",EOMONTH(AO$23,0),'制度詳細'!$I$13),EOMONTH(AO$23,0)),"■",IF(AND('制度詳細'!$J$13&lt;&gt;"",'制度詳細'!$J$13&gt;=AO$23,'制度詳細'!$J$13&lt;=EOMONTH(AO$23,0)),"◆","")))</x:f>
      </x:c>
      <x:c r="AP31" s="57" t="str">
        <x:f>IF('制度詳細'!$H$13="",IF('制度詳細'!$J$13="","",IF(AND('制度詳細'!$J$13&gt;=AP$23,'制度詳細'!$J$13&lt;=EOMONTH(AP$23,0)),"◆","")),IF(MAX('制度詳細'!$H$13,AP$23)&lt;=MIN(IF('制度詳細'!$I$13="",EOMONTH(AP$23,0),'制度詳細'!$I$13),EOMONTH(AP$23,0)),"■",IF(AND('制度詳細'!$J$13&lt;&gt;"",'制度詳細'!$J$13&gt;=AP$23,'制度詳細'!$J$13&lt;=EOMONTH(AP$23,0)),"◆","")))</x:f>
      </x:c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</x:row>
    <x:row r="32" ht="30" customHeight="1">
      <x:c r="A32" s="54" t="str">
        <x:v>TH09 2026年物品税再編の原則合意</x:v>
      </x:c>
      <x:c r="B32" s="54"/>
      <x:c r="C32" s="54"/>
      <x:c r="D32" s="54"/>
      <x:c r="E32" s="54"/>
      <x:c r="F32" s="54"/>
      <x:c r="G32" s="57" t="str">
        <x:f>IF('制度詳細'!$H$14="",IF('制度詳細'!$J$14="","",IF(AND('制度詳細'!$J$14&gt;=G$23,'制度詳細'!$J$14&lt;=EOMONTH(G$23,0)),"◆","")),IF(MAX('制度詳細'!$H$14,G$23)&lt;=MIN(IF('制度詳細'!$I$14="",EOMONTH(G$23,0),'制度詳細'!$I$14),EOMONTH(G$23,0)),"■",IF(AND('制度詳細'!$J$14&lt;&gt;"",'制度詳細'!$J$14&gt;=G$23,'制度詳細'!$J$14&lt;=EOMONTH(G$23,0)),"◆","")))</x:f>
      </x:c>
      <x:c r="H32" s="57" t="str">
        <x:f>IF('制度詳細'!$H$14="",IF('制度詳細'!$J$14="","",IF(AND('制度詳細'!$J$14&gt;=H$23,'制度詳細'!$J$14&lt;=EOMONTH(H$23,0)),"◆","")),IF(MAX('制度詳細'!$H$14,H$23)&lt;=MIN(IF('制度詳細'!$I$14="",EOMONTH(H$23,0),'制度詳細'!$I$14),EOMONTH(H$23,0)),"■",IF(AND('制度詳細'!$J$14&lt;&gt;"",'制度詳細'!$J$14&gt;=H$23,'制度詳細'!$J$14&lt;=EOMONTH(H$23,0)),"◆","")))</x:f>
      </x:c>
      <x:c r="I32" s="57" t="str">
        <x:f>IF('制度詳細'!$H$14="",IF('制度詳細'!$J$14="","",IF(AND('制度詳細'!$J$14&gt;=I$23,'制度詳細'!$J$14&lt;=EOMONTH(I$23,0)),"◆","")),IF(MAX('制度詳細'!$H$14,I$23)&lt;=MIN(IF('制度詳細'!$I$14="",EOMONTH(I$23,0),'制度詳細'!$I$14),EOMONTH(I$23,0)),"■",IF(AND('制度詳細'!$J$14&lt;&gt;"",'制度詳細'!$J$14&gt;=I$23,'制度詳細'!$J$14&lt;=EOMONTH(I$23,0)),"◆","")))</x:f>
      </x:c>
      <x:c r="J32" s="57" t="str">
        <x:f>IF('制度詳細'!$H$14="",IF('制度詳細'!$J$14="","",IF(AND('制度詳細'!$J$14&gt;=J$23,'制度詳細'!$J$14&lt;=EOMONTH(J$23,0)),"◆","")),IF(MAX('制度詳細'!$H$14,J$23)&lt;=MIN(IF('制度詳細'!$I$14="",EOMONTH(J$23,0),'制度詳細'!$I$14),EOMONTH(J$23,0)),"■",IF(AND('制度詳細'!$J$14&lt;&gt;"",'制度詳細'!$J$14&gt;=J$23,'制度詳細'!$J$14&lt;=EOMONTH(J$23,0)),"◆","")))</x:f>
      </x:c>
      <x:c r="K32" s="57" t="str">
        <x:f>IF('制度詳細'!$H$14="",IF('制度詳細'!$J$14="","",IF(AND('制度詳細'!$J$14&gt;=K$23,'制度詳細'!$J$14&lt;=EOMONTH(K$23,0)),"◆","")),IF(MAX('制度詳細'!$H$14,K$23)&lt;=MIN(IF('制度詳細'!$I$14="",EOMONTH(K$23,0),'制度詳細'!$I$14),EOMONTH(K$23,0)),"■",IF(AND('制度詳細'!$J$14&lt;&gt;"",'制度詳細'!$J$14&gt;=K$23,'制度詳細'!$J$14&lt;=EOMONTH(K$23,0)),"◆","")))</x:f>
      </x:c>
      <x:c r="L32" s="57" t="str">
        <x:f>IF('制度詳細'!$H$14="",IF('制度詳細'!$J$14="","",IF(AND('制度詳細'!$J$14&gt;=L$23,'制度詳細'!$J$14&lt;=EOMONTH(L$23,0)),"◆","")),IF(MAX('制度詳細'!$H$14,L$23)&lt;=MIN(IF('制度詳細'!$I$14="",EOMONTH(L$23,0),'制度詳細'!$I$14),EOMONTH(L$23,0)),"■",IF(AND('制度詳細'!$J$14&lt;&gt;"",'制度詳細'!$J$14&gt;=L$23,'制度詳細'!$J$14&lt;=EOMONTH(L$23,0)),"◆","")))</x:f>
      </x:c>
      <x:c r="M32" s="57" t="str">
        <x:f>IF('制度詳細'!$H$14="",IF('制度詳細'!$J$14="","",IF(AND('制度詳細'!$J$14&gt;=M$23,'制度詳細'!$J$14&lt;=EOMONTH(M$23,0)),"◆","")),IF(MAX('制度詳細'!$H$14,M$23)&lt;=MIN(IF('制度詳細'!$I$14="",EOMONTH(M$23,0),'制度詳細'!$I$14),EOMONTH(M$23,0)),"■",IF(AND('制度詳細'!$J$14&lt;&gt;"",'制度詳細'!$J$14&gt;=M$23,'制度詳細'!$J$14&lt;=EOMONTH(M$23,0)),"◆","")))</x:f>
      </x:c>
      <x:c r="N32" s="57" t="str">
        <x:f>IF('制度詳細'!$H$14="",IF('制度詳細'!$J$14="","",IF(AND('制度詳細'!$J$14&gt;=N$23,'制度詳細'!$J$14&lt;=EOMONTH(N$23,0)),"◆","")),IF(MAX('制度詳細'!$H$14,N$23)&lt;=MIN(IF('制度詳細'!$I$14="",EOMONTH(N$23,0),'制度詳細'!$I$14),EOMONTH(N$23,0)),"■",IF(AND('制度詳細'!$J$14&lt;&gt;"",'制度詳細'!$J$14&gt;=N$23,'制度詳細'!$J$14&lt;=EOMONTH(N$23,0)),"◆","")))</x:f>
      </x:c>
      <x:c r="O32" s="57" t="str">
        <x:f>IF('制度詳細'!$H$14="",IF('制度詳細'!$J$14="","",IF(AND('制度詳細'!$J$14&gt;=O$23,'制度詳細'!$J$14&lt;=EOMONTH(O$23,0)),"◆","")),IF(MAX('制度詳細'!$H$14,O$23)&lt;=MIN(IF('制度詳細'!$I$14="",EOMONTH(O$23,0),'制度詳細'!$I$14),EOMONTH(O$23,0)),"■",IF(AND('制度詳細'!$J$14&lt;&gt;"",'制度詳細'!$J$14&gt;=O$23,'制度詳細'!$J$14&lt;=EOMONTH(O$23,0)),"◆","")))</x:f>
      </x:c>
      <x:c r="P32" s="57" t="str">
        <x:f>IF('制度詳細'!$H$14="",IF('制度詳細'!$J$14="","",IF(AND('制度詳細'!$J$14&gt;=P$23,'制度詳細'!$J$14&lt;=EOMONTH(P$23,0)),"◆","")),IF(MAX('制度詳細'!$H$14,P$23)&lt;=MIN(IF('制度詳細'!$I$14="",EOMONTH(P$23,0),'制度詳細'!$I$14),EOMONTH(P$23,0)),"■",IF(AND('制度詳細'!$J$14&lt;&gt;"",'制度詳細'!$J$14&gt;=P$23,'制度詳細'!$J$14&lt;=EOMONTH(P$23,0)),"◆","")))</x:f>
      </x:c>
      <x:c r="Q32" s="57" t="str">
        <x:f>IF('制度詳細'!$H$14="",IF('制度詳細'!$J$14="","",IF(AND('制度詳細'!$J$14&gt;=Q$23,'制度詳細'!$J$14&lt;=EOMONTH(Q$23,0)),"◆","")),IF(MAX('制度詳細'!$H$14,Q$23)&lt;=MIN(IF('制度詳細'!$I$14="",EOMONTH(Q$23,0),'制度詳細'!$I$14),EOMONTH(Q$23,0)),"■",IF(AND('制度詳細'!$J$14&lt;&gt;"",'制度詳細'!$J$14&gt;=Q$23,'制度詳細'!$J$14&lt;=EOMONTH(Q$23,0)),"◆","")))</x:f>
      </x:c>
      <x:c r="R32" s="57" t="str">
        <x:f>IF('制度詳細'!$H$14="",IF('制度詳細'!$J$14="","",IF(AND('制度詳細'!$J$14&gt;=R$23,'制度詳細'!$J$14&lt;=EOMONTH(R$23,0)),"◆","")),IF(MAX('制度詳細'!$H$14,R$23)&lt;=MIN(IF('制度詳細'!$I$14="",EOMONTH(R$23,0),'制度詳細'!$I$14),EOMONTH(R$23,0)),"■",IF(AND('制度詳細'!$J$14&lt;&gt;"",'制度詳細'!$J$14&gt;=R$23,'制度詳細'!$J$14&lt;=EOMONTH(R$23,0)),"◆","")))</x:f>
      </x:c>
      <x:c r="S32" s="57" t="str">
        <x:f>IF('制度詳細'!$H$14="",IF('制度詳細'!$J$14="","",IF(AND('制度詳細'!$J$14&gt;=S$23,'制度詳細'!$J$14&lt;=EOMONTH(S$23,0)),"◆","")),IF(MAX('制度詳細'!$H$14,S$23)&lt;=MIN(IF('制度詳細'!$I$14="",EOMONTH(S$23,0),'制度詳細'!$I$14),EOMONTH(S$23,0)),"■",IF(AND('制度詳細'!$J$14&lt;&gt;"",'制度詳細'!$J$14&gt;=S$23,'制度詳細'!$J$14&lt;=EOMONTH(S$23,0)),"◆","")))</x:f>
      </x:c>
      <x:c r="T32" s="57" t="str">
        <x:f>IF('制度詳細'!$H$14="",IF('制度詳細'!$J$14="","",IF(AND('制度詳細'!$J$14&gt;=T$23,'制度詳細'!$J$14&lt;=EOMONTH(T$23,0)),"◆","")),IF(MAX('制度詳細'!$H$14,T$23)&lt;=MIN(IF('制度詳細'!$I$14="",EOMONTH(T$23,0),'制度詳細'!$I$14),EOMONTH(T$23,0)),"■",IF(AND('制度詳細'!$J$14&lt;&gt;"",'制度詳細'!$J$14&gt;=T$23,'制度詳細'!$J$14&lt;=EOMONTH(T$23,0)),"◆","")))</x:f>
      </x:c>
      <x:c r="U32" s="57" t="str">
        <x:f>IF('制度詳細'!$H$14="",IF('制度詳細'!$J$14="","",IF(AND('制度詳細'!$J$14&gt;=U$23,'制度詳細'!$J$14&lt;=EOMONTH(U$23,0)),"◆","")),IF(MAX('制度詳細'!$H$14,U$23)&lt;=MIN(IF('制度詳細'!$I$14="",EOMONTH(U$23,0),'制度詳細'!$I$14),EOMONTH(U$23,0)),"■",IF(AND('制度詳細'!$J$14&lt;&gt;"",'制度詳細'!$J$14&gt;=U$23,'制度詳細'!$J$14&lt;=EOMONTH(U$23,0)),"◆","")))</x:f>
      </x:c>
      <x:c r="V32" s="57" t="str">
        <x:f>IF('制度詳細'!$H$14="",IF('制度詳細'!$J$14="","",IF(AND('制度詳細'!$J$14&gt;=V$23,'制度詳細'!$J$14&lt;=EOMONTH(V$23,0)),"◆","")),IF(MAX('制度詳細'!$H$14,V$23)&lt;=MIN(IF('制度詳細'!$I$14="",EOMONTH(V$23,0),'制度詳細'!$I$14),EOMONTH(V$23,0)),"■",IF(AND('制度詳細'!$J$14&lt;&gt;"",'制度詳細'!$J$14&gt;=V$23,'制度詳細'!$J$14&lt;=EOMONTH(V$23,0)),"◆","")))</x:f>
      </x:c>
      <x:c r="W32" s="57" t="str">
        <x:f>IF('制度詳細'!$H$14="",IF('制度詳細'!$J$14="","",IF(AND('制度詳細'!$J$14&gt;=W$23,'制度詳細'!$J$14&lt;=EOMONTH(W$23,0)),"◆","")),IF(MAX('制度詳細'!$H$14,W$23)&lt;=MIN(IF('制度詳細'!$I$14="",EOMONTH(W$23,0),'制度詳細'!$I$14),EOMONTH(W$23,0)),"■",IF(AND('制度詳細'!$J$14&lt;&gt;"",'制度詳細'!$J$14&gt;=W$23,'制度詳細'!$J$14&lt;=EOMONTH(W$23,0)),"◆","")))</x:f>
      </x:c>
      <x:c r="X32" s="57" t="str">
        <x:f>IF('制度詳細'!$H$14="",IF('制度詳細'!$J$14="","",IF(AND('制度詳細'!$J$14&gt;=X$23,'制度詳細'!$J$14&lt;=EOMONTH(X$23,0)),"◆","")),IF(MAX('制度詳細'!$H$14,X$23)&lt;=MIN(IF('制度詳細'!$I$14="",EOMONTH(X$23,0),'制度詳細'!$I$14),EOMONTH(X$23,0)),"■",IF(AND('制度詳細'!$J$14&lt;&gt;"",'制度詳細'!$J$14&gt;=X$23,'制度詳細'!$J$14&lt;=EOMONTH(X$23,0)),"◆","")))</x:f>
      </x:c>
      <x:c r="Y32" s="57" t="str">
        <x:f>IF('制度詳細'!$H$14="",IF('制度詳細'!$J$14="","",IF(AND('制度詳細'!$J$14&gt;=Y$23,'制度詳細'!$J$14&lt;=EOMONTH(Y$23,0)),"◆","")),IF(MAX('制度詳細'!$H$14,Y$23)&lt;=MIN(IF('制度詳細'!$I$14="",EOMONTH(Y$23,0),'制度詳細'!$I$14),EOMONTH(Y$23,0)),"■",IF(AND('制度詳細'!$J$14&lt;&gt;"",'制度詳細'!$J$14&gt;=Y$23,'制度詳細'!$J$14&lt;=EOMONTH(Y$23,0)),"◆","")))</x:f>
      </x:c>
      <x:c r="Z32" s="57" t="str">
        <x:f>IF('制度詳細'!$H$14="",IF('制度詳細'!$J$14="","",IF(AND('制度詳細'!$J$14&gt;=Z$23,'制度詳細'!$J$14&lt;=EOMONTH(Z$23,0)),"◆","")),IF(MAX('制度詳細'!$H$14,Z$23)&lt;=MIN(IF('制度詳細'!$I$14="",EOMONTH(Z$23,0),'制度詳細'!$I$14),EOMONTH(Z$23,0)),"■",IF(AND('制度詳細'!$J$14&lt;&gt;"",'制度詳細'!$J$14&gt;=Z$23,'制度詳細'!$J$14&lt;=EOMONTH(Z$23,0)),"◆","")))</x:f>
      </x:c>
      <x:c r="AA32" s="57" t="str">
        <x:f>IF('制度詳細'!$H$14="",IF('制度詳細'!$J$14="","",IF(AND('制度詳細'!$J$14&gt;=AA$23,'制度詳細'!$J$14&lt;=EOMONTH(AA$23,0)),"◆","")),IF(MAX('制度詳細'!$H$14,AA$23)&lt;=MIN(IF('制度詳細'!$I$14="",EOMONTH(AA$23,0),'制度詳細'!$I$14),EOMONTH(AA$23,0)),"■",IF(AND('制度詳細'!$J$14&lt;&gt;"",'制度詳細'!$J$14&gt;=AA$23,'制度詳細'!$J$14&lt;=EOMONTH(AA$23,0)),"◆","")))</x:f>
      </x:c>
      <x:c r="AB32" s="57" t="str">
        <x:f>IF('制度詳細'!$H$14="",IF('制度詳細'!$J$14="","",IF(AND('制度詳細'!$J$14&gt;=AB$23,'制度詳細'!$J$14&lt;=EOMONTH(AB$23,0)),"◆","")),IF(MAX('制度詳細'!$H$14,AB$23)&lt;=MIN(IF('制度詳細'!$I$14="",EOMONTH(AB$23,0),'制度詳細'!$I$14),EOMONTH(AB$23,0)),"■",IF(AND('制度詳細'!$J$14&lt;&gt;"",'制度詳細'!$J$14&gt;=AB$23,'制度詳細'!$J$14&lt;=EOMONTH(AB$23,0)),"◆","")))</x:f>
      </x:c>
      <x:c r="AC32" s="57" t="str">
        <x:f>IF('制度詳細'!$H$14="",IF('制度詳細'!$J$14="","",IF(AND('制度詳細'!$J$14&gt;=AC$23,'制度詳細'!$J$14&lt;=EOMONTH(AC$23,0)),"◆","")),IF(MAX('制度詳細'!$H$14,AC$23)&lt;=MIN(IF('制度詳細'!$I$14="",EOMONTH(AC$23,0),'制度詳細'!$I$14),EOMONTH(AC$23,0)),"■",IF(AND('制度詳細'!$J$14&lt;&gt;"",'制度詳細'!$J$14&gt;=AC$23,'制度詳細'!$J$14&lt;=EOMONTH(AC$23,0)),"◆","")))</x:f>
      </x:c>
      <x:c r="AD32" s="57" t="str">
        <x:f>IF('制度詳細'!$H$14="",IF('制度詳細'!$J$14="","",IF(AND('制度詳細'!$J$14&gt;=AD$23,'制度詳細'!$J$14&lt;=EOMONTH(AD$23,0)),"◆","")),IF(MAX('制度詳細'!$H$14,AD$23)&lt;=MIN(IF('制度詳細'!$I$14="",EOMONTH(AD$23,0),'制度詳細'!$I$14),EOMONTH(AD$23,0)),"■",IF(AND('制度詳細'!$J$14&lt;&gt;"",'制度詳細'!$J$14&gt;=AD$23,'制度詳細'!$J$14&lt;=EOMONTH(AD$23,0)),"◆","")))</x:f>
      </x:c>
      <x:c r="AE32" s="57" t="str">
        <x:f>IF('制度詳細'!$H$14="",IF('制度詳細'!$J$14="","",IF(AND('制度詳細'!$J$14&gt;=AE$23,'制度詳細'!$J$14&lt;=EOMONTH(AE$23,0)),"◆","")),IF(MAX('制度詳細'!$H$14,AE$23)&lt;=MIN(IF('制度詳細'!$I$14="",EOMONTH(AE$23,0),'制度詳細'!$I$14),EOMONTH(AE$23,0)),"■",IF(AND('制度詳細'!$J$14&lt;&gt;"",'制度詳細'!$J$14&gt;=AE$23,'制度詳細'!$J$14&lt;=EOMONTH(AE$23,0)),"◆","")))</x:f>
      </x:c>
      <x:c r="AF32" s="57" t="str">
        <x:f>IF('制度詳細'!$H$14="",IF('制度詳細'!$J$14="","",IF(AND('制度詳細'!$J$14&gt;=AF$23,'制度詳細'!$J$14&lt;=EOMONTH(AF$23,0)),"◆","")),IF(MAX('制度詳細'!$H$14,AF$23)&lt;=MIN(IF('制度詳細'!$I$14="",EOMONTH(AF$23,0),'制度詳細'!$I$14),EOMONTH(AF$23,0)),"■",IF(AND('制度詳細'!$J$14&lt;&gt;"",'制度詳細'!$J$14&gt;=AF$23,'制度詳細'!$J$14&lt;=EOMONTH(AF$23,0)),"◆","")))</x:f>
      </x:c>
      <x:c r="AG32" s="57" t="str">
        <x:f>IF('制度詳細'!$H$14="",IF('制度詳細'!$J$14="","",IF(AND('制度詳細'!$J$14&gt;=AG$23,'制度詳細'!$J$14&lt;=EOMONTH(AG$23,0)),"◆","")),IF(MAX('制度詳細'!$H$14,AG$23)&lt;=MIN(IF('制度詳細'!$I$14="",EOMONTH(AG$23,0),'制度詳細'!$I$14),EOMONTH(AG$23,0)),"■",IF(AND('制度詳細'!$J$14&lt;&gt;"",'制度詳細'!$J$14&gt;=AG$23,'制度詳細'!$J$14&lt;=EOMONTH(AG$23,0)),"◆","")))</x:f>
      </x:c>
      <x:c r="AH32" s="57" t="str">
        <x:f>IF('制度詳細'!$H$14="",IF('制度詳細'!$J$14="","",IF(AND('制度詳細'!$J$14&gt;=AH$23,'制度詳細'!$J$14&lt;=EOMONTH(AH$23,0)),"◆","")),IF(MAX('制度詳細'!$H$14,AH$23)&lt;=MIN(IF('制度詳細'!$I$14="",EOMONTH(AH$23,0),'制度詳細'!$I$14),EOMONTH(AH$23,0)),"■",IF(AND('制度詳細'!$J$14&lt;&gt;"",'制度詳細'!$J$14&gt;=AH$23,'制度詳細'!$J$14&lt;=EOMONTH(AH$23,0)),"◆","")))</x:f>
      </x:c>
      <x:c r="AI32" s="57" t="str">
        <x:f>IF('制度詳細'!$H$14="",IF('制度詳細'!$J$14="","",IF(AND('制度詳細'!$J$14&gt;=AI$23,'制度詳細'!$J$14&lt;=EOMONTH(AI$23,0)),"◆","")),IF(MAX('制度詳細'!$H$14,AI$23)&lt;=MIN(IF('制度詳細'!$I$14="",EOMONTH(AI$23,0),'制度詳細'!$I$14),EOMONTH(AI$23,0)),"■",IF(AND('制度詳細'!$J$14&lt;&gt;"",'制度詳細'!$J$14&gt;=AI$23,'制度詳細'!$J$14&lt;=EOMONTH(AI$23,0)),"◆","")))</x:f>
      </x:c>
      <x:c r="AJ32" s="57" t="str">
        <x:f>IF('制度詳細'!$H$14="",IF('制度詳細'!$J$14="","",IF(AND('制度詳細'!$J$14&gt;=AJ$23,'制度詳細'!$J$14&lt;=EOMONTH(AJ$23,0)),"◆","")),IF(MAX('制度詳細'!$H$14,AJ$23)&lt;=MIN(IF('制度詳細'!$I$14="",EOMONTH(AJ$23,0),'制度詳細'!$I$14),EOMONTH(AJ$23,0)),"■",IF(AND('制度詳細'!$J$14&lt;&gt;"",'制度詳細'!$J$14&gt;=AJ$23,'制度詳細'!$J$14&lt;=EOMONTH(AJ$23,0)),"◆","")))</x:f>
      </x:c>
      <x:c r="AK32" s="57" t="str">
        <x:f>IF('制度詳細'!$H$14="",IF('制度詳細'!$J$14="","",IF(AND('制度詳細'!$J$14&gt;=AK$23,'制度詳細'!$J$14&lt;=EOMONTH(AK$23,0)),"◆","")),IF(MAX('制度詳細'!$H$14,AK$23)&lt;=MIN(IF('制度詳細'!$I$14="",EOMONTH(AK$23,0),'制度詳細'!$I$14),EOMONTH(AK$23,0)),"■",IF(AND('制度詳細'!$J$14&lt;&gt;"",'制度詳細'!$J$14&gt;=AK$23,'制度詳細'!$J$14&lt;=EOMONTH(AK$23,0)),"◆","")))</x:f>
      </x:c>
      <x:c r="AL32" s="57" t="str">
        <x:f>IF('制度詳細'!$H$14="",IF('制度詳細'!$J$14="","",IF(AND('制度詳細'!$J$14&gt;=AL$23,'制度詳細'!$J$14&lt;=EOMONTH(AL$23,0)),"◆","")),IF(MAX('制度詳細'!$H$14,AL$23)&lt;=MIN(IF('制度詳細'!$I$14="",EOMONTH(AL$23,0),'制度詳細'!$I$14),EOMONTH(AL$23,0)),"■",IF(AND('制度詳細'!$J$14&lt;&gt;"",'制度詳細'!$J$14&gt;=AL$23,'制度詳細'!$J$14&lt;=EOMONTH(AL$23,0)),"◆","")))</x:f>
      </x:c>
      <x:c r="AM32" s="57" t="str">
        <x:f>IF('制度詳細'!$H$14="",IF('制度詳細'!$J$14="","",IF(AND('制度詳細'!$J$14&gt;=AM$23,'制度詳細'!$J$14&lt;=EOMONTH(AM$23,0)),"◆","")),IF(MAX('制度詳細'!$H$14,AM$23)&lt;=MIN(IF('制度詳細'!$I$14="",EOMONTH(AM$23,0),'制度詳細'!$I$14),EOMONTH(AM$23,0)),"■",IF(AND('制度詳細'!$J$14&lt;&gt;"",'制度詳細'!$J$14&gt;=AM$23,'制度詳細'!$J$14&lt;=EOMONTH(AM$23,0)),"◆","")))</x:f>
        <x:v>◆</x:v>
      </x:c>
      <x:c r="AN32" s="57" t="str">
        <x:f>IF('制度詳細'!$H$14="",IF('制度詳細'!$J$14="","",IF(AND('制度詳細'!$J$14&gt;=AN$23,'制度詳細'!$J$14&lt;=EOMONTH(AN$23,0)),"◆","")),IF(MAX('制度詳細'!$H$14,AN$23)&lt;=MIN(IF('制度詳細'!$I$14="",EOMONTH(AN$23,0),'制度詳細'!$I$14),EOMONTH(AN$23,0)),"■",IF(AND('制度詳細'!$J$14&lt;&gt;"",'制度詳細'!$J$14&gt;=AN$23,'制度詳細'!$J$14&lt;=EOMONTH(AN$23,0)),"◆","")))</x:f>
      </x:c>
      <x:c r="AO32" s="57" t="str">
        <x:f>IF('制度詳細'!$H$14="",IF('制度詳細'!$J$14="","",IF(AND('制度詳細'!$J$14&gt;=AO$23,'制度詳細'!$J$14&lt;=EOMONTH(AO$23,0)),"◆","")),IF(MAX('制度詳細'!$H$14,AO$23)&lt;=MIN(IF('制度詳細'!$I$14="",EOMONTH(AO$23,0),'制度詳細'!$I$14),EOMONTH(AO$23,0)),"■",IF(AND('制度詳細'!$J$14&lt;&gt;"",'制度詳細'!$J$14&gt;=AO$23,'制度詳細'!$J$14&lt;=EOMONTH(AO$23,0)),"◆","")))</x:f>
      </x:c>
      <x:c r="AP32" s="57" t="str">
        <x:f>IF('制度詳細'!$H$14="",IF('制度詳細'!$J$14="","",IF(AND('制度詳細'!$J$14&gt;=AP$23,'制度詳細'!$J$14&lt;=EOMONTH(AP$23,0)),"◆","")),IF(MAX('制度詳細'!$H$14,AP$23)&lt;=MIN(IF('制度詳細'!$I$14="",EOMONTH(AP$23,0),'制度詳細'!$I$14),EOMONTH(AP$23,0)),"■",IF(AND('制度詳細'!$J$14&lt;&gt;"",'制度詳細'!$J$14&gt;=AP$23,'制度詳細'!$J$14&lt;=EOMONTH(AP$23,0)),"◆","")))</x:f>
      </x:c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</x:row>
    <x:row r="35" ht="38" customHeight="1">
      <x:c r="A35" s="4" t="str">
        <x:v>02  インドネシア</x:v>
      </x:c>
      <x:c r="B35" s="4" t="str">
        <x:v>02  インドネシア</x:v>
      </x:c>
      <x:c r="C35" s="4" t="str">
        <x:v>02  インドネシア</x:v>
      </x:c>
      <x:c r="D35" s="4" t="str">
        <x:v>02  インドネシア</x:v>
      </x:c>
      <x:c r="E35" s="4" t="str">
        <x:v>02  インドネシア</x:v>
      </x:c>
      <x:c r="F35" s="4" t="str">
        <x:v>02  インドネシア</x:v>
      </x:c>
      <x:c r="G35" s="4" t="str">
        <x:v>02  インドネシア</x:v>
      </x:c>
      <x:c r="H35" s="4" t="str">
        <x:v>02  インドネシア</x:v>
      </x:c>
      <x:c r="I35" s="4" t="str">
        <x:v>02  インドネシア</x:v>
      </x:c>
      <x:c r="J35" s="4" t="str">
        <x:v>02  インドネシア</x:v>
      </x:c>
      <x:c r="K35" s="4" t="str">
        <x:v>02  インドネシア</x:v>
      </x:c>
      <x:c r="L35" s="4" t="str">
        <x:v>02  インドネシア</x:v>
      </x:c>
      <x:c r="M35" s="4" t="str">
        <x:v>02  インドネシア</x:v>
      </x:c>
      <x:c r="N35" s="4" t="str">
        <x:v>02  インドネシア</x:v>
      </x:c>
      <x:c r="O35" s="4" t="str">
        <x:v>02  インドネシア</x:v>
      </x:c>
      <x:c r="P35" s="4" t="str">
        <x:v>02  インドネシア</x:v>
      </x:c>
      <x:c r="Q35" s="4" t="str">
        <x:v>02  インドネシア</x:v>
      </x:c>
      <x:c r="R35" s="4" t="str">
        <x:v>02  インドネシア</x:v>
      </x:c>
      <x:c r="S35" s="4" t="str">
        <x:v>02  インドネシア</x:v>
      </x:c>
      <x:c r="T35" s="4" t="str">
        <x:v>02  インドネシア</x:v>
      </x:c>
      <x:c r="U35" s="4" t="str">
        <x:v>02  インドネシア</x:v>
      </x:c>
      <x:c r="V35" s="4" t="str">
        <x:v>02  インドネシア</x:v>
      </x:c>
      <x:c r="W35" s="4" t="str">
        <x:v>02  インドネシア</x:v>
      </x:c>
      <x:c r="X35" s="4" t="str">
        <x:v>02  インドネシア</x:v>
      </x:c>
      <x:c r="Y35" s="4" t="str">
        <x:v>02  インドネシア</x:v>
      </x:c>
      <x:c r="Z35" s="4" t="str">
        <x:v>02  インドネシア</x:v>
      </x:c>
      <x:c r="AA35" s="4" t="str">
        <x:v>02  インドネシア</x:v>
      </x:c>
      <x:c r="AB35" s="4" t="str">
        <x:v>02  インドネシア</x:v>
      </x:c>
      <x:c r="AC35" s="4" t="str">
        <x:v>02  インドネシア</x:v>
      </x:c>
      <x:c r="AD35" s="4" t="str">
        <x:v>02  インドネシア</x:v>
      </x:c>
      <x:c r="AE35" s="4" t="str">
        <x:v>02  インドネシア</x:v>
      </x:c>
      <x:c r="AF35" s="4" t="str">
        <x:v>02  インドネシア</x:v>
      </x:c>
      <x:c r="AG35" s="4" t="str">
        <x:v>02  インドネシア</x:v>
      </x:c>
      <x:c r="AH35" s="4" t="str">
        <x:v>02  インドネシア</x:v>
      </x:c>
      <x:c r="AI35" s="4" t="str">
        <x:v>02  インドネシア</x:v>
      </x:c>
      <x:c r="AJ35" s="4" t="str">
        <x:v>02  インドネシア</x:v>
      </x:c>
      <x:c r="AK35" s="4" t="str">
        <x:v>02  インドネシア</x:v>
      </x:c>
      <x:c r="AL35" s="4" t="str">
        <x:v>02  インドネシア</x:v>
      </x:c>
      <x:c r="AM35" s="4" t="str">
        <x:v>02  インドネシア</x:v>
      </x:c>
      <x:c r="AN35" s="4" t="str">
        <x:v>02  インドネシア</x:v>
      </x:c>
      <x:c r="AO35" s="4" t="str">
        <x:v>02  インドネシア</x:v>
      </x:c>
      <x:c r="AP35" s="4" t="str">
        <x:v>02  インドネシア</x:v>
      </x:c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</x:row>
    <x:row r="36" ht="34" customHeight="1">
      <x:c r="A36" s="7" t="str">
        <x:v>販売系列：初期値はBEV/HEV/ICE。販売未入力のため線なし。台数・統計範囲をそろえ、制度の対象条件と照合する。</x:v>
      </x:c>
      <x:c r="B36" s="7" t="str">
        <x:v>販売系列：初期値はBEV/HEV/ICE。販売未入力のため線なし。台数・統計範囲をそろえ、制度の対象条件と照合する。</x:v>
      </x:c>
      <x:c r="C36" s="7" t="str">
        <x:v>販売系列：初期値はBEV/HEV/ICE。販売未入力のため線なし。台数・統計範囲をそろえ、制度の対象条件と照合する。</x:v>
      </x:c>
      <x:c r="D36" s="7" t="str">
        <x:v>販売系列：初期値はBEV/HEV/ICE。販売未入力のため線なし。台数・統計範囲をそろえ、制度の対象条件と照合する。</x:v>
      </x:c>
      <x:c r="E36" s="7" t="str">
        <x:v>販売系列：初期値はBEV/HEV/ICE。販売未入力のため線なし。台数・統計範囲をそろえ、制度の対象条件と照合する。</x:v>
      </x:c>
      <x:c r="F36" s="7" t="str">
        <x:v>販売系列：初期値はBEV/HEV/ICE。販売未入力のため線なし。台数・統計範囲をそろえ、制度の対象条件と照合する。</x:v>
      </x:c>
      <x:c r="G36" s="7" t="str">
        <x:v>販売系列：初期値はBEV/HEV/ICE。販売未入力のため線なし。台数・統計範囲をそろえ、制度の対象条件と照合する。</x:v>
      </x:c>
      <x:c r="H36" s="7" t="str">
        <x:v>販売系列：初期値はBEV/HEV/ICE。販売未入力のため線なし。台数・統計範囲をそろえ、制度の対象条件と照合する。</x:v>
      </x:c>
      <x:c r="I36" s="7" t="str">
        <x:v>販売系列：初期値はBEV/HEV/ICE。販売未入力のため線なし。台数・統計範囲をそろえ、制度の対象条件と照合する。</x:v>
      </x:c>
      <x:c r="J36" s="7" t="str">
        <x:v>販売系列：初期値はBEV/HEV/ICE。販売未入力のため線なし。台数・統計範囲をそろえ、制度の対象条件と照合する。</x:v>
      </x:c>
      <x:c r="K36" s="7" t="str">
        <x:v>販売系列：初期値はBEV/HEV/ICE。販売未入力のため線なし。台数・統計範囲をそろえ、制度の対象条件と照合する。</x:v>
      </x:c>
      <x:c r="L36" s="7" t="str">
        <x:v>販売系列：初期値はBEV/HEV/ICE。販売未入力のため線なし。台数・統計範囲をそろえ、制度の対象条件と照合する。</x:v>
      </x:c>
      <x:c r="M36" s="7" t="str">
        <x:v>販売系列：初期値はBEV/HEV/ICE。販売未入力のため線なし。台数・統計範囲をそろえ、制度の対象条件と照合する。</x:v>
      </x:c>
      <x:c r="N36" s="7" t="str">
        <x:v>販売系列：初期値はBEV/HEV/ICE。販売未入力のため線なし。台数・統計範囲をそろえ、制度の対象条件と照合する。</x:v>
      </x:c>
      <x:c r="O36" s="7" t="str">
        <x:v>販売系列：初期値はBEV/HEV/ICE。販売未入力のため線なし。台数・統計範囲をそろえ、制度の対象条件と照合する。</x:v>
      </x:c>
      <x:c r="P36" s="7" t="str">
        <x:v>販売系列：初期値はBEV/HEV/ICE。販売未入力のため線なし。台数・統計範囲をそろえ、制度の対象条件と照合する。</x:v>
      </x:c>
      <x:c r="Q36" s="7" t="str">
        <x:v>販売系列：初期値はBEV/HEV/ICE。販売未入力のため線なし。台数・統計範囲をそろえ、制度の対象条件と照合する。</x:v>
      </x:c>
      <x:c r="R36" s="7" t="str">
        <x:v>販売系列：初期値はBEV/HEV/ICE。販売未入力のため線なし。台数・統計範囲をそろえ、制度の対象条件と照合する。</x:v>
      </x:c>
      <x:c r="S36" s="7" t="str">
        <x:v>販売系列：初期値はBEV/HEV/ICE。販売未入力のため線なし。台数・統計範囲をそろえ、制度の対象条件と照合する。</x:v>
      </x:c>
      <x:c r="T36" s="7" t="str">
        <x:v>販売系列：初期値はBEV/HEV/ICE。販売未入力のため線なし。台数・統計範囲をそろえ、制度の対象条件と照合する。</x:v>
      </x:c>
      <x:c r="U36" s="7" t="str">
        <x:v>販売系列：初期値はBEV/HEV/ICE。販売未入力のため線なし。台数・統計範囲をそろえ、制度の対象条件と照合する。</x:v>
      </x:c>
      <x:c r="V36" s="7" t="str">
        <x:v>販売系列：初期値はBEV/HEV/ICE。販売未入力のため線なし。台数・統計範囲をそろえ、制度の対象条件と照合する。</x:v>
      </x:c>
      <x:c r="W36" s="7" t="str">
        <x:v>販売系列：初期値はBEV/HEV/ICE。販売未入力のため線なし。台数・統計範囲をそろえ、制度の対象条件と照合する。</x:v>
      </x:c>
      <x:c r="X36" s="7" t="str">
        <x:v>販売系列：初期値はBEV/HEV/ICE。販売未入力のため線なし。台数・統計範囲をそろえ、制度の対象条件と照合する。</x:v>
      </x:c>
      <x:c r="Y36" s="7" t="str">
        <x:v>販売系列：初期値はBEV/HEV/ICE。販売未入力のため線なし。台数・統計範囲をそろえ、制度の対象条件と照合する。</x:v>
      </x:c>
      <x:c r="Z36" s="7" t="str">
        <x:v>販売系列：初期値はBEV/HEV/ICE。販売未入力のため線なし。台数・統計範囲をそろえ、制度の対象条件と照合する。</x:v>
      </x:c>
      <x:c r="AA36" s="7" t="str">
        <x:v>販売系列：初期値はBEV/HEV/ICE。販売未入力のため線なし。台数・統計範囲をそろえ、制度の対象条件と照合する。</x:v>
      </x:c>
      <x:c r="AB36" s="7" t="str">
        <x:v>販売系列：初期値はBEV/HEV/ICE。販売未入力のため線なし。台数・統計範囲をそろえ、制度の対象条件と照合する。</x:v>
      </x:c>
      <x:c r="AC36" s="7" t="str">
        <x:v>販売系列：初期値はBEV/HEV/ICE。販売未入力のため線なし。台数・統計範囲をそろえ、制度の対象条件と照合する。</x:v>
      </x:c>
      <x:c r="AD36" s="7" t="str">
        <x:v>販売系列：初期値はBEV/HEV/ICE。販売未入力のため線なし。台数・統計範囲をそろえ、制度の対象条件と照合する。</x:v>
      </x:c>
      <x:c r="AE36" s="7" t="str">
        <x:v>販売系列：初期値はBEV/HEV/ICE。販売未入力のため線なし。台数・統計範囲をそろえ、制度の対象条件と照合する。</x:v>
      </x:c>
      <x:c r="AF36" s="7" t="str">
        <x:v>販売系列：初期値はBEV/HEV/ICE。販売未入力のため線なし。台数・統計範囲をそろえ、制度の対象条件と照合する。</x:v>
      </x:c>
      <x:c r="AG36" s="7" t="str">
        <x:v>販売系列：初期値はBEV/HEV/ICE。販売未入力のため線なし。台数・統計範囲をそろえ、制度の対象条件と照合する。</x:v>
      </x:c>
      <x:c r="AH36" s="7" t="str">
        <x:v>販売系列：初期値はBEV/HEV/ICE。販売未入力のため線なし。台数・統計範囲をそろえ、制度の対象条件と照合する。</x:v>
      </x:c>
      <x:c r="AI36" s="7" t="str">
        <x:v>販売系列：初期値はBEV/HEV/ICE。販売未入力のため線なし。台数・統計範囲をそろえ、制度の対象条件と照合する。</x:v>
      </x:c>
      <x:c r="AJ36" s="7" t="str">
        <x:v>販売系列：初期値はBEV/HEV/ICE。販売未入力のため線なし。台数・統計範囲をそろえ、制度の対象条件と照合する。</x:v>
      </x:c>
      <x:c r="AK36" s="7" t="str">
        <x:v>販売系列：初期値はBEV/HEV/ICE。販売未入力のため線なし。台数・統計範囲をそろえ、制度の対象条件と照合する。</x:v>
      </x:c>
      <x:c r="AL36" s="7" t="str">
        <x:v>販売系列：初期値はBEV/HEV/ICE。販売未入力のため線なし。台数・統計範囲をそろえ、制度の対象条件と照合する。</x:v>
      </x:c>
      <x:c r="AM36" s="7" t="str">
        <x:v>販売系列：初期値はBEV/HEV/ICE。販売未入力のため線なし。台数・統計範囲をそろえ、制度の対象条件と照合する。</x:v>
      </x:c>
      <x:c r="AN36" s="7" t="str">
        <x:v>販売系列：初期値はBEV/HEV/ICE。販売未入力のため線なし。台数・統計範囲をそろえ、制度の対象条件と照合する。</x:v>
      </x:c>
      <x:c r="AO36" s="7" t="str">
        <x:v>販売系列：初期値はBEV/HEV/ICE。販売未入力のため線なし。台数・統計範囲をそろえ、制度の対象条件と照合する。</x:v>
      </x:c>
      <x:c r="AP36" s="7" t="str">
        <x:v>販売系列：初期値はBEV/HEV/ICE。販売未入力のため線なし。台数・統計範囲をそろえ、制度の対象条件と照合する。</x:v>
      </x:c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</x:row>
    <x:row r="37" ht="23" customHeight="1">
      <x:c r="A37" s="37" t="str">
        <x:v>着目点
VAT優遇の適格型式とTKDN。
輸入恩典は個社承認。
2026年継続は自動で仮定しない。</x:v>
      </x:c>
      <x:c r="B37" s="37"/>
      <x:c r="C37" s="37"/>
      <x:c r="D37" s="37"/>
      <x:c r="E37" s="37"/>
      <x:c r="F37" s="37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</x:row>
    <x:row r="38" ht="23" customHeight="1">
      <x:c r="A38" s="37"/>
      <x:c r="B38" s="37"/>
      <x:c r="C38" s="37"/>
      <x:c r="D38" s="37"/>
      <x:c r="E38" s="37"/>
      <x:c r="F38" s="37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</x:row>
    <x:row r="39" ht="23" customHeight="1">
      <x:c r="A39" s="37"/>
      <x:c r="B39" s="37"/>
      <x:c r="C39" s="37"/>
      <x:c r="D39" s="37"/>
      <x:c r="E39" s="37"/>
      <x:c r="F39" s="37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</x:row>
    <x:row r="40" ht="23" customHeight="1">
      <x:c r="A40" s="37"/>
      <x:c r="B40" s="37"/>
      <x:c r="C40" s="37"/>
      <x:c r="D40" s="37"/>
      <x:c r="E40" s="37"/>
      <x:c r="F40" s="37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</x:row>
    <x:row r="41" ht="23" customHeight="1">
      <x:c r="A41" s="37"/>
      <x:c r="B41" s="37"/>
      <x:c r="C41" s="37"/>
      <x:c r="D41" s="37"/>
      <x:c r="E41" s="37"/>
      <x:c r="F41" s="37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</x:row>
    <x:row r="42" ht="23" customHeight="1">
      <x:c r="A42" s="37"/>
      <x:c r="B42" s="37"/>
      <x:c r="C42" s="37"/>
      <x:c r="D42" s="37"/>
      <x:c r="E42" s="37"/>
      <x:c r="F42" s="37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</x:row>
    <x:row r="43" ht="23" customHeight="1">
      <x:c r="A43" s="37"/>
      <x:c r="B43" s="37"/>
      <x:c r="C43" s="37"/>
      <x:c r="D43" s="37"/>
      <x:c r="E43" s="37"/>
      <x:c r="F43" s="37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</x:row>
    <x:row r="44" ht="23" customHeight="1">
      <x:c r="A44" s="37"/>
      <x:c r="B44" s="37"/>
      <x:c r="C44" s="37"/>
      <x:c r="D44" s="37"/>
      <x:c r="E44" s="37"/>
      <x:c r="F44" s="37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</x:row>
    <x:row r="45" ht="23" customHeight="1">
      <x:c r="A45" s="37"/>
      <x:c r="B45" s="37"/>
      <x:c r="C45" s="37"/>
      <x:c r="D45" s="37"/>
      <x:c r="E45" s="37"/>
      <x:c r="F45" s="37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</x:row>
    <x:row r="46" ht="23" customHeight="1">
      <x:c r="A46" s="37"/>
      <x:c r="B46" s="37"/>
      <x:c r="C46" s="37"/>
      <x:c r="D46" s="37"/>
      <x:c r="E46" s="37"/>
      <x:c r="F46" s="37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</x:row>
    <x:row r="47" ht="23" customHeight="1">
      <x:c r="A47" s="37"/>
      <x:c r="B47" s="37"/>
      <x:c r="C47" s="37"/>
      <x:c r="D47" s="37"/>
      <x:c r="E47" s="37"/>
      <x:c r="F47" s="37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</x:row>
    <x:row r="48" ht="23" customHeight="1">
      <x:c r="A48" s="37"/>
      <x:c r="B48" s="37"/>
      <x:c r="C48" s="37"/>
      <x:c r="D48" s="37"/>
      <x:c r="E48" s="37"/>
      <x:c r="F48" s="37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</x:row>
    <x:row r="49" ht="22" customHeight="1">
      <x:c r="A49" s="40" t="str">
        <x:f>'月次販売入力'!E6</x:f>
        <x:v>BEV</x:v>
      </x:c>
      <x:c r="B49" s="40"/>
      <x:c r="C49" s="43" t="str">
        <x:f>'月次販売入力'!F6</x:f>
        <x:v>HEV</x:v>
      </x:c>
      <x:c r="D49" s="43"/>
      <x:c r="E49" s="46" t="str">
        <x:f>'月次販売入力'!G6</x:f>
        <x:v>ICE</x:v>
      </x:c>
      <x:c r="F49" s="46"/>
      <x:c r="G49" s="48" t="str">
        <x:f>IF(OR(MONTH(G50)=1,0=0),TEXT(G50,"yyyy"),"")</x:f>
        <x:v>2024</x:v>
      </x:c>
      <x:c r="H49" s="48" t="str">
        <x:f>IF(OR(MONTH(H50)=1,1=0),TEXT(H50,"yyyy"),"")</x:f>
      </x:c>
      <x:c r="I49" s="48" t="str">
        <x:f>IF(OR(MONTH(I50)=1,2=0),TEXT(I50,"yyyy"),"")</x:f>
      </x:c>
      <x:c r="J49" s="48" t="str">
        <x:f>IF(OR(MONTH(J50)=1,3=0),TEXT(J50,"yyyy"),"")</x:f>
      </x:c>
      <x:c r="K49" s="48" t="str">
        <x:f>IF(OR(MONTH(K50)=1,4=0),TEXT(K50,"yyyy"),"")</x:f>
      </x:c>
      <x:c r="L49" s="48" t="str">
        <x:f>IF(OR(MONTH(L50)=1,5=0),TEXT(L50,"yyyy"),"")</x:f>
      </x:c>
      <x:c r="M49" s="48" t="str">
        <x:f>IF(OR(MONTH(M50)=1,6=0),TEXT(M50,"yyyy"),"")</x:f>
      </x:c>
      <x:c r="N49" s="48" t="str">
        <x:f>IF(OR(MONTH(N50)=1,7=0),TEXT(N50,"yyyy"),"")</x:f>
      </x:c>
      <x:c r="O49" s="48" t="str">
        <x:f>IF(OR(MONTH(O50)=1,8=0),TEXT(O50,"yyyy"),"")</x:f>
      </x:c>
      <x:c r="P49" s="48" t="str">
        <x:f>IF(OR(MONTH(P50)=1,9=0),TEXT(P50,"yyyy"),"")</x:f>
      </x:c>
      <x:c r="Q49" s="48" t="str">
        <x:f>IF(OR(MONTH(Q50)=1,10=0),TEXT(Q50,"yyyy"),"")</x:f>
      </x:c>
      <x:c r="R49" s="48" t="str">
        <x:f>IF(OR(MONTH(R50)=1,11=0),TEXT(R50,"yyyy"),"")</x:f>
      </x:c>
      <x:c r="S49" s="48" t="str">
        <x:f>IF(OR(MONTH(S50)=1,12=0),TEXT(S50,"yyyy"),"")</x:f>
        <x:v>2025</x:v>
      </x:c>
      <x:c r="T49" s="48" t="str">
        <x:f>IF(OR(MONTH(T50)=1,13=0),TEXT(T50,"yyyy"),"")</x:f>
      </x:c>
      <x:c r="U49" s="48" t="str">
        <x:f>IF(OR(MONTH(U50)=1,14=0),TEXT(U50,"yyyy"),"")</x:f>
      </x:c>
      <x:c r="V49" s="48" t="str">
        <x:f>IF(OR(MONTH(V50)=1,15=0),TEXT(V50,"yyyy"),"")</x:f>
      </x:c>
      <x:c r="W49" s="48" t="str">
        <x:f>IF(OR(MONTH(W50)=1,16=0),TEXT(W50,"yyyy"),"")</x:f>
      </x:c>
      <x:c r="X49" s="48" t="str">
        <x:f>IF(OR(MONTH(X50)=1,17=0),TEXT(X50,"yyyy"),"")</x:f>
      </x:c>
      <x:c r="Y49" s="48" t="str">
        <x:f>IF(OR(MONTH(Y50)=1,18=0),TEXT(Y50,"yyyy"),"")</x:f>
      </x:c>
      <x:c r="Z49" s="48" t="str">
        <x:f>IF(OR(MONTH(Z50)=1,19=0),TEXT(Z50,"yyyy"),"")</x:f>
      </x:c>
      <x:c r="AA49" s="48" t="str">
        <x:f>IF(OR(MONTH(AA50)=1,20=0),TEXT(AA50,"yyyy"),"")</x:f>
      </x:c>
      <x:c r="AB49" s="48" t="str">
        <x:f>IF(OR(MONTH(AB50)=1,21=0),TEXT(AB50,"yyyy"),"")</x:f>
      </x:c>
      <x:c r="AC49" s="48" t="str">
        <x:f>IF(OR(MONTH(AC50)=1,22=0),TEXT(AC50,"yyyy"),"")</x:f>
      </x:c>
      <x:c r="AD49" s="48" t="str">
        <x:f>IF(OR(MONTH(AD50)=1,23=0),TEXT(AD50,"yyyy"),"")</x:f>
      </x:c>
      <x:c r="AE49" s="48" t="str">
        <x:f>IF(OR(MONTH(AE50)=1,24=0),TEXT(AE50,"yyyy"),"")</x:f>
        <x:v>2026</x:v>
      </x:c>
      <x:c r="AF49" s="48" t="str">
        <x:f>IF(OR(MONTH(AF50)=1,25=0),TEXT(AF50,"yyyy"),"")</x:f>
      </x:c>
      <x:c r="AG49" s="48" t="str">
        <x:f>IF(OR(MONTH(AG50)=1,26=0),TEXT(AG50,"yyyy"),"")</x:f>
      </x:c>
      <x:c r="AH49" s="48" t="str">
        <x:f>IF(OR(MONTH(AH50)=1,27=0),TEXT(AH50,"yyyy"),"")</x:f>
      </x:c>
      <x:c r="AI49" s="48" t="str">
        <x:f>IF(OR(MONTH(AI50)=1,28=0),TEXT(AI50,"yyyy"),"")</x:f>
      </x:c>
      <x:c r="AJ49" s="48" t="str">
        <x:f>IF(OR(MONTH(AJ50)=1,29=0),TEXT(AJ50,"yyyy"),"")</x:f>
      </x:c>
      <x:c r="AK49" s="48" t="str">
        <x:f>IF(OR(MONTH(AK50)=1,30=0),TEXT(AK50,"yyyy"),"")</x:f>
      </x:c>
      <x:c r="AL49" s="48" t="str">
        <x:f>IF(OR(MONTH(AL50)=1,31=0),TEXT(AL50,"yyyy"),"")</x:f>
      </x:c>
      <x:c r="AM49" s="48" t="str">
        <x:f>IF(OR(MONTH(AM50)=1,32=0),TEXT(AM50,"yyyy"),"")</x:f>
      </x:c>
      <x:c r="AN49" s="48" t="str">
        <x:f>IF(OR(MONTH(AN50)=1,33=0),TEXT(AN50,"yyyy"),"")</x:f>
      </x:c>
      <x:c r="AO49" s="48" t="str">
        <x:f>IF(OR(MONTH(AO50)=1,34=0),TEXT(AO50,"yyyy"),"")</x:f>
      </x:c>
      <x:c r="AP49" s="48" t="str">
        <x:f>IF(OR(MONTH(AP50)=1,35=0),TEXT(AP50,"yyyy"),"")</x:f>
      </x:c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</x:row>
    <x:row r="50" ht="35" customHeight="1">
      <x:c r="A50" s="1" t="str">
        <x:v>制度／対象条件は「制度詳細」参照</x:v>
      </x:c>
      <x:c r="B50" s="1"/>
      <x:c r="C50" s="1"/>
      <x:c r="D50" s="1"/>
      <x:c r="E50" s="1"/>
      <x:c r="F50" s="1"/>
      <x:c r="G50" s="52" t="n">
        <x:f>EDATE($E$5,0)</x:f>
        <x:v>45292</x:v>
      </x:c>
      <x:c r="H50" s="52" t="n">
        <x:f>EDATE($E$5,1)</x:f>
        <x:v>45323</x:v>
      </x:c>
      <x:c r="I50" s="52" t="n">
        <x:f>EDATE($E$5,2)</x:f>
        <x:v>45352</x:v>
      </x:c>
      <x:c r="J50" s="52" t="n">
        <x:f>EDATE($E$5,3)</x:f>
        <x:v>45383</x:v>
      </x:c>
      <x:c r="K50" s="52" t="n">
        <x:f>EDATE($E$5,4)</x:f>
        <x:v>45413</x:v>
      </x:c>
      <x:c r="L50" s="52" t="n">
        <x:f>EDATE($E$5,5)</x:f>
        <x:v>45444</x:v>
      </x:c>
      <x:c r="M50" s="52" t="n">
        <x:f>EDATE($E$5,6)</x:f>
        <x:v>45474</x:v>
      </x:c>
      <x:c r="N50" s="52" t="n">
        <x:f>EDATE($E$5,7)</x:f>
        <x:v>45505</x:v>
      </x:c>
      <x:c r="O50" s="52" t="n">
        <x:f>EDATE($E$5,8)</x:f>
        <x:v>45536</x:v>
      </x:c>
      <x:c r="P50" s="52" t="n">
        <x:f>EDATE($E$5,9)</x:f>
        <x:v>45566</x:v>
      </x:c>
      <x:c r="Q50" s="52" t="n">
        <x:f>EDATE($E$5,10)</x:f>
        <x:v>45597</x:v>
      </x:c>
      <x:c r="R50" s="52" t="n">
        <x:f>EDATE($E$5,11)</x:f>
        <x:v>45627</x:v>
      </x:c>
      <x:c r="S50" s="52" t="n">
        <x:f>EDATE($E$5,12)</x:f>
        <x:v>45658</x:v>
      </x:c>
      <x:c r="T50" s="52" t="n">
        <x:f>EDATE($E$5,13)</x:f>
        <x:v>45689</x:v>
      </x:c>
      <x:c r="U50" s="52" t="n">
        <x:f>EDATE($E$5,14)</x:f>
        <x:v>45717</x:v>
      </x:c>
      <x:c r="V50" s="52" t="n">
        <x:f>EDATE($E$5,15)</x:f>
        <x:v>45748</x:v>
      </x:c>
      <x:c r="W50" s="52" t="n">
        <x:f>EDATE($E$5,16)</x:f>
        <x:v>45778</x:v>
      </x:c>
      <x:c r="X50" s="52" t="n">
        <x:f>EDATE($E$5,17)</x:f>
        <x:v>45809</x:v>
      </x:c>
      <x:c r="Y50" s="52" t="n">
        <x:f>EDATE($E$5,18)</x:f>
        <x:v>45839</x:v>
      </x:c>
      <x:c r="Z50" s="52" t="n">
        <x:f>EDATE($E$5,19)</x:f>
        <x:v>45870</x:v>
      </x:c>
      <x:c r="AA50" s="52" t="n">
        <x:f>EDATE($E$5,20)</x:f>
        <x:v>45901</x:v>
      </x:c>
      <x:c r="AB50" s="52" t="n">
        <x:f>EDATE($E$5,21)</x:f>
        <x:v>45931</x:v>
      </x:c>
      <x:c r="AC50" s="52" t="n">
        <x:f>EDATE($E$5,22)</x:f>
        <x:v>45962</x:v>
      </x:c>
      <x:c r="AD50" s="52" t="n">
        <x:f>EDATE($E$5,23)</x:f>
        <x:v>45992</x:v>
      </x:c>
      <x:c r="AE50" s="52" t="n">
        <x:f>EDATE($E$5,24)</x:f>
        <x:v>46023</x:v>
      </x:c>
      <x:c r="AF50" s="52" t="n">
        <x:f>EDATE($E$5,25)</x:f>
        <x:v>46054</x:v>
      </x:c>
      <x:c r="AG50" s="52" t="n">
        <x:f>EDATE($E$5,26)</x:f>
        <x:v>46082</x:v>
      </x:c>
      <x:c r="AH50" s="52" t="n">
        <x:f>EDATE($E$5,27)</x:f>
        <x:v>46113</x:v>
      </x:c>
      <x:c r="AI50" s="52" t="n">
        <x:f>EDATE($E$5,28)</x:f>
        <x:v>46143</x:v>
      </x:c>
      <x:c r="AJ50" s="52" t="n">
        <x:f>EDATE($E$5,29)</x:f>
        <x:v>46174</x:v>
      </x:c>
      <x:c r="AK50" s="52" t="n">
        <x:f>EDATE($E$5,30)</x:f>
        <x:v>46204</x:v>
      </x:c>
      <x:c r="AL50" s="52" t="n">
        <x:f>EDATE($E$5,31)</x:f>
        <x:v>46235</x:v>
      </x:c>
      <x:c r="AM50" s="52" t="n">
        <x:f>EDATE($E$5,32)</x:f>
        <x:v>46266</x:v>
      </x:c>
      <x:c r="AN50" s="52" t="n">
        <x:f>EDATE($E$5,33)</x:f>
        <x:v>46296</x:v>
      </x:c>
      <x:c r="AO50" s="52" t="n">
        <x:f>EDATE($E$5,34)</x:f>
        <x:v>46327</x:v>
      </x:c>
      <x:c r="AP50" s="52" t="n">
        <x:f>EDATE($E$5,35)</x:f>
        <x:v>46357</x:v>
      </x:c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</x:row>
    <x:row r="51" ht="30" customHeight="1">
      <x:c r="A51" s="54" t="str">
        <x:v>ID01 BEV：VAT政府負担2023</x:v>
      </x:c>
      <x:c r="B51" s="54"/>
      <x:c r="C51" s="54"/>
      <x:c r="D51" s="54"/>
      <x:c r="E51" s="54"/>
      <x:c r="F51" s="54"/>
      <x:c r="G51" s="57" t="str">
        <x:f>IF('制度詳細'!$H$15="",IF('制度詳細'!$J$15="","",IF(AND('制度詳細'!$J$15&gt;=G$50,'制度詳細'!$J$15&lt;=EOMONTH(G$50,0)),"◆","")),IF(MAX('制度詳細'!$H$15,G$50)&lt;=MIN(IF('制度詳細'!$I$15="",EOMONTH(G$50,0),'制度詳細'!$I$15),EOMONTH(G$50,0)),"■",IF(AND('制度詳細'!$J$15&lt;&gt;"",'制度詳細'!$J$15&gt;=G$50,'制度詳細'!$J$15&lt;=EOMONTH(G$50,0)),"◆","")))</x:f>
      </x:c>
      <x:c r="H51" s="57" t="str">
        <x:f>IF('制度詳細'!$H$15="",IF('制度詳細'!$J$15="","",IF(AND('制度詳細'!$J$15&gt;=H$50,'制度詳細'!$J$15&lt;=EOMONTH(H$50,0)),"◆","")),IF(MAX('制度詳細'!$H$15,H$50)&lt;=MIN(IF('制度詳細'!$I$15="",EOMONTH(H$50,0),'制度詳細'!$I$15),EOMONTH(H$50,0)),"■",IF(AND('制度詳細'!$J$15&lt;&gt;"",'制度詳細'!$J$15&gt;=H$50,'制度詳細'!$J$15&lt;=EOMONTH(H$50,0)),"◆","")))</x:f>
      </x:c>
      <x:c r="I51" s="57" t="str">
        <x:f>IF('制度詳細'!$H$15="",IF('制度詳細'!$J$15="","",IF(AND('制度詳細'!$J$15&gt;=I$50,'制度詳細'!$J$15&lt;=EOMONTH(I$50,0)),"◆","")),IF(MAX('制度詳細'!$H$15,I$50)&lt;=MIN(IF('制度詳細'!$I$15="",EOMONTH(I$50,0),'制度詳細'!$I$15),EOMONTH(I$50,0)),"■",IF(AND('制度詳細'!$J$15&lt;&gt;"",'制度詳細'!$J$15&gt;=I$50,'制度詳細'!$J$15&lt;=EOMONTH(I$50,0)),"◆","")))</x:f>
      </x:c>
      <x:c r="J51" s="57" t="str">
        <x:f>IF('制度詳細'!$H$15="",IF('制度詳細'!$J$15="","",IF(AND('制度詳細'!$J$15&gt;=J$50,'制度詳細'!$J$15&lt;=EOMONTH(J$50,0)),"◆","")),IF(MAX('制度詳細'!$H$15,J$50)&lt;=MIN(IF('制度詳細'!$I$15="",EOMONTH(J$50,0),'制度詳細'!$I$15),EOMONTH(J$50,0)),"■",IF(AND('制度詳細'!$J$15&lt;&gt;"",'制度詳細'!$J$15&gt;=J$50,'制度詳細'!$J$15&lt;=EOMONTH(J$50,0)),"◆","")))</x:f>
      </x:c>
      <x:c r="K51" s="57" t="str">
        <x:f>IF('制度詳細'!$H$15="",IF('制度詳細'!$J$15="","",IF(AND('制度詳細'!$J$15&gt;=K$50,'制度詳細'!$J$15&lt;=EOMONTH(K$50,0)),"◆","")),IF(MAX('制度詳細'!$H$15,K$50)&lt;=MIN(IF('制度詳細'!$I$15="",EOMONTH(K$50,0),'制度詳細'!$I$15),EOMONTH(K$50,0)),"■",IF(AND('制度詳細'!$J$15&lt;&gt;"",'制度詳細'!$J$15&gt;=K$50,'制度詳細'!$J$15&lt;=EOMONTH(K$50,0)),"◆","")))</x:f>
      </x:c>
      <x:c r="L51" s="57" t="str">
        <x:f>IF('制度詳細'!$H$15="",IF('制度詳細'!$J$15="","",IF(AND('制度詳細'!$J$15&gt;=L$50,'制度詳細'!$J$15&lt;=EOMONTH(L$50,0)),"◆","")),IF(MAX('制度詳細'!$H$15,L$50)&lt;=MIN(IF('制度詳細'!$I$15="",EOMONTH(L$50,0),'制度詳細'!$I$15),EOMONTH(L$50,0)),"■",IF(AND('制度詳細'!$J$15&lt;&gt;"",'制度詳細'!$J$15&gt;=L$50,'制度詳細'!$J$15&lt;=EOMONTH(L$50,0)),"◆","")))</x:f>
      </x:c>
      <x:c r="M51" s="57" t="str">
        <x:f>IF('制度詳細'!$H$15="",IF('制度詳細'!$J$15="","",IF(AND('制度詳細'!$J$15&gt;=M$50,'制度詳細'!$J$15&lt;=EOMONTH(M$50,0)),"◆","")),IF(MAX('制度詳細'!$H$15,M$50)&lt;=MIN(IF('制度詳細'!$I$15="",EOMONTH(M$50,0),'制度詳細'!$I$15),EOMONTH(M$50,0)),"■",IF(AND('制度詳細'!$J$15&lt;&gt;"",'制度詳細'!$J$15&gt;=M$50,'制度詳細'!$J$15&lt;=EOMONTH(M$50,0)),"◆","")))</x:f>
      </x:c>
      <x:c r="N51" s="57" t="str">
        <x:f>IF('制度詳細'!$H$15="",IF('制度詳細'!$J$15="","",IF(AND('制度詳細'!$J$15&gt;=N$50,'制度詳細'!$J$15&lt;=EOMONTH(N$50,0)),"◆","")),IF(MAX('制度詳細'!$H$15,N$50)&lt;=MIN(IF('制度詳細'!$I$15="",EOMONTH(N$50,0),'制度詳細'!$I$15),EOMONTH(N$50,0)),"■",IF(AND('制度詳細'!$J$15&lt;&gt;"",'制度詳細'!$J$15&gt;=N$50,'制度詳細'!$J$15&lt;=EOMONTH(N$50,0)),"◆","")))</x:f>
      </x:c>
      <x:c r="O51" s="57" t="str">
        <x:f>IF('制度詳細'!$H$15="",IF('制度詳細'!$J$15="","",IF(AND('制度詳細'!$J$15&gt;=O$50,'制度詳細'!$J$15&lt;=EOMONTH(O$50,0)),"◆","")),IF(MAX('制度詳細'!$H$15,O$50)&lt;=MIN(IF('制度詳細'!$I$15="",EOMONTH(O$50,0),'制度詳細'!$I$15),EOMONTH(O$50,0)),"■",IF(AND('制度詳細'!$J$15&lt;&gt;"",'制度詳細'!$J$15&gt;=O$50,'制度詳細'!$J$15&lt;=EOMONTH(O$50,0)),"◆","")))</x:f>
      </x:c>
      <x:c r="P51" s="57" t="str">
        <x:f>IF('制度詳細'!$H$15="",IF('制度詳細'!$J$15="","",IF(AND('制度詳細'!$J$15&gt;=P$50,'制度詳細'!$J$15&lt;=EOMONTH(P$50,0)),"◆","")),IF(MAX('制度詳細'!$H$15,P$50)&lt;=MIN(IF('制度詳細'!$I$15="",EOMONTH(P$50,0),'制度詳細'!$I$15),EOMONTH(P$50,0)),"■",IF(AND('制度詳細'!$J$15&lt;&gt;"",'制度詳細'!$J$15&gt;=P$50,'制度詳細'!$J$15&lt;=EOMONTH(P$50,0)),"◆","")))</x:f>
      </x:c>
      <x:c r="Q51" s="57" t="str">
        <x:f>IF('制度詳細'!$H$15="",IF('制度詳細'!$J$15="","",IF(AND('制度詳細'!$J$15&gt;=Q$50,'制度詳細'!$J$15&lt;=EOMONTH(Q$50,0)),"◆","")),IF(MAX('制度詳細'!$H$15,Q$50)&lt;=MIN(IF('制度詳細'!$I$15="",EOMONTH(Q$50,0),'制度詳細'!$I$15),EOMONTH(Q$50,0)),"■",IF(AND('制度詳細'!$J$15&lt;&gt;"",'制度詳細'!$J$15&gt;=Q$50,'制度詳細'!$J$15&lt;=EOMONTH(Q$50,0)),"◆","")))</x:f>
      </x:c>
      <x:c r="R51" s="57" t="str">
        <x:f>IF('制度詳細'!$H$15="",IF('制度詳細'!$J$15="","",IF(AND('制度詳細'!$J$15&gt;=R$50,'制度詳細'!$J$15&lt;=EOMONTH(R$50,0)),"◆","")),IF(MAX('制度詳細'!$H$15,R$50)&lt;=MIN(IF('制度詳細'!$I$15="",EOMONTH(R$50,0),'制度詳細'!$I$15),EOMONTH(R$50,0)),"■",IF(AND('制度詳細'!$J$15&lt;&gt;"",'制度詳細'!$J$15&gt;=R$50,'制度詳細'!$J$15&lt;=EOMONTH(R$50,0)),"◆","")))</x:f>
      </x:c>
      <x:c r="S51" s="57" t="str">
        <x:f>IF('制度詳細'!$H$15="",IF('制度詳細'!$J$15="","",IF(AND('制度詳細'!$J$15&gt;=S$50,'制度詳細'!$J$15&lt;=EOMONTH(S$50,0)),"◆","")),IF(MAX('制度詳細'!$H$15,S$50)&lt;=MIN(IF('制度詳細'!$I$15="",EOMONTH(S$50,0),'制度詳細'!$I$15),EOMONTH(S$50,0)),"■",IF(AND('制度詳細'!$J$15&lt;&gt;"",'制度詳細'!$J$15&gt;=S$50,'制度詳細'!$J$15&lt;=EOMONTH(S$50,0)),"◆","")))</x:f>
      </x:c>
      <x:c r="T51" s="57" t="str">
        <x:f>IF('制度詳細'!$H$15="",IF('制度詳細'!$J$15="","",IF(AND('制度詳細'!$J$15&gt;=T$50,'制度詳細'!$J$15&lt;=EOMONTH(T$50,0)),"◆","")),IF(MAX('制度詳細'!$H$15,T$50)&lt;=MIN(IF('制度詳細'!$I$15="",EOMONTH(T$50,0),'制度詳細'!$I$15),EOMONTH(T$50,0)),"■",IF(AND('制度詳細'!$J$15&lt;&gt;"",'制度詳細'!$J$15&gt;=T$50,'制度詳細'!$J$15&lt;=EOMONTH(T$50,0)),"◆","")))</x:f>
      </x:c>
      <x:c r="U51" s="57" t="str">
        <x:f>IF('制度詳細'!$H$15="",IF('制度詳細'!$J$15="","",IF(AND('制度詳細'!$J$15&gt;=U$50,'制度詳細'!$J$15&lt;=EOMONTH(U$50,0)),"◆","")),IF(MAX('制度詳細'!$H$15,U$50)&lt;=MIN(IF('制度詳細'!$I$15="",EOMONTH(U$50,0),'制度詳細'!$I$15),EOMONTH(U$50,0)),"■",IF(AND('制度詳細'!$J$15&lt;&gt;"",'制度詳細'!$J$15&gt;=U$50,'制度詳細'!$J$15&lt;=EOMONTH(U$50,0)),"◆","")))</x:f>
      </x:c>
      <x:c r="V51" s="57" t="str">
        <x:f>IF('制度詳細'!$H$15="",IF('制度詳細'!$J$15="","",IF(AND('制度詳細'!$J$15&gt;=V$50,'制度詳細'!$J$15&lt;=EOMONTH(V$50,0)),"◆","")),IF(MAX('制度詳細'!$H$15,V$50)&lt;=MIN(IF('制度詳細'!$I$15="",EOMONTH(V$50,0),'制度詳細'!$I$15),EOMONTH(V$50,0)),"■",IF(AND('制度詳細'!$J$15&lt;&gt;"",'制度詳細'!$J$15&gt;=V$50,'制度詳細'!$J$15&lt;=EOMONTH(V$50,0)),"◆","")))</x:f>
      </x:c>
      <x:c r="W51" s="57" t="str">
        <x:f>IF('制度詳細'!$H$15="",IF('制度詳細'!$J$15="","",IF(AND('制度詳細'!$J$15&gt;=W$50,'制度詳細'!$J$15&lt;=EOMONTH(W$50,0)),"◆","")),IF(MAX('制度詳細'!$H$15,W$50)&lt;=MIN(IF('制度詳細'!$I$15="",EOMONTH(W$50,0),'制度詳細'!$I$15),EOMONTH(W$50,0)),"■",IF(AND('制度詳細'!$J$15&lt;&gt;"",'制度詳細'!$J$15&gt;=W$50,'制度詳細'!$J$15&lt;=EOMONTH(W$50,0)),"◆","")))</x:f>
      </x:c>
      <x:c r="X51" s="57" t="str">
        <x:f>IF('制度詳細'!$H$15="",IF('制度詳細'!$J$15="","",IF(AND('制度詳細'!$J$15&gt;=X$50,'制度詳細'!$J$15&lt;=EOMONTH(X$50,0)),"◆","")),IF(MAX('制度詳細'!$H$15,X$50)&lt;=MIN(IF('制度詳細'!$I$15="",EOMONTH(X$50,0),'制度詳細'!$I$15),EOMONTH(X$50,0)),"■",IF(AND('制度詳細'!$J$15&lt;&gt;"",'制度詳細'!$J$15&gt;=X$50,'制度詳細'!$J$15&lt;=EOMONTH(X$50,0)),"◆","")))</x:f>
      </x:c>
      <x:c r="Y51" s="57" t="str">
        <x:f>IF('制度詳細'!$H$15="",IF('制度詳細'!$J$15="","",IF(AND('制度詳細'!$J$15&gt;=Y$50,'制度詳細'!$J$15&lt;=EOMONTH(Y$50,0)),"◆","")),IF(MAX('制度詳細'!$H$15,Y$50)&lt;=MIN(IF('制度詳細'!$I$15="",EOMONTH(Y$50,0),'制度詳細'!$I$15),EOMONTH(Y$50,0)),"■",IF(AND('制度詳細'!$J$15&lt;&gt;"",'制度詳細'!$J$15&gt;=Y$50,'制度詳細'!$J$15&lt;=EOMONTH(Y$50,0)),"◆","")))</x:f>
      </x:c>
      <x:c r="Z51" s="57" t="str">
        <x:f>IF('制度詳細'!$H$15="",IF('制度詳細'!$J$15="","",IF(AND('制度詳細'!$J$15&gt;=Z$50,'制度詳細'!$J$15&lt;=EOMONTH(Z$50,0)),"◆","")),IF(MAX('制度詳細'!$H$15,Z$50)&lt;=MIN(IF('制度詳細'!$I$15="",EOMONTH(Z$50,0),'制度詳細'!$I$15),EOMONTH(Z$50,0)),"■",IF(AND('制度詳細'!$J$15&lt;&gt;"",'制度詳細'!$J$15&gt;=Z$50,'制度詳細'!$J$15&lt;=EOMONTH(Z$50,0)),"◆","")))</x:f>
      </x:c>
      <x:c r="AA51" s="57" t="str">
        <x:f>IF('制度詳細'!$H$15="",IF('制度詳細'!$J$15="","",IF(AND('制度詳細'!$J$15&gt;=AA$50,'制度詳細'!$J$15&lt;=EOMONTH(AA$50,0)),"◆","")),IF(MAX('制度詳細'!$H$15,AA$50)&lt;=MIN(IF('制度詳細'!$I$15="",EOMONTH(AA$50,0),'制度詳細'!$I$15),EOMONTH(AA$50,0)),"■",IF(AND('制度詳細'!$J$15&lt;&gt;"",'制度詳細'!$J$15&gt;=AA$50,'制度詳細'!$J$15&lt;=EOMONTH(AA$50,0)),"◆","")))</x:f>
      </x:c>
      <x:c r="AB51" s="57" t="str">
        <x:f>IF('制度詳細'!$H$15="",IF('制度詳細'!$J$15="","",IF(AND('制度詳細'!$J$15&gt;=AB$50,'制度詳細'!$J$15&lt;=EOMONTH(AB$50,0)),"◆","")),IF(MAX('制度詳細'!$H$15,AB$50)&lt;=MIN(IF('制度詳細'!$I$15="",EOMONTH(AB$50,0),'制度詳細'!$I$15),EOMONTH(AB$50,0)),"■",IF(AND('制度詳細'!$J$15&lt;&gt;"",'制度詳細'!$J$15&gt;=AB$50,'制度詳細'!$J$15&lt;=EOMONTH(AB$50,0)),"◆","")))</x:f>
      </x:c>
      <x:c r="AC51" s="57" t="str">
        <x:f>IF('制度詳細'!$H$15="",IF('制度詳細'!$J$15="","",IF(AND('制度詳細'!$J$15&gt;=AC$50,'制度詳細'!$J$15&lt;=EOMONTH(AC$50,0)),"◆","")),IF(MAX('制度詳細'!$H$15,AC$50)&lt;=MIN(IF('制度詳細'!$I$15="",EOMONTH(AC$50,0),'制度詳細'!$I$15),EOMONTH(AC$50,0)),"■",IF(AND('制度詳細'!$J$15&lt;&gt;"",'制度詳細'!$J$15&gt;=AC$50,'制度詳細'!$J$15&lt;=EOMONTH(AC$50,0)),"◆","")))</x:f>
      </x:c>
      <x:c r="AD51" s="57" t="str">
        <x:f>IF('制度詳細'!$H$15="",IF('制度詳細'!$J$15="","",IF(AND('制度詳細'!$J$15&gt;=AD$50,'制度詳細'!$J$15&lt;=EOMONTH(AD$50,0)),"◆","")),IF(MAX('制度詳細'!$H$15,AD$50)&lt;=MIN(IF('制度詳細'!$I$15="",EOMONTH(AD$50,0),'制度詳細'!$I$15),EOMONTH(AD$50,0)),"■",IF(AND('制度詳細'!$J$15&lt;&gt;"",'制度詳細'!$J$15&gt;=AD$50,'制度詳細'!$J$15&lt;=EOMONTH(AD$50,0)),"◆","")))</x:f>
      </x:c>
      <x:c r="AE51" s="57" t="str">
        <x:f>IF('制度詳細'!$H$15="",IF('制度詳細'!$J$15="","",IF(AND('制度詳細'!$J$15&gt;=AE$50,'制度詳細'!$J$15&lt;=EOMONTH(AE$50,0)),"◆","")),IF(MAX('制度詳細'!$H$15,AE$50)&lt;=MIN(IF('制度詳細'!$I$15="",EOMONTH(AE$50,0),'制度詳細'!$I$15),EOMONTH(AE$50,0)),"■",IF(AND('制度詳細'!$J$15&lt;&gt;"",'制度詳細'!$J$15&gt;=AE$50,'制度詳細'!$J$15&lt;=EOMONTH(AE$50,0)),"◆","")))</x:f>
      </x:c>
      <x:c r="AF51" s="57" t="str">
        <x:f>IF('制度詳細'!$H$15="",IF('制度詳細'!$J$15="","",IF(AND('制度詳細'!$J$15&gt;=AF$50,'制度詳細'!$J$15&lt;=EOMONTH(AF$50,0)),"◆","")),IF(MAX('制度詳細'!$H$15,AF$50)&lt;=MIN(IF('制度詳細'!$I$15="",EOMONTH(AF$50,0),'制度詳細'!$I$15),EOMONTH(AF$50,0)),"■",IF(AND('制度詳細'!$J$15&lt;&gt;"",'制度詳細'!$J$15&gt;=AF$50,'制度詳細'!$J$15&lt;=EOMONTH(AF$50,0)),"◆","")))</x:f>
      </x:c>
      <x:c r="AG51" s="57" t="str">
        <x:f>IF('制度詳細'!$H$15="",IF('制度詳細'!$J$15="","",IF(AND('制度詳細'!$J$15&gt;=AG$50,'制度詳細'!$J$15&lt;=EOMONTH(AG$50,0)),"◆","")),IF(MAX('制度詳細'!$H$15,AG$50)&lt;=MIN(IF('制度詳細'!$I$15="",EOMONTH(AG$50,0),'制度詳細'!$I$15),EOMONTH(AG$50,0)),"■",IF(AND('制度詳細'!$J$15&lt;&gt;"",'制度詳細'!$J$15&gt;=AG$50,'制度詳細'!$J$15&lt;=EOMONTH(AG$50,0)),"◆","")))</x:f>
      </x:c>
      <x:c r="AH51" s="57" t="str">
        <x:f>IF('制度詳細'!$H$15="",IF('制度詳細'!$J$15="","",IF(AND('制度詳細'!$J$15&gt;=AH$50,'制度詳細'!$J$15&lt;=EOMONTH(AH$50,0)),"◆","")),IF(MAX('制度詳細'!$H$15,AH$50)&lt;=MIN(IF('制度詳細'!$I$15="",EOMONTH(AH$50,0),'制度詳細'!$I$15),EOMONTH(AH$50,0)),"■",IF(AND('制度詳細'!$J$15&lt;&gt;"",'制度詳細'!$J$15&gt;=AH$50,'制度詳細'!$J$15&lt;=EOMONTH(AH$50,0)),"◆","")))</x:f>
      </x:c>
      <x:c r="AI51" s="57" t="str">
        <x:f>IF('制度詳細'!$H$15="",IF('制度詳細'!$J$15="","",IF(AND('制度詳細'!$J$15&gt;=AI$50,'制度詳細'!$J$15&lt;=EOMONTH(AI$50,0)),"◆","")),IF(MAX('制度詳細'!$H$15,AI$50)&lt;=MIN(IF('制度詳細'!$I$15="",EOMONTH(AI$50,0),'制度詳細'!$I$15),EOMONTH(AI$50,0)),"■",IF(AND('制度詳細'!$J$15&lt;&gt;"",'制度詳細'!$J$15&gt;=AI$50,'制度詳細'!$J$15&lt;=EOMONTH(AI$50,0)),"◆","")))</x:f>
      </x:c>
      <x:c r="AJ51" s="57" t="str">
        <x:f>IF('制度詳細'!$H$15="",IF('制度詳細'!$J$15="","",IF(AND('制度詳細'!$J$15&gt;=AJ$50,'制度詳細'!$J$15&lt;=EOMONTH(AJ$50,0)),"◆","")),IF(MAX('制度詳細'!$H$15,AJ$50)&lt;=MIN(IF('制度詳細'!$I$15="",EOMONTH(AJ$50,0),'制度詳細'!$I$15),EOMONTH(AJ$50,0)),"■",IF(AND('制度詳細'!$J$15&lt;&gt;"",'制度詳細'!$J$15&gt;=AJ$50,'制度詳細'!$J$15&lt;=EOMONTH(AJ$50,0)),"◆","")))</x:f>
      </x:c>
      <x:c r="AK51" s="57" t="str">
        <x:f>IF('制度詳細'!$H$15="",IF('制度詳細'!$J$15="","",IF(AND('制度詳細'!$J$15&gt;=AK$50,'制度詳細'!$J$15&lt;=EOMONTH(AK$50,0)),"◆","")),IF(MAX('制度詳細'!$H$15,AK$50)&lt;=MIN(IF('制度詳細'!$I$15="",EOMONTH(AK$50,0),'制度詳細'!$I$15),EOMONTH(AK$50,0)),"■",IF(AND('制度詳細'!$J$15&lt;&gt;"",'制度詳細'!$J$15&gt;=AK$50,'制度詳細'!$J$15&lt;=EOMONTH(AK$50,0)),"◆","")))</x:f>
      </x:c>
      <x:c r="AL51" s="57" t="str">
        <x:f>IF('制度詳細'!$H$15="",IF('制度詳細'!$J$15="","",IF(AND('制度詳細'!$J$15&gt;=AL$50,'制度詳細'!$J$15&lt;=EOMONTH(AL$50,0)),"◆","")),IF(MAX('制度詳細'!$H$15,AL$50)&lt;=MIN(IF('制度詳細'!$I$15="",EOMONTH(AL$50,0),'制度詳細'!$I$15),EOMONTH(AL$50,0)),"■",IF(AND('制度詳細'!$J$15&lt;&gt;"",'制度詳細'!$J$15&gt;=AL$50,'制度詳細'!$J$15&lt;=EOMONTH(AL$50,0)),"◆","")))</x:f>
      </x:c>
      <x:c r="AM51" s="57" t="str">
        <x:f>IF('制度詳細'!$H$15="",IF('制度詳細'!$J$15="","",IF(AND('制度詳細'!$J$15&gt;=AM$50,'制度詳細'!$J$15&lt;=EOMONTH(AM$50,0)),"◆","")),IF(MAX('制度詳細'!$H$15,AM$50)&lt;=MIN(IF('制度詳細'!$I$15="",EOMONTH(AM$50,0),'制度詳細'!$I$15),EOMONTH(AM$50,0)),"■",IF(AND('制度詳細'!$J$15&lt;&gt;"",'制度詳細'!$J$15&gt;=AM$50,'制度詳細'!$J$15&lt;=EOMONTH(AM$50,0)),"◆","")))</x:f>
      </x:c>
      <x:c r="AN51" s="57" t="str">
        <x:f>IF('制度詳細'!$H$15="",IF('制度詳細'!$J$15="","",IF(AND('制度詳細'!$J$15&gt;=AN$50,'制度詳細'!$J$15&lt;=EOMONTH(AN$50,0)),"◆","")),IF(MAX('制度詳細'!$H$15,AN$50)&lt;=MIN(IF('制度詳細'!$I$15="",EOMONTH(AN$50,0),'制度詳細'!$I$15),EOMONTH(AN$50,0)),"■",IF(AND('制度詳細'!$J$15&lt;&gt;"",'制度詳細'!$J$15&gt;=AN$50,'制度詳細'!$J$15&lt;=EOMONTH(AN$50,0)),"◆","")))</x:f>
      </x:c>
      <x:c r="AO51" s="57" t="str">
        <x:f>IF('制度詳細'!$H$15="",IF('制度詳細'!$J$15="","",IF(AND('制度詳細'!$J$15&gt;=AO$50,'制度詳細'!$J$15&lt;=EOMONTH(AO$50,0)),"◆","")),IF(MAX('制度詳細'!$H$15,AO$50)&lt;=MIN(IF('制度詳細'!$I$15="",EOMONTH(AO$50,0),'制度詳細'!$I$15),EOMONTH(AO$50,0)),"■",IF(AND('制度詳細'!$J$15&lt;&gt;"",'制度詳細'!$J$15&gt;=AO$50,'制度詳細'!$J$15&lt;=EOMONTH(AO$50,0)),"◆","")))</x:f>
      </x:c>
      <x:c r="AP51" s="57" t="str">
        <x:f>IF('制度詳細'!$H$15="",IF('制度詳細'!$J$15="","",IF(AND('制度詳細'!$J$15&gt;=AP$50,'制度詳細'!$J$15&lt;=EOMONTH(AP$50,0)),"◆","")),IF(MAX('制度詳細'!$H$15,AP$50)&lt;=MIN(IF('制度詳細'!$I$15="",EOMONTH(AP$50,0),'制度詳細'!$I$15),EOMONTH(AP$50,0)),"■",IF(AND('制度詳細'!$J$15&lt;&gt;"",'制度詳細'!$J$15&gt;=AP$50,'制度詳細'!$J$15&lt;=EOMONTH(AP$50,0)),"◆","")))</x:f>
      </x:c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</x:row>
    <x:row r="52" ht="30" customHeight="1">
      <x:c r="A52" s="59" t="str">
        <x:v>ID02 BEV：VAT政府負担2024</x:v>
      </x:c>
      <x:c r="B52" s="59"/>
      <x:c r="C52" s="59"/>
      <x:c r="D52" s="59"/>
      <x:c r="E52" s="59"/>
      <x:c r="F52" s="59"/>
      <x:c r="G52" s="57" t="str">
        <x:f>IF('制度詳細'!$H$16="",IF('制度詳細'!$J$16="","",IF(AND('制度詳細'!$J$16&gt;=G$50,'制度詳細'!$J$16&lt;=EOMONTH(G$50,0)),"◆","")),IF(MAX('制度詳細'!$H$16,G$50)&lt;=MIN(IF('制度詳細'!$I$16="",EOMONTH(G$50,0),'制度詳細'!$I$16),EOMONTH(G$50,0)),"■",IF(AND('制度詳細'!$J$16&lt;&gt;"",'制度詳細'!$J$16&gt;=G$50,'制度詳細'!$J$16&lt;=EOMONTH(G$50,0)),"◆","")))</x:f>
        <x:v>■</x:v>
      </x:c>
      <x:c r="H52" s="57" t="str">
        <x:f>IF('制度詳細'!$H$16="",IF('制度詳細'!$J$16="","",IF(AND('制度詳細'!$J$16&gt;=H$50,'制度詳細'!$J$16&lt;=EOMONTH(H$50,0)),"◆","")),IF(MAX('制度詳細'!$H$16,H$50)&lt;=MIN(IF('制度詳細'!$I$16="",EOMONTH(H$50,0),'制度詳細'!$I$16),EOMONTH(H$50,0)),"■",IF(AND('制度詳細'!$J$16&lt;&gt;"",'制度詳細'!$J$16&gt;=H$50,'制度詳細'!$J$16&lt;=EOMONTH(H$50,0)),"◆","")))</x:f>
        <x:v>■</x:v>
      </x:c>
      <x:c r="I52" s="57" t="str">
        <x:f>IF('制度詳細'!$H$16="",IF('制度詳細'!$J$16="","",IF(AND('制度詳細'!$J$16&gt;=I$50,'制度詳細'!$J$16&lt;=EOMONTH(I$50,0)),"◆","")),IF(MAX('制度詳細'!$H$16,I$50)&lt;=MIN(IF('制度詳細'!$I$16="",EOMONTH(I$50,0),'制度詳細'!$I$16),EOMONTH(I$50,0)),"■",IF(AND('制度詳細'!$J$16&lt;&gt;"",'制度詳細'!$J$16&gt;=I$50,'制度詳細'!$J$16&lt;=EOMONTH(I$50,0)),"◆","")))</x:f>
        <x:v>■</x:v>
      </x:c>
      <x:c r="J52" s="57" t="str">
        <x:f>IF('制度詳細'!$H$16="",IF('制度詳細'!$J$16="","",IF(AND('制度詳細'!$J$16&gt;=J$50,'制度詳細'!$J$16&lt;=EOMONTH(J$50,0)),"◆","")),IF(MAX('制度詳細'!$H$16,J$50)&lt;=MIN(IF('制度詳細'!$I$16="",EOMONTH(J$50,0),'制度詳細'!$I$16),EOMONTH(J$50,0)),"■",IF(AND('制度詳細'!$J$16&lt;&gt;"",'制度詳細'!$J$16&gt;=J$50,'制度詳細'!$J$16&lt;=EOMONTH(J$50,0)),"◆","")))</x:f>
        <x:v>■</x:v>
      </x:c>
      <x:c r="K52" s="57" t="str">
        <x:f>IF('制度詳細'!$H$16="",IF('制度詳細'!$J$16="","",IF(AND('制度詳細'!$J$16&gt;=K$50,'制度詳細'!$J$16&lt;=EOMONTH(K$50,0)),"◆","")),IF(MAX('制度詳細'!$H$16,K$50)&lt;=MIN(IF('制度詳細'!$I$16="",EOMONTH(K$50,0),'制度詳細'!$I$16),EOMONTH(K$50,0)),"■",IF(AND('制度詳細'!$J$16&lt;&gt;"",'制度詳細'!$J$16&gt;=K$50,'制度詳細'!$J$16&lt;=EOMONTH(K$50,0)),"◆","")))</x:f>
        <x:v>■</x:v>
      </x:c>
      <x:c r="L52" s="57" t="str">
        <x:f>IF('制度詳細'!$H$16="",IF('制度詳細'!$J$16="","",IF(AND('制度詳細'!$J$16&gt;=L$50,'制度詳細'!$J$16&lt;=EOMONTH(L$50,0)),"◆","")),IF(MAX('制度詳細'!$H$16,L$50)&lt;=MIN(IF('制度詳細'!$I$16="",EOMONTH(L$50,0),'制度詳細'!$I$16),EOMONTH(L$50,0)),"■",IF(AND('制度詳細'!$J$16&lt;&gt;"",'制度詳細'!$J$16&gt;=L$50,'制度詳細'!$J$16&lt;=EOMONTH(L$50,0)),"◆","")))</x:f>
        <x:v>■</x:v>
      </x:c>
      <x:c r="M52" s="57" t="str">
        <x:f>IF('制度詳細'!$H$16="",IF('制度詳細'!$J$16="","",IF(AND('制度詳細'!$J$16&gt;=M$50,'制度詳細'!$J$16&lt;=EOMONTH(M$50,0)),"◆","")),IF(MAX('制度詳細'!$H$16,M$50)&lt;=MIN(IF('制度詳細'!$I$16="",EOMONTH(M$50,0),'制度詳細'!$I$16),EOMONTH(M$50,0)),"■",IF(AND('制度詳細'!$J$16&lt;&gt;"",'制度詳細'!$J$16&gt;=M$50,'制度詳細'!$J$16&lt;=EOMONTH(M$50,0)),"◆","")))</x:f>
        <x:v>■</x:v>
      </x:c>
      <x:c r="N52" s="57" t="str">
        <x:f>IF('制度詳細'!$H$16="",IF('制度詳細'!$J$16="","",IF(AND('制度詳細'!$J$16&gt;=N$50,'制度詳細'!$J$16&lt;=EOMONTH(N$50,0)),"◆","")),IF(MAX('制度詳細'!$H$16,N$50)&lt;=MIN(IF('制度詳細'!$I$16="",EOMONTH(N$50,0),'制度詳細'!$I$16),EOMONTH(N$50,0)),"■",IF(AND('制度詳細'!$J$16&lt;&gt;"",'制度詳細'!$J$16&gt;=N$50,'制度詳細'!$J$16&lt;=EOMONTH(N$50,0)),"◆","")))</x:f>
        <x:v>■</x:v>
      </x:c>
      <x:c r="O52" s="57" t="str">
        <x:f>IF('制度詳細'!$H$16="",IF('制度詳細'!$J$16="","",IF(AND('制度詳細'!$J$16&gt;=O$50,'制度詳細'!$J$16&lt;=EOMONTH(O$50,0)),"◆","")),IF(MAX('制度詳細'!$H$16,O$50)&lt;=MIN(IF('制度詳細'!$I$16="",EOMONTH(O$50,0),'制度詳細'!$I$16),EOMONTH(O$50,0)),"■",IF(AND('制度詳細'!$J$16&lt;&gt;"",'制度詳細'!$J$16&gt;=O$50,'制度詳細'!$J$16&lt;=EOMONTH(O$50,0)),"◆","")))</x:f>
        <x:v>■</x:v>
      </x:c>
      <x:c r="P52" s="57" t="str">
        <x:f>IF('制度詳細'!$H$16="",IF('制度詳細'!$J$16="","",IF(AND('制度詳細'!$J$16&gt;=P$50,'制度詳細'!$J$16&lt;=EOMONTH(P$50,0)),"◆","")),IF(MAX('制度詳細'!$H$16,P$50)&lt;=MIN(IF('制度詳細'!$I$16="",EOMONTH(P$50,0),'制度詳細'!$I$16),EOMONTH(P$50,0)),"■",IF(AND('制度詳細'!$J$16&lt;&gt;"",'制度詳細'!$J$16&gt;=P$50,'制度詳細'!$J$16&lt;=EOMONTH(P$50,0)),"◆","")))</x:f>
        <x:v>■</x:v>
      </x:c>
      <x:c r="Q52" s="57" t="str">
        <x:f>IF('制度詳細'!$H$16="",IF('制度詳細'!$J$16="","",IF(AND('制度詳細'!$J$16&gt;=Q$50,'制度詳細'!$J$16&lt;=EOMONTH(Q$50,0)),"◆","")),IF(MAX('制度詳細'!$H$16,Q$50)&lt;=MIN(IF('制度詳細'!$I$16="",EOMONTH(Q$50,0),'制度詳細'!$I$16),EOMONTH(Q$50,0)),"■",IF(AND('制度詳細'!$J$16&lt;&gt;"",'制度詳細'!$J$16&gt;=Q$50,'制度詳細'!$J$16&lt;=EOMONTH(Q$50,0)),"◆","")))</x:f>
        <x:v>■</x:v>
      </x:c>
      <x:c r="R52" s="57" t="str">
        <x:f>IF('制度詳細'!$H$16="",IF('制度詳細'!$J$16="","",IF(AND('制度詳細'!$J$16&gt;=R$50,'制度詳細'!$J$16&lt;=EOMONTH(R$50,0)),"◆","")),IF(MAX('制度詳細'!$H$16,R$50)&lt;=MIN(IF('制度詳細'!$I$16="",EOMONTH(R$50,0),'制度詳細'!$I$16),EOMONTH(R$50,0)),"■",IF(AND('制度詳細'!$J$16&lt;&gt;"",'制度詳細'!$J$16&gt;=R$50,'制度詳細'!$J$16&lt;=EOMONTH(R$50,0)),"◆","")))</x:f>
        <x:v>■</x:v>
      </x:c>
      <x:c r="S52" s="57" t="str">
        <x:f>IF('制度詳細'!$H$16="",IF('制度詳細'!$J$16="","",IF(AND('制度詳細'!$J$16&gt;=S$50,'制度詳細'!$J$16&lt;=EOMONTH(S$50,0)),"◆","")),IF(MAX('制度詳細'!$H$16,S$50)&lt;=MIN(IF('制度詳細'!$I$16="",EOMONTH(S$50,0),'制度詳細'!$I$16),EOMONTH(S$50,0)),"■",IF(AND('制度詳細'!$J$16&lt;&gt;"",'制度詳細'!$J$16&gt;=S$50,'制度詳細'!$J$16&lt;=EOMONTH(S$50,0)),"◆","")))</x:f>
      </x:c>
      <x:c r="T52" s="57" t="str">
        <x:f>IF('制度詳細'!$H$16="",IF('制度詳細'!$J$16="","",IF(AND('制度詳細'!$J$16&gt;=T$50,'制度詳細'!$J$16&lt;=EOMONTH(T$50,0)),"◆","")),IF(MAX('制度詳細'!$H$16,T$50)&lt;=MIN(IF('制度詳細'!$I$16="",EOMONTH(T$50,0),'制度詳細'!$I$16),EOMONTH(T$50,0)),"■",IF(AND('制度詳細'!$J$16&lt;&gt;"",'制度詳細'!$J$16&gt;=T$50,'制度詳細'!$J$16&lt;=EOMONTH(T$50,0)),"◆","")))</x:f>
      </x:c>
      <x:c r="U52" s="57" t="str">
        <x:f>IF('制度詳細'!$H$16="",IF('制度詳細'!$J$16="","",IF(AND('制度詳細'!$J$16&gt;=U$50,'制度詳細'!$J$16&lt;=EOMONTH(U$50,0)),"◆","")),IF(MAX('制度詳細'!$H$16,U$50)&lt;=MIN(IF('制度詳細'!$I$16="",EOMONTH(U$50,0),'制度詳細'!$I$16),EOMONTH(U$50,0)),"■",IF(AND('制度詳細'!$J$16&lt;&gt;"",'制度詳細'!$J$16&gt;=U$50,'制度詳細'!$J$16&lt;=EOMONTH(U$50,0)),"◆","")))</x:f>
      </x:c>
      <x:c r="V52" s="57" t="str">
        <x:f>IF('制度詳細'!$H$16="",IF('制度詳細'!$J$16="","",IF(AND('制度詳細'!$J$16&gt;=V$50,'制度詳細'!$J$16&lt;=EOMONTH(V$50,0)),"◆","")),IF(MAX('制度詳細'!$H$16,V$50)&lt;=MIN(IF('制度詳細'!$I$16="",EOMONTH(V$50,0),'制度詳細'!$I$16),EOMONTH(V$50,0)),"■",IF(AND('制度詳細'!$J$16&lt;&gt;"",'制度詳細'!$J$16&gt;=V$50,'制度詳細'!$J$16&lt;=EOMONTH(V$50,0)),"◆","")))</x:f>
      </x:c>
      <x:c r="W52" s="57" t="str">
        <x:f>IF('制度詳細'!$H$16="",IF('制度詳細'!$J$16="","",IF(AND('制度詳細'!$J$16&gt;=W$50,'制度詳細'!$J$16&lt;=EOMONTH(W$50,0)),"◆","")),IF(MAX('制度詳細'!$H$16,W$50)&lt;=MIN(IF('制度詳細'!$I$16="",EOMONTH(W$50,0),'制度詳細'!$I$16),EOMONTH(W$50,0)),"■",IF(AND('制度詳細'!$J$16&lt;&gt;"",'制度詳細'!$J$16&gt;=W$50,'制度詳細'!$J$16&lt;=EOMONTH(W$50,0)),"◆","")))</x:f>
      </x:c>
      <x:c r="X52" s="57" t="str">
        <x:f>IF('制度詳細'!$H$16="",IF('制度詳細'!$J$16="","",IF(AND('制度詳細'!$J$16&gt;=X$50,'制度詳細'!$J$16&lt;=EOMONTH(X$50,0)),"◆","")),IF(MAX('制度詳細'!$H$16,X$50)&lt;=MIN(IF('制度詳細'!$I$16="",EOMONTH(X$50,0),'制度詳細'!$I$16),EOMONTH(X$50,0)),"■",IF(AND('制度詳細'!$J$16&lt;&gt;"",'制度詳細'!$J$16&gt;=X$50,'制度詳細'!$J$16&lt;=EOMONTH(X$50,0)),"◆","")))</x:f>
      </x:c>
      <x:c r="Y52" s="57" t="str">
        <x:f>IF('制度詳細'!$H$16="",IF('制度詳細'!$J$16="","",IF(AND('制度詳細'!$J$16&gt;=Y$50,'制度詳細'!$J$16&lt;=EOMONTH(Y$50,0)),"◆","")),IF(MAX('制度詳細'!$H$16,Y$50)&lt;=MIN(IF('制度詳細'!$I$16="",EOMONTH(Y$50,0),'制度詳細'!$I$16),EOMONTH(Y$50,0)),"■",IF(AND('制度詳細'!$J$16&lt;&gt;"",'制度詳細'!$J$16&gt;=Y$50,'制度詳細'!$J$16&lt;=EOMONTH(Y$50,0)),"◆","")))</x:f>
      </x:c>
      <x:c r="Z52" s="57" t="str">
        <x:f>IF('制度詳細'!$H$16="",IF('制度詳細'!$J$16="","",IF(AND('制度詳細'!$J$16&gt;=Z$50,'制度詳細'!$J$16&lt;=EOMONTH(Z$50,0)),"◆","")),IF(MAX('制度詳細'!$H$16,Z$50)&lt;=MIN(IF('制度詳細'!$I$16="",EOMONTH(Z$50,0),'制度詳細'!$I$16),EOMONTH(Z$50,0)),"■",IF(AND('制度詳細'!$J$16&lt;&gt;"",'制度詳細'!$J$16&gt;=Z$50,'制度詳細'!$J$16&lt;=EOMONTH(Z$50,0)),"◆","")))</x:f>
      </x:c>
      <x:c r="AA52" s="57" t="str">
        <x:f>IF('制度詳細'!$H$16="",IF('制度詳細'!$J$16="","",IF(AND('制度詳細'!$J$16&gt;=AA$50,'制度詳細'!$J$16&lt;=EOMONTH(AA$50,0)),"◆","")),IF(MAX('制度詳細'!$H$16,AA$50)&lt;=MIN(IF('制度詳細'!$I$16="",EOMONTH(AA$50,0),'制度詳細'!$I$16),EOMONTH(AA$50,0)),"■",IF(AND('制度詳細'!$J$16&lt;&gt;"",'制度詳細'!$J$16&gt;=AA$50,'制度詳細'!$J$16&lt;=EOMONTH(AA$50,0)),"◆","")))</x:f>
      </x:c>
      <x:c r="AB52" s="57" t="str">
        <x:f>IF('制度詳細'!$H$16="",IF('制度詳細'!$J$16="","",IF(AND('制度詳細'!$J$16&gt;=AB$50,'制度詳細'!$J$16&lt;=EOMONTH(AB$50,0)),"◆","")),IF(MAX('制度詳細'!$H$16,AB$50)&lt;=MIN(IF('制度詳細'!$I$16="",EOMONTH(AB$50,0),'制度詳細'!$I$16),EOMONTH(AB$50,0)),"■",IF(AND('制度詳細'!$J$16&lt;&gt;"",'制度詳細'!$J$16&gt;=AB$50,'制度詳細'!$J$16&lt;=EOMONTH(AB$50,0)),"◆","")))</x:f>
      </x:c>
      <x:c r="AC52" s="57" t="str">
        <x:f>IF('制度詳細'!$H$16="",IF('制度詳細'!$J$16="","",IF(AND('制度詳細'!$J$16&gt;=AC$50,'制度詳細'!$J$16&lt;=EOMONTH(AC$50,0)),"◆","")),IF(MAX('制度詳細'!$H$16,AC$50)&lt;=MIN(IF('制度詳細'!$I$16="",EOMONTH(AC$50,0),'制度詳細'!$I$16),EOMONTH(AC$50,0)),"■",IF(AND('制度詳細'!$J$16&lt;&gt;"",'制度詳細'!$J$16&gt;=AC$50,'制度詳細'!$J$16&lt;=EOMONTH(AC$50,0)),"◆","")))</x:f>
      </x:c>
      <x:c r="AD52" s="57" t="str">
        <x:f>IF('制度詳細'!$H$16="",IF('制度詳細'!$J$16="","",IF(AND('制度詳細'!$J$16&gt;=AD$50,'制度詳細'!$J$16&lt;=EOMONTH(AD$50,0)),"◆","")),IF(MAX('制度詳細'!$H$16,AD$50)&lt;=MIN(IF('制度詳細'!$I$16="",EOMONTH(AD$50,0),'制度詳細'!$I$16),EOMONTH(AD$50,0)),"■",IF(AND('制度詳細'!$J$16&lt;&gt;"",'制度詳細'!$J$16&gt;=AD$50,'制度詳細'!$J$16&lt;=EOMONTH(AD$50,0)),"◆","")))</x:f>
      </x:c>
      <x:c r="AE52" s="57" t="str">
        <x:f>IF('制度詳細'!$H$16="",IF('制度詳細'!$J$16="","",IF(AND('制度詳細'!$J$16&gt;=AE$50,'制度詳細'!$J$16&lt;=EOMONTH(AE$50,0)),"◆","")),IF(MAX('制度詳細'!$H$16,AE$50)&lt;=MIN(IF('制度詳細'!$I$16="",EOMONTH(AE$50,0),'制度詳細'!$I$16),EOMONTH(AE$50,0)),"■",IF(AND('制度詳細'!$J$16&lt;&gt;"",'制度詳細'!$J$16&gt;=AE$50,'制度詳細'!$J$16&lt;=EOMONTH(AE$50,0)),"◆","")))</x:f>
      </x:c>
      <x:c r="AF52" s="57" t="str">
        <x:f>IF('制度詳細'!$H$16="",IF('制度詳細'!$J$16="","",IF(AND('制度詳細'!$J$16&gt;=AF$50,'制度詳細'!$J$16&lt;=EOMONTH(AF$50,0)),"◆","")),IF(MAX('制度詳細'!$H$16,AF$50)&lt;=MIN(IF('制度詳細'!$I$16="",EOMONTH(AF$50,0),'制度詳細'!$I$16),EOMONTH(AF$50,0)),"■",IF(AND('制度詳細'!$J$16&lt;&gt;"",'制度詳細'!$J$16&gt;=AF$50,'制度詳細'!$J$16&lt;=EOMONTH(AF$50,0)),"◆","")))</x:f>
      </x:c>
      <x:c r="AG52" s="57" t="str">
        <x:f>IF('制度詳細'!$H$16="",IF('制度詳細'!$J$16="","",IF(AND('制度詳細'!$J$16&gt;=AG$50,'制度詳細'!$J$16&lt;=EOMONTH(AG$50,0)),"◆","")),IF(MAX('制度詳細'!$H$16,AG$50)&lt;=MIN(IF('制度詳細'!$I$16="",EOMONTH(AG$50,0),'制度詳細'!$I$16),EOMONTH(AG$50,0)),"■",IF(AND('制度詳細'!$J$16&lt;&gt;"",'制度詳細'!$J$16&gt;=AG$50,'制度詳細'!$J$16&lt;=EOMONTH(AG$50,0)),"◆","")))</x:f>
      </x:c>
      <x:c r="AH52" s="57" t="str">
        <x:f>IF('制度詳細'!$H$16="",IF('制度詳細'!$J$16="","",IF(AND('制度詳細'!$J$16&gt;=AH$50,'制度詳細'!$J$16&lt;=EOMONTH(AH$50,0)),"◆","")),IF(MAX('制度詳細'!$H$16,AH$50)&lt;=MIN(IF('制度詳細'!$I$16="",EOMONTH(AH$50,0),'制度詳細'!$I$16),EOMONTH(AH$50,0)),"■",IF(AND('制度詳細'!$J$16&lt;&gt;"",'制度詳細'!$J$16&gt;=AH$50,'制度詳細'!$J$16&lt;=EOMONTH(AH$50,0)),"◆","")))</x:f>
      </x:c>
      <x:c r="AI52" s="57" t="str">
        <x:f>IF('制度詳細'!$H$16="",IF('制度詳細'!$J$16="","",IF(AND('制度詳細'!$J$16&gt;=AI$50,'制度詳細'!$J$16&lt;=EOMONTH(AI$50,0)),"◆","")),IF(MAX('制度詳細'!$H$16,AI$50)&lt;=MIN(IF('制度詳細'!$I$16="",EOMONTH(AI$50,0),'制度詳細'!$I$16),EOMONTH(AI$50,0)),"■",IF(AND('制度詳細'!$J$16&lt;&gt;"",'制度詳細'!$J$16&gt;=AI$50,'制度詳細'!$J$16&lt;=EOMONTH(AI$50,0)),"◆","")))</x:f>
      </x:c>
      <x:c r="AJ52" s="57" t="str">
        <x:f>IF('制度詳細'!$H$16="",IF('制度詳細'!$J$16="","",IF(AND('制度詳細'!$J$16&gt;=AJ$50,'制度詳細'!$J$16&lt;=EOMONTH(AJ$50,0)),"◆","")),IF(MAX('制度詳細'!$H$16,AJ$50)&lt;=MIN(IF('制度詳細'!$I$16="",EOMONTH(AJ$50,0),'制度詳細'!$I$16),EOMONTH(AJ$50,0)),"■",IF(AND('制度詳細'!$J$16&lt;&gt;"",'制度詳細'!$J$16&gt;=AJ$50,'制度詳細'!$J$16&lt;=EOMONTH(AJ$50,0)),"◆","")))</x:f>
      </x:c>
      <x:c r="AK52" s="57" t="str">
        <x:f>IF('制度詳細'!$H$16="",IF('制度詳細'!$J$16="","",IF(AND('制度詳細'!$J$16&gt;=AK$50,'制度詳細'!$J$16&lt;=EOMONTH(AK$50,0)),"◆","")),IF(MAX('制度詳細'!$H$16,AK$50)&lt;=MIN(IF('制度詳細'!$I$16="",EOMONTH(AK$50,0),'制度詳細'!$I$16),EOMONTH(AK$50,0)),"■",IF(AND('制度詳細'!$J$16&lt;&gt;"",'制度詳細'!$J$16&gt;=AK$50,'制度詳細'!$J$16&lt;=EOMONTH(AK$50,0)),"◆","")))</x:f>
      </x:c>
      <x:c r="AL52" s="57" t="str">
        <x:f>IF('制度詳細'!$H$16="",IF('制度詳細'!$J$16="","",IF(AND('制度詳細'!$J$16&gt;=AL$50,'制度詳細'!$J$16&lt;=EOMONTH(AL$50,0)),"◆","")),IF(MAX('制度詳細'!$H$16,AL$50)&lt;=MIN(IF('制度詳細'!$I$16="",EOMONTH(AL$50,0),'制度詳細'!$I$16),EOMONTH(AL$50,0)),"■",IF(AND('制度詳細'!$J$16&lt;&gt;"",'制度詳細'!$J$16&gt;=AL$50,'制度詳細'!$J$16&lt;=EOMONTH(AL$50,0)),"◆","")))</x:f>
      </x:c>
      <x:c r="AM52" s="57" t="str">
        <x:f>IF('制度詳細'!$H$16="",IF('制度詳細'!$J$16="","",IF(AND('制度詳細'!$J$16&gt;=AM$50,'制度詳細'!$J$16&lt;=EOMONTH(AM$50,0)),"◆","")),IF(MAX('制度詳細'!$H$16,AM$50)&lt;=MIN(IF('制度詳細'!$I$16="",EOMONTH(AM$50,0),'制度詳細'!$I$16),EOMONTH(AM$50,0)),"■",IF(AND('制度詳細'!$J$16&lt;&gt;"",'制度詳細'!$J$16&gt;=AM$50,'制度詳細'!$J$16&lt;=EOMONTH(AM$50,0)),"◆","")))</x:f>
      </x:c>
      <x:c r="AN52" s="57" t="str">
        <x:f>IF('制度詳細'!$H$16="",IF('制度詳細'!$J$16="","",IF(AND('制度詳細'!$J$16&gt;=AN$50,'制度詳細'!$J$16&lt;=EOMONTH(AN$50,0)),"◆","")),IF(MAX('制度詳細'!$H$16,AN$50)&lt;=MIN(IF('制度詳細'!$I$16="",EOMONTH(AN$50,0),'制度詳細'!$I$16),EOMONTH(AN$50,0)),"■",IF(AND('制度詳細'!$J$16&lt;&gt;"",'制度詳細'!$J$16&gt;=AN$50,'制度詳細'!$J$16&lt;=EOMONTH(AN$50,0)),"◆","")))</x:f>
      </x:c>
      <x:c r="AO52" s="57" t="str">
        <x:f>IF('制度詳細'!$H$16="",IF('制度詳細'!$J$16="","",IF(AND('制度詳細'!$J$16&gt;=AO$50,'制度詳細'!$J$16&lt;=EOMONTH(AO$50,0)),"◆","")),IF(MAX('制度詳細'!$H$16,AO$50)&lt;=MIN(IF('制度詳細'!$I$16="",EOMONTH(AO$50,0),'制度詳細'!$I$16),EOMONTH(AO$50,0)),"■",IF(AND('制度詳細'!$J$16&lt;&gt;"",'制度詳細'!$J$16&gt;=AO$50,'制度詳細'!$J$16&lt;=EOMONTH(AO$50,0)),"◆","")))</x:f>
      </x:c>
      <x:c r="AP52" s="57" t="str">
        <x:f>IF('制度詳細'!$H$16="",IF('制度詳細'!$J$16="","",IF(AND('制度詳細'!$J$16&gt;=AP$50,'制度詳細'!$J$16&lt;=EOMONTH(AP$50,0)),"◆","")),IF(MAX('制度詳細'!$H$16,AP$50)&lt;=MIN(IF('制度詳細'!$I$16="",EOMONTH(AP$50,0),'制度詳細'!$I$16),EOMONTH(AP$50,0)),"■",IF(AND('制度詳細'!$J$16&lt;&gt;"",'制度詳細'!$J$16&gt;=AP$50,'制度詳細'!$J$16&lt;=EOMONTH(AP$50,0)),"◆","")))</x:f>
      </x:c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</x:row>
    <x:row r="53" ht="30" customHeight="1">
      <x:c r="A53" s="54" t="str">
        <x:v>ID03 BEV：VAT政府負担2025</x:v>
      </x:c>
      <x:c r="B53" s="54"/>
      <x:c r="C53" s="54"/>
      <x:c r="D53" s="54"/>
      <x:c r="E53" s="54"/>
      <x:c r="F53" s="54"/>
      <x:c r="G53" s="57" t="str">
        <x:f>IF('制度詳細'!$H$17="",IF('制度詳細'!$J$17="","",IF(AND('制度詳細'!$J$17&gt;=G$50,'制度詳細'!$J$17&lt;=EOMONTH(G$50,0)),"◆","")),IF(MAX('制度詳細'!$H$17,G$50)&lt;=MIN(IF('制度詳細'!$I$17="",EOMONTH(G$50,0),'制度詳細'!$I$17),EOMONTH(G$50,0)),"■",IF(AND('制度詳細'!$J$17&lt;&gt;"",'制度詳細'!$J$17&gt;=G$50,'制度詳細'!$J$17&lt;=EOMONTH(G$50,0)),"◆","")))</x:f>
      </x:c>
      <x:c r="H53" s="57" t="str">
        <x:f>IF('制度詳細'!$H$17="",IF('制度詳細'!$J$17="","",IF(AND('制度詳細'!$J$17&gt;=H$50,'制度詳細'!$J$17&lt;=EOMONTH(H$50,0)),"◆","")),IF(MAX('制度詳細'!$H$17,H$50)&lt;=MIN(IF('制度詳細'!$I$17="",EOMONTH(H$50,0),'制度詳細'!$I$17),EOMONTH(H$50,0)),"■",IF(AND('制度詳細'!$J$17&lt;&gt;"",'制度詳細'!$J$17&gt;=H$50,'制度詳細'!$J$17&lt;=EOMONTH(H$50,0)),"◆","")))</x:f>
      </x:c>
      <x:c r="I53" s="57" t="str">
        <x:f>IF('制度詳細'!$H$17="",IF('制度詳細'!$J$17="","",IF(AND('制度詳細'!$J$17&gt;=I$50,'制度詳細'!$J$17&lt;=EOMONTH(I$50,0)),"◆","")),IF(MAX('制度詳細'!$H$17,I$50)&lt;=MIN(IF('制度詳細'!$I$17="",EOMONTH(I$50,0),'制度詳細'!$I$17),EOMONTH(I$50,0)),"■",IF(AND('制度詳細'!$J$17&lt;&gt;"",'制度詳細'!$J$17&gt;=I$50,'制度詳細'!$J$17&lt;=EOMONTH(I$50,0)),"◆","")))</x:f>
      </x:c>
      <x:c r="J53" s="57" t="str">
        <x:f>IF('制度詳細'!$H$17="",IF('制度詳細'!$J$17="","",IF(AND('制度詳細'!$J$17&gt;=J$50,'制度詳細'!$J$17&lt;=EOMONTH(J$50,0)),"◆","")),IF(MAX('制度詳細'!$H$17,J$50)&lt;=MIN(IF('制度詳細'!$I$17="",EOMONTH(J$50,0),'制度詳細'!$I$17),EOMONTH(J$50,0)),"■",IF(AND('制度詳細'!$J$17&lt;&gt;"",'制度詳細'!$J$17&gt;=J$50,'制度詳細'!$J$17&lt;=EOMONTH(J$50,0)),"◆","")))</x:f>
      </x:c>
      <x:c r="K53" s="57" t="str">
        <x:f>IF('制度詳細'!$H$17="",IF('制度詳細'!$J$17="","",IF(AND('制度詳細'!$J$17&gt;=K$50,'制度詳細'!$J$17&lt;=EOMONTH(K$50,0)),"◆","")),IF(MAX('制度詳細'!$H$17,K$50)&lt;=MIN(IF('制度詳細'!$I$17="",EOMONTH(K$50,0),'制度詳細'!$I$17),EOMONTH(K$50,0)),"■",IF(AND('制度詳細'!$J$17&lt;&gt;"",'制度詳細'!$J$17&gt;=K$50,'制度詳細'!$J$17&lt;=EOMONTH(K$50,0)),"◆","")))</x:f>
      </x:c>
      <x:c r="L53" s="57" t="str">
        <x:f>IF('制度詳細'!$H$17="",IF('制度詳細'!$J$17="","",IF(AND('制度詳細'!$J$17&gt;=L$50,'制度詳細'!$J$17&lt;=EOMONTH(L$50,0)),"◆","")),IF(MAX('制度詳細'!$H$17,L$50)&lt;=MIN(IF('制度詳細'!$I$17="",EOMONTH(L$50,0),'制度詳細'!$I$17),EOMONTH(L$50,0)),"■",IF(AND('制度詳細'!$J$17&lt;&gt;"",'制度詳細'!$J$17&gt;=L$50,'制度詳細'!$J$17&lt;=EOMONTH(L$50,0)),"◆","")))</x:f>
      </x:c>
      <x:c r="M53" s="57" t="str">
        <x:f>IF('制度詳細'!$H$17="",IF('制度詳細'!$J$17="","",IF(AND('制度詳細'!$J$17&gt;=M$50,'制度詳細'!$J$17&lt;=EOMONTH(M$50,0)),"◆","")),IF(MAX('制度詳細'!$H$17,M$50)&lt;=MIN(IF('制度詳細'!$I$17="",EOMONTH(M$50,0),'制度詳細'!$I$17),EOMONTH(M$50,0)),"■",IF(AND('制度詳細'!$J$17&lt;&gt;"",'制度詳細'!$J$17&gt;=M$50,'制度詳細'!$J$17&lt;=EOMONTH(M$50,0)),"◆","")))</x:f>
      </x:c>
      <x:c r="N53" s="57" t="str">
        <x:f>IF('制度詳細'!$H$17="",IF('制度詳細'!$J$17="","",IF(AND('制度詳細'!$J$17&gt;=N$50,'制度詳細'!$J$17&lt;=EOMONTH(N$50,0)),"◆","")),IF(MAX('制度詳細'!$H$17,N$50)&lt;=MIN(IF('制度詳細'!$I$17="",EOMONTH(N$50,0),'制度詳細'!$I$17),EOMONTH(N$50,0)),"■",IF(AND('制度詳細'!$J$17&lt;&gt;"",'制度詳細'!$J$17&gt;=N$50,'制度詳細'!$J$17&lt;=EOMONTH(N$50,0)),"◆","")))</x:f>
      </x:c>
      <x:c r="O53" s="57" t="str">
        <x:f>IF('制度詳細'!$H$17="",IF('制度詳細'!$J$17="","",IF(AND('制度詳細'!$J$17&gt;=O$50,'制度詳細'!$J$17&lt;=EOMONTH(O$50,0)),"◆","")),IF(MAX('制度詳細'!$H$17,O$50)&lt;=MIN(IF('制度詳細'!$I$17="",EOMONTH(O$50,0),'制度詳細'!$I$17),EOMONTH(O$50,0)),"■",IF(AND('制度詳細'!$J$17&lt;&gt;"",'制度詳細'!$J$17&gt;=O$50,'制度詳細'!$J$17&lt;=EOMONTH(O$50,0)),"◆","")))</x:f>
      </x:c>
      <x:c r="P53" s="57" t="str">
        <x:f>IF('制度詳細'!$H$17="",IF('制度詳細'!$J$17="","",IF(AND('制度詳細'!$J$17&gt;=P$50,'制度詳細'!$J$17&lt;=EOMONTH(P$50,0)),"◆","")),IF(MAX('制度詳細'!$H$17,P$50)&lt;=MIN(IF('制度詳細'!$I$17="",EOMONTH(P$50,0),'制度詳細'!$I$17),EOMONTH(P$50,0)),"■",IF(AND('制度詳細'!$J$17&lt;&gt;"",'制度詳細'!$J$17&gt;=P$50,'制度詳細'!$J$17&lt;=EOMONTH(P$50,0)),"◆","")))</x:f>
      </x:c>
      <x:c r="Q53" s="57" t="str">
        <x:f>IF('制度詳細'!$H$17="",IF('制度詳細'!$J$17="","",IF(AND('制度詳細'!$J$17&gt;=Q$50,'制度詳細'!$J$17&lt;=EOMONTH(Q$50,0)),"◆","")),IF(MAX('制度詳細'!$H$17,Q$50)&lt;=MIN(IF('制度詳細'!$I$17="",EOMONTH(Q$50,0),'制度詳細'!$I$17),EOMONTH(Q$50,0)),"■",IF(AND('制度詳細'!$J$17&lt;&gt;"",'制度詳細'!$J$17&gt;=Q$50,'制度詳細'!$J$17&lt;=EOMONTH(Q$50,0)),"◆","")))</x:f>
      </x:c>
      <x:c r="R53" s="57" t="str">
        <x:f>IF('制度詳細'!$H$17="",IF('制度詳細'!$J$17="","",IF(AND('制度詳細'!$J$17&gt;=R$50,'制度詳細'!$J$17&lt;=EOMONTH(R$50,0)),"◆","")),IF(MAX('制度詳細'!$H$17,R$50)&lt;=MIN(IF('制度詳細'!$I$17="",EOMONTH(R$50,0),'制度詳細'!$I$17),EOMONTH(R$50,0)),"■",IF(AND('制度詳細'!$J$17&lt;&gt;"",'制度詳細'!$J$17&gt;=R$50,'制度詳細'!$J$17&lt;=EOMONTH(R$50,0)),"◆","")))</x:f>
      </x:c>
      <x:c r="S53" s="57" t="str">
        <x:f>IF('制度詳細'!$H$17="",IF('制度詳細'!$J$17="","",IF(AND('制度詳細'!$J$17&gt;=S$50,'制度詳細'!$J$17&lt;=EOMONTH(S$50,0)),"◆","")),IF(MAX('制度詳細'!$H$17,S$50)&lt;=MIN(IF('制度詳細'!$I$17="",EOMONTH(S$50,0),'制度詳細'!$I$17),EOMONTH(S$50,0)),"■",IF(AND('制度詳細'!$J$17&lt;&gt;"",'制度詳細'!$J$17&gt;=S$50,'制度詳細'!$J$17&lt;=EOMONTH(S$50,0)),"◆","")))</x:f>
        <x:v>■</x:v>
      </x:c>
      <x:c r="T53" s="57" t="str">
        <x:f>IF('制度詳細'!$H$17="",IF('制度詳細'!$J$17="","",IF(AND('制度詳細'!$J$17&gt;=T$50,'制度詳細'!$J$17&lt;=EOMONTH(T$50,0)),"◆","")),IF(MAX('制度詳細'!$H$17,T$50)&lt;=MIN(IF('制度詳細'!$I$17="",EOMONTH(T$50,0),'制度詳細'!$I$17),EOMONTH(T$50,0)),"■",IF(AND('制度詳細'!$J$17&lt;&gt;"",'制度詳細'!$J$17&gt;=T$50,'制度詳細'!$J$17&lt;=EOMONTH(T$50,0)),"◆","")))</x:f>
        <x:v>■</x:v>
      </x:c>
      <x:c r="U53" s="57" t="str">
        <x:f>IF('制度詳細'!$H$17="",IF('制度詳細'!$J$17="","",IF(AND('制度詳細'!$J$17&gt;=U$50,'制度詳細'!$J$17&lt;=EOMONTH(U$50,0)),"◆","")),IF(MAX('制度詳細'!$H$17,U$50)&lt;=MIN(IF('制度詳細'!$I$17="",EOMONTH(U$50,0),'制度詳細'!$I$17),EOMONTH(U$50,0)),"■",IF(AND('制度詳細'!$J$17&lt;&gt;"",'制度詳細'!$J$17&gt;=U$50,'制度詳細'!$J$17&lt;=EOMONTH(U$50,0)),"◆","")))</x:f>
        <x:v>■</x:v>
      </x:c>
      <x:c r="V53" s="57" t="str">
        <x:f>IF('制度詳細'!$H$17="",IF('制度詳細'!$J$17="","",IF(AND('制度詳細'!$J$17&gt;=V$50,'制度詳細'!$J$17&lt;=EOMONTH(V$50,0)),"◆","")),IF(MAX('制度詳細'!$H$17,V$50)&lt;=MIN(IF('制度詳細'!$I$17="",EOMONTH(V$50,0),'制度詳細'!$I$17),EOMONTH(V$50,0)),"■",IF(AND('制度詳細'!$J$17&lt;&gt;"",'制度詳細'!$J$17&gt;=V$50,'制度詳細'!$J$17&lt;=EOMONTH(V$50,0)),"◆","")))</x:f>
        <x:v>■</x:v>
      </x:c>
      <x:c r="W53" s="57" t="str">
        <x:f>IF('制度詳細'!$H$17="",IF('制度詳細'!$J$17="","",IF(AND('制度詳細'!$J$17&gt;=W$50,'制度詳細'!$J$17&lt;=EOMONTH(W$50,0)),"◆","")),IF(MAX('制度詳細'!$H$17,W$50)&lt;=MIN(IF('制度詳細'!$I$17="",EOMONTH(W$50,0),'制度詳細'!$I$17),EOMONTH(W$50,0)),"■",IF(AND('制度詳細'!$J$17&lt;&gt;"",'制度詳細'!$J$17&gt;=W$50,'制度詳細'!$J$17&lt;=EOMONTH(W$50,0)),"◆","")))</x:f>
        <x:v>■</x:v>
      </x:c>
      <x:c r="X53" s="57" t="str">
        <x:f>IF('制度詳細'!$H$17="",IF('制度詳細'!$J$17="","",IF(AND('制度詳細'!$J$17&gt;=X$50,'制度詳細'!$J$17&lt;=EOMONTH(X$50,0)),"◆","")),IF(MAX('制度詳細'!$H$17,X$50)&lt;=MIN(IF('制度詳細'!$I$17="",EOMONTH(X$50,0),'制度詳細'!$I$17),EOMONTH(X$50,0)),"■",IF(AND('制度詳細'!$J$17&lt;&gt;"",'制度詳細'!$J$17&gt;=X$50,'制度詳細'!$J$17&lt;=EOMONTH(X$50,0)),"◆","")))</x:f>
        <x:v>■</x:v>
      </x:c>
      <x:c r="Y53" s="57" t="str">
        <x:f>IF('制度詳細'!$H$17="",IF('制度詳細'!$J$17="","",IF(AND('制度詳細'!$J$17&gt;=Y$50,'制度詳細'!$J$17&lt;=EOMONTH(Y$50,0)),"◆","")),IF(MAX('制度詳細'!$H$17,Y$50)&lt;=MIN(IF('制度詳細'!$I$17="",EOMONTH(Y$50,0),'制度詳細'!$I$17),EOMONTH(Y$50,0)),"■",IF(AND('制度詳細'!$J$17&lt;&gt;"",'制度詳細'!$J$17&gt;=Y$50,'制度詳細'!$J$17&lt;=EOMONTH(Y$50,0)),"◆","")))</x:f>
        <x:v>■</x:v>
      </x:c>
      <x:c r="Z53" s="57" t="str">
        <x:f>IF('制度詳細'!$H$17="",IF('制度詳細'!$J$17="","",IF(AND('制度詳細'!$J$17&gt;=Z$50,'制度詳細'!$J$17&lt;=EOMONTH(Z$50,0)),"◆","")),IF(MAX('制度詳細'!$H$17,Z$50)&lt;=MIN(IF('制度詳細'!$I$17="",EOMONTH(Z$50,0),'制度詳細'!$I$17),EOMONTH(Z$50,0)),"■",IF(AND('制度詳細'!$J$17&lt;&gt;"",'制度詳細'!$J$17&gt;=Z$50,'制度詳細'!$J$17&lt;=EOMONTH(Z$50,0)),"◆","")))</x:f>
        <x:v>■</x:v>
      </x:c>
      <x:c r="AA53" s="57" t="str">
        <x:f>IF('制度詳細'!$H$17="",IF('制度詳細'!$J$17="","",IF(AND('制度詳細'!$J$17&gt;=AA$50,'制度詳細'!$J$17&lt;=EOMONTH(AA$50,0)),"◆","")),IF(MAX('制度詳細'!$H$17,AA$50)&lt;=MIN(IF('制度詳細'!$I$17="",EOMONTH(AA$50,0),'制度詳細'!$I$17),EOMONTH(AA$50,0)),"■",IF(AND('制度詳細'!$J$17&lt;&gt;"",'制度詳細'!$J$17&gt;=AA$50,'制度詳細'!$J$17&lt;=EOMONTH(AA$50,0)),"◆","")))</x:f>
        <x:v>■</x:v>
      </x:c>
      <x:c r="AB53" s="57" t="str">
        <x:f>IF('制度詳細'!$H$17="",IF('制度詳細'!$J$17="","",IF(AND('制度詳細'!$J$17&gt;=AB$50,'制度詳細'!$J$17&lt;=EOMONTH(AB$50,0)),"◆","")),IF(MAX('制度詳細'!$H$17,AB$50)&lt;=MIN(IF('制度詳細'!$I$17="",EOMONTH(AB$50,0),'制度詳細'!$I$17),EOMONTH(AB$50,0)),"■",IF(AND('制度詳細'!$J$17&lt;&gt;"",'制度詳細'!$J$17&gt;=AB$50,'制度詳細'!$J$17&lt;=EOMONTH(AB$50,0)),"◆","")))</x:f>
        <x:v>■</x:v>
      </x:c>
      <x:c r="AC53" s="57" t="str">
        <x:f>IF('制度詳細'!$H$17="",IF('制度詳細'!$J$17="","",IF(AND('制度詳細'!$J$17&gt;=AC$50,'制度詳細'!$J$17&lt;=EOMONTH(AC$50,0)),"◆","")),IF(MAX('制度詳細'!$H$17,AC$50)&lt;=MIN(IF('制度詳細'!$I$17="",EOMONTH(AC$50,0),'制度詳細'!$I$17),EOMONTH(AC$50,0)),"■",IF(AND('制度詳細'!$J$17&lt;&gt;"",'制度詳細'!$J$17&gt;=AC$50,'制度詳細'!$J$17&lt;=EOMONTH(AC$50,0)),"◆","")))</x:f>
        <x:v>■</x:v>
      </x:c>
      <x:c r="AD53" s="57" t="str">
        <x:f>IF('制度詳細'!$H$17="",IF('制度詳細'!$J$17="","",IF(AND('制度詳細'!$J$17&gt;=AD$50,'制度詳細'!$J$17&lt;=EOMONTH(AD$50,0)),"◆","")),IF(MAX('制度詳細'!$H$17,AD$50)&lt;=MIN(IF('制度詳細'!$I$17="",EOMONTH(AD$50,0),'制度詳細'!$I$17),EOMONTH(AD$50,0)),"■",IF(AND('制度詳細'!$J$17&lt;&gt;"",'制度詳細'!$J$17&gt;=AD$50,'制度詳細'!$J$17&lt;=EOMONTH(AD$50,0)),"◆","")))</x:f>
        <x:v>■</x:v>
      </x:c>
      <x:c r="AE53" s="57" t="str">
        <x:f>IF('制度詳細'!$H$17="",IF('制度詳細'!$J$17="","",IF(AND('制度詳細'!$J$17&gt;=AE$50,'制度詳細'!$J$17&lt;=EOMONTH(AE$50,0)),"◆","")),IF(MAX('制度詳細'!$H$17,AE$50)&lt;=MIN(IF('制度詳細'!$I$17="",EOMONTH(AE$50,0),'制度詳細'!$I$17),EOMONTH(AE$50,0)),"■",IF(AND('制度詳細'!$J$17&lt;&gt;"",'制度詳細'!$J$17&gt;=AE$50,'制度詳細'!$J$17&lt;=EOMONTH(AE$50,0)),"◆","")))</x:f>
      </x:c>
      <x:c r="AF53" s="57" t="str">
        <x:f>IF('制度詳細'!$H$17="",IF('制度詳細'!$J$17="","",IF(AND('制度詳細'!$J$17&gt;=AF$50,'制度詳細'!$J$17&lt;=EOMONTH(AF$50,0)),"◆","")),IF(MAX('制度詳細'!$H$17,AF$50)&lt;=MIN(IF('制度詳細'!$I$17="",EOMONTH(AF$50,0),'制度詳細'!$I$17),EOMONTH(AF$50,0)),"■",IF(AND('制度詳細'!$J$17&lt;&gt;"",'制度詳細'!$J$17&gt;=AF$50,'制度詳細'!$J$17&lt;=EOMONTH(AF$50,0)),"◆","")))</x:f>
      </x:c>
      <x:c r="AG53" s="57" t="str">
        <x:f>IF('制度詳細'!$H$17="",IF('制度詳細'!$J$17="","",IF(AND('制度詳細'!$J$17&gt;=AG$50,'制度詳細'!$J$17&lt;=EOMONTH(AG$50,0)),"◆","")),IF(MAX('制度詳細'!$H$17,AG$50)&lt;=MIN(IF('制度詳細'!$I$17="",EOMONTH(AG$50,0),'制度詳細'!$I$17),EOMONTH(AG$50,0)),"■",IF(AND('制度詳細'!$J$17&lt;&gt;"",'制度詳細'!$J$17&gt;=AG$50,'制度詳細'!$J$17&lt;=EOMONTH(AG$50,0)),"◆","")))</x:f>
      </x:c>
      <x:c r="AH53" s="57" t="str">
        <x:f>IF('制度詳細'!$H$17="",IF('制度詳細'!$J$17="","",IF(AND('制度詳細'!$J$17&gt;=AH$50,'制度詳細'!$J$17&lt;=EOMONTH(AH$50,0)),"◆","")),IF(MAX('制度詳細'!$H$17,AH$50)&lt;=MIN(IF('制度詳細'!$I$17="",EOMONTH(AH$50,0),'制度詳細'!$I$17),EOMONTH(AH$50,0)),"■",IF(AND('制度詳細'!$J$17&lt;&gt;"",'制度詳細'!$J$17&gt;=AH$50,'制度詳細'!$J$17&lt;=EOMONTH(AH$50,0)),"◆","")))</x:f>
      </x:c>
      <x:c r="AI53" s="57" t="str">
        <x:f>IF('制度詳細'!$H$17="",IF('制度詳細'!$J$17="","",IF(AND('制度詳細'!$J$17&gt;=AI$50,'制度詳細'!$J$17&lt;=EOMONTH(AI$50,0)),"◆","")),IF(MAX('制度詳細'!$H$17,AI$50)&lt;=MIN(IF('制度詳細'!$I$17="",EOMONTH(AI$50,0),'制度詳細'!$I$17),EOMONTH(AI$50,0)),"■",IF(AND('制度詳細'!$J$17&lt;&gt;"",'制度詳細'!$J$17&gt;=AI$50,'制度詳細'!$J$17&lt;=EOMONTH(AI$50,0)),"◆","")))</x:f>
      </x:c>
      <x:c r="AJ53" s="57" t="str">
        <x:f>IF('制度詳細'!$H$17="",IF('制度詳細'!$J$17="","",IF(AND('制度詳細'!$J$17&gt;=AJ$50,'制度詳細'!$J$17&lt;=EOMONTH(AJ$50,0)),"◆","")),IF(MAX('制度詳細'!$H$17,AJ$50)&lt;=MIN(IF('制度詳細'!$I$17="",EOMONTH(AJ$50,0),'制度詳細'!$I$17),EOMONTH(AJ$50,0)),"■",IF(AND('制度詳細'!$J$17&lt;&gt;"",'制度詳細'!$J$17&gt;=AJ$50,'制度詳細'!$J$17&lt;=EOMONTH(AJ$50,0)),"◆","")))</x:f>
      </x:c>
      <x:c r="AK53" s="57" t="str">
        <x:f>IF('制度詳細'!$H$17="",IF('制度詳細'!$J$17="","",IF(AND('制度詳細'!$J$17&gt;=AK$50,'制度詳細'!$J$17&lt;=EOMONTH(AK$50,0)),"◆","")),IF(MAX('制度詳細'!$H$17,AK$50)&lt;=MIN(IF('制度詳細'!$I$17="",EOMONTH(AK$50,0),'制度詳細'!$I$17),EOMONTH(AK$50,0)),"■",IF(AND('制度詳細'!$J$17&lt;&gt;"",'制度詳細'!$J$17&gt;=AK$50,'制度詳細'!$J$17&lt;=EOMONTH(AK$50,0)),"◆","")))</x:f>
      </x:c>
      <x:c r="AL53" s="57" t="str">
        <x:f>IF('制度詳細'!$H$17="",IF('制度詳細'!$J$17="","",IF(AND('制度詳細'!$J$17&gt;=AL$50,'制度詳細'!$J$17&lt;=EOMONTH(AL$50,0)),"◆","")),IF(MAX('制度詳細'!$H$17,AL$50)&lt;=MIN(IF('制度詳細'!$I$17="",EOMONTH(AL$50,0),'制度詳細'!$I$17),EOMONTH(AL$50,0)),"■",IF(AND('制度詳細'!$J$17&lt;&gt;"",'制度詳細'!$J$17&gt;=AL$50,'制度詳細'!$J$17&lt;=EOMONTH(AL$50,0)),"◆","")))</x:f>
      </x:c>
      <x:c r="AM53" s="57" t="str">
        <x:f>IF('制度詳細'!$H$17="",IF('制度詳細'!$J$17="","",IF(AND('制度詳細'!$J$17&gt;=AM$50,'制度詳細'!$J$17&lt;=EOMONTH(AM$50,0)),"◆","")),IF(MAX('制度詳細'!$H$17,AM$50)&lt;=MIN(IF('制度詳細'!$I$17="",EOMONTH(AM$50,0),'制度詳細'!$I$17),EOMONTH(AM$50,0)),"■",IF(AND('制度詳細'!$J$17&lt;&gt;"",'制度詳細'!$J$17&gt;=AM$50,'制度詳細'!$J$17&lt;=EOMONTH(AM$50,0)),"◆","")))</x:f>
      </x:c>
      <x:c r="AN53" s="57" t="str">
        <x:f>IF('制度詳細'!$H$17="",IF('制度詳細'!$J$17="","",IF(AND('制度詳細'!$J$17&gt;=AN$50,'制度詳細'!$J$17&lt;=EOMONTH(AN$50,0)),"◆","")),IF(MAX('制度詳細'!$H$17,AN$50)&lt;=MIN(IF('制度詳細'!$I$17="",EOMONTH(AN$50,0),'制度詳細'!$I$17),EOMONTH(AN$50,0)),"■",IF(AND('制度詳細'!$J$17&lt;&gt;"",'制度詳細'!$J$17&gt;=AN$50,'制度詳細'!$J$17&lt;=EOMONTH(AN$50,0)),"◆","")))</x:f>
      </x:c>
      <x:c r="AO53" s="57" t="str">
        <x:f>IF('制度詳細'!$H$17="",IF('制度詳細'!$J$17="","",IF(AND('制度詳細'!$J$17&gt;=AO$50,'制度詳細'!$J$17&lt;=EOMONTH(AO$50,0)),"◆","")),IF(MAX('制度詳細'!$H$17,AO$50)&lt;=MIN(IF('制度詳細'!$I$17="",EOMONTH(AO$50,0),'制度詳細'!$I$17),EOMONTH(AO$50,0)),"■",IF(AND('制度詳細'!$J$17&lt;&gt;"",'制度詳細'!$J$17&gt;=AO$50,'制度詳細'!$J$17&lt;=EOMONTH(AO$50,0)),"◆","")))</x:f>
      </x:c>
      <x:c r="AP53" s="57" t="str">
        <x:f>IF('制度詳細'!$H$17="",IF('制度詳細'!$J$17="","",IF(AND('制度詳細'!$J$17&gt;=AP$50,'制度詳細'!$J$17&lt;=EOMONTH(AP$50,0)),"◆","")),IF(MAX('制度詳細'!$H$17,AP$50)&lt;=MIN(IF('制度詳細'!$I$17="",EOMONTH(AP$50,0),'制度詳細'!$I$17),EOMONTH(AP$50,0)),"■",IF(AND('制度詳細'!$J$17&lt;&gt;"",'制度詳細'!$J$17&gt;=AP$50,'制度詳細'!$J$17&lt;=EOMONTH(AP$50,0)),"◆","")))</x:f>
      </x:c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</x:row>
    <x:row r="54" ht="30" customHeight="1">
      <x:c r="A54" s="59" t="str">
        <x:v>ID04 HEV等：PPnBM政府負担</x:v>
      </x:c>
      <x:c r="B54" s="59"/>
      <x:c r="C54" s="59"/>
      <x:c r="D54" s="59"/>
      <x:c r="E54" s="59"/>
      <x:c r="F54" s="59"/>
      <x:c r="G54" s="57" t="str">
        <x:f>IF('制度詳細'!$H$18="",IF('制度詳細'!$J$18="","",IF(AND('制度詳細'!$J$18&gt;=G$50,'制度詳細'!$J$18&lt;=EOMONTH(G$50,0)),"◆","")),IF(MAX('制度詳細'!$H$18,G$50)&lt;=MIN(IF('制度詳細'!$I$18="",EOMONTH(G$50,0),'制度詳細'!$I$18),EOMONTH(G$50,0)),"■",IF(AND('制度詳細'!$J$18&lt;&gt;"",'制度詳細'!$J$18&gt;=G$50,'制度詳細'!$J$18&lt;=EOMONTH(G$50,0)),"◆","")))</x:f>
      </x:c>
      <x:c r="H54" s="57" t="str">
        <x:f>IF('制度詳細'!$H$18="",IF('制度詳細'!$J$18="","",IF(AND('制度詳細'!$J$18&gt;=H$50,'制度詳細'!$J$18&lt;=EOMONTH(H$50,0)),"◆","")),IF(MAX('制度詳細'!$H$18,H$50)&lt;=MIN(IF('制度詳細'!$I$18="",EOMONTH(H$50,0),'制度詳細'!$I$18),EOMONTH(H$50,0)),"■",IF(AND('制度詳細'!$J$18&lt;&gt;"",'制度詳細'!$J$18&gt;=H$50,'制度詳細'!$J$18&lt;=EOMONTH(H$50,0)),"◆","")))</x:f>
      </x:c>
      <x:c r="I54" s="57" t="str">
        <x:f>IF('制度詳細'!$H$18="",IF('制度詳細'!$J$18="","",IF(AND('制度詳細'!$J$18&gt;=I$50,'制度詳細'!$J$18&lt;=EOMONTH(I$50,0)),"◆","")),IF(MAX('制度詳細'!$H$18,I$50)&lt;=MIN(IF('制度詳細'!$I$18="",EOMONTH(I$50,0),'制度詳細'!$I$18),EOMONTH(I$50,0)),"■",IF(AND('制度詳細'!$J$18&lt;&gt;"",'制度詳細'!$J$18&gt;=I$50,'制度詳細'!$J$18&lt;=EOMONTH(I$50,0)),"◆","")))</x:f>
      </x:c>
      <x:c r="J54" s="57" t="str">
        <x:f>IF('制度詳細'!$H$18="",IF('制度詳細'!$J$18="","",IF(AND('制度詳細'!$J$18&gt;=J$50,'制度詳細'!$J$18&lt;=EOMONTH(J$50,0)),"◆","")),IF(MAX('制度詳細'!$H$18,J$50)&lt;=MIN(IF('制度詳細'!$I$18="",EOMONTH(J$50,0),'制度詳細'!$I$18),EOMONTH(J$50,0)),"■",IF(AND('制度詳細'!$J$18&lt;&gt;"",'制度詳細'!$J$18&gt;=J$50,'制度詳細'!$J$18&lt;=EOMONTH(J$50,0)),"◆","")))</x:f>
      </x:c>
      <x:c r="K54" s="57" t="str">
        <x:f>IF('制度詳細'!$H$18="",IF('制度詳細'!$J$18="","",IF(AND('制度詳細'!$J$18&gt;=K$50,'制度詳細'!$J$18&lt;=EOMONTH(K$50,0)),"◆","")),IF(MAX('制度詳細'!$H$18,K$50)&lt;=MIN(IF('制度詳細'!$I$18="",EOMONTH(K$50,0),'制度詳細'!$I$18),EOMONTH(K$50,0)),"■",IF(AND('制度詳細'!$J$18&lt;&gt;"",'制度詳細'!$J$18&gt;=K$50,'制度詳細'!$J$18&lt;=EOMONTH(K$50,0)),"◆","")))</x:f>
      </x:c>
      <x:c r="L54" s="57" t="str">
        <x:f>IF('制度詳細'!$H$18="",IF('制度詳細'!$J$18="","",IF(AND('制度詳細'!$J$18&gt;=L$50,'制度詳細'!$J$18&lt;=EOMONTH(L$50,0)),"◆","")),IF(MAX('制度詳細'!$H$18,L$50)&lt;=MIN(IF('制度詳細'!$I$18="",EOMONTH(L$50,0),'制度詳細'!$I$18),EOMONTH(L$50,0)),"■",IF(AND('制度詳細'!$J$18&lt;&gt;"",'制度詳細'!$J$18&gt;=L$50,'制度詳細'!$J$18&lt;=EOMONTH(L$50,0)),"◆","")))</x:f>
      </x:c>
      <x:c r="M54" s="57" t="str">
        <x:f>IF('制度詳細'!$H$18="",IF('制度詳細'!$J$18="","",IF(AND('制度詳細'!$J$18&gt;=M$50,'制度詳細'!$J$18&lt;=EOMONTH(M$50,0)),"◆","")),IF(MAX('制度詳細'!$H$18,M$50)&lt;=MIN(IF('制度詳細'!$I$18="",EOMONTH(M$50,0),'制度詳細'!$I$18),EOMONTH(M$50,0)),"■",IF(AND('制度詳細'!$J$18&lt;&gt;"",'制度詳細'!$J$18&gt;=M$50,'制度詳細'!$J$18&lt;=EOMONTH(M$50,0)),"◆","")))</x:f>
      </x:c>
      <x:c r="N54" s="57" t="str">
        <x:f>IF('制度詳細'!$H$18="",IF('制度詳細'!$J$18="","",IF(AND('制度詳細'!$J$18&gt;=N$50,'制度詳細'!$J$18&lt;=EOMONTH(N$50,0)),"◆","")),IF(MAX('制度詳細'!$H$18,N$50)&lt;=MIN(IF('制度詳細'!$I$18="",EOMONTH(N$50,0),'制度詳細'!$I$18),EOMONTH(N$50,0)),"■",IF(AND('制度詳細'!$J$18&lt;&gt;"",'制度詳細'!$J$18&gt;=N$50,'制度詳細'!$J$18&lt;=EOMONTH(N$50,0)),"◆","")))</x:f>
      </x:c>
      <x:c r="O54" s="57" t="str">
        <x:f>IF('制度詳細'!$H$18="",IF('制度詳細'!$J$18="","",IF(AND('制度詳細'!$J$18&gt;=O$50,'制度詳細'!$J$18&lt;=EOMONTH(O$50,0)),"◆","")),IF(MAX('制度詳細'!$H$18,O$50)&lt;=MIN(IF('制度詳細'!$I$18="",EOMONTH(O$50,0),'制度詳細'!$I$18),EOMONTH(O$50,0)),"■",IF(AND('制度詳細'!$J$18&lt;&gt;"",'制度詳細'!$J$18&gt;=O$50,'制度詳細'!$J$18&lt;=EOMONTH(O$50,0)),"◆","")))</x:f>
      </x:c>
      <x:c r="P54" s="57" t="str">
        <x:f>IF('制度詳細'!$H$18="",IF('制度詳細'!$J$18="","",IF(AND('制度詳細'!$J$18&gt;=P$50,'制度詳細'!$J$18&lt;=EOMONTH(P$50,0)),"◆","")),IF(MAX('制度詳細'!$H$18,P$50)&lt;=MIN(IF('制度詳細'!$I$18="",EOMONTH(P$50,0),'制度詳細'!$I$18),EOMONTH(P$50,0)),"■",IF(AND('制度詳細'!$J$18&lt;&gt;"",'制度詳細'!$J$18&gt;=P$50,'制度詳細'!$J$18&lt;=EOMONTH(P$50,0)),"◆","")))</x:f>
      </x:c>
      <x:c r="Q54" s="57" t="str">
        <x:f>IF('制度詳細'!$H$18="",IF('制度詳細'!$J$18="","",IF(AND('制度詳細'!$J$18&gt;=Q$50,'制度詳細'!$J$18&lt;=EOMONTH(Q$50,0)),"◆","")),IF(MAX('制度詳細'!$H$18,Q$50)&lt;=MIN(IF('制度詳細'!$I$18="",EOMONTH(Q$50,0),'制度詳細'!$I$18),EOMONTH(Q$50,0)),"■",IF(AND('制度詳細'!$J$18&lt;&gt;"",'制度詳細'!$J$18&gt;=Q$50,'制度詳細'!$J$18&lt;=EOMONTH(Q$50,0)),"◆","")))</x:f>
      </x:c>
      <x:c r="R54" s="57" t="str">
        <x:f>IF('制度詳細'!$H$18="",IF('制度詳細'!$J$18="","",IF(AND('制度詳細'!$J$18&gt;=R$50,'制度詳細'!$J$18&lt;=EOMONTH(R$50,0)),"◆","")),IF(MAX('制度詳細'!$H$18,R$50)&lt;=MIN(IF('制度詳細'!$I$18="",EOMONTH(R$50,0),'制度詳細'!$I$18),EOMONTH(R$50,0)),"■",IF(AND('制度詳細'!$J$18&lt;&gt;"",'制度詳細'!$J$18&gt;=R$50,'制度詳細'!$J$18&lt;=EOMONTH(R$50,0)),"◆","")))</x:f>
      </x:c>
      <x:c r="S54" s="57" t="str">
        <x:f>IF('制度詳細'!$H$18="",IF('制度詳細'!$J$18="","",IF(AND('制度詳細'!$J$18&gt;=S$50,'制度詳細'!$J$18&lt;=EOMONTH(S$50,0)),"◆","")),IF(MAX('制度詳細'!$H$18,S$50)&lt;=MIN(IF('制度詳細'!$I$18="",EOMONTH(S$50,0),'制度詳細'!$I$18),EOMONTH(S$50,0)),"■",IF(AND('制度詳細'!$J$18&lt;&gt;"",'制度詳細'!$J$18&gt;=S$50,'制度詳細'!$J$18&lt;=EOMONTH(S$50,0)),"◆","")))</x:f>
        <x:v>■</x:v>
      </x:c>
      <x:c r="T54" s="57" t="str">
        <x:f>IF('制度詳細'!$H$18="",IF('制度詳細'!$J$18="","",IF(AND('制度詳細'!$J$18&gt;=T$50,'制度詳細'!$J$18&lt;=EOMONTH(T$50,0)),"◆","")),IF(MAX('制度詳細'!$H$18,T$50)&lt;=MIN(IF('制度詳細'!$I$18="",EOMONTH(T$50,0),'制度詳細'!$I$18),EOMONTH(T$50,0)),"■",IF(AND('制度詳細'!$J$18&lt;&gt;"",'制度詳細'!$J$18&gt;=T$50,'制度詳細'!$J$18&lt;=EOMONTH(T$50,0)),"◆","")))</x:f>
        <x:v>■</x:v>
      </x:c>
      <x:c r="U54" s="57" t="str">
        <x:f>IF('制度詳細'!$H$18="",IF('制度詳細'!$J$18="","",IF(AND('制度詳細'!$J$18&gt;=U$50,'制度詳細'!$J$18&lt;=EOMONTH(U$50,0)),"◆","")),IF(MAX('制度詳細'!$H$18,U$50)&lt;=MIN(IF('制度詳細'!$I$18="",EOMONTH(U$50,0),'制度詳細'!$I$18),EOMONTH(U$50,0)),"■",IF(AND('制度詳細'!$J$18&lt;&gt;"",'制度詳細'!$J$18&gt;=U$50,'制度詳細'!$J$18&lt;=EOMONTH(U$50,0)),"◆","")))</x:f>
        <x:v>■</x:v>
      </x:c>
      <x:c r="V54" s="57" t="str">
        <x:f>IF('制度詳細'!$H$18="",IF('制度詳細'!$J$18="","",IF(AND('制度詳細'!$J$18&gt;=V$50,'制度詳細'!$J$18&lt;=EOMONTH(V$50,0)),"◆","")),IF(MAX('制度詳細'!$H$18,V$50)&lt;=MIN(IF('制度詳細'!$I$18="",EOMONTH(V$50,0),'制度詳細'!$I$18),EOMONTH(V$50,0)),"■",IF(AND('制度詳細'!$J$18&lt;&gt;"",'制度詳細'!$J$18&gt;=V$50,'制度詳細'!$J$18&lt;=EOMONTH(V$50,0)),"◆","")))</x:f>
        <x:v>■</x:v>
      </x:c>
      <x:c r="W54" s="57" t="str">
        <x:f>IF('制度詳細'!$H$18="",IF('制度詳細'!$J$18="","",IF(AND('制度詳細'!$J$18&gt;=W$50,'制度詳細'!$J$18&lt;=EOMONTH(W$50,0)),"◆","")),IF(MAX('制度詳細'!$H$18,W$50)&lt;=MIN(IF('制度詳細'!$I$18="",EOMONTH(W$50,0),'制度詳細'!$I$18),EOMONTH(W$50,0)),"■",IF(AND('制度詳細'!$J$18&lt;&gt;"",'制度詳細'!$J$18&gt;=W$50,'制度詳細'!$J$18&lt;=EOMONTH(W$50,0)),"◆","")))</x:f>
        <x:v>■</x:v>
      </x:c>
      <x:c r="X54" s="57" t="str">
        <x:f>IF('制度詳細'!$H$18="",IF('制度詳細'!$J$18="","",IF(AND('制度詳細'!$J$18&gt;=X$50,'制度詳細'!$J$18&lt;=EOMONTH(X$50,0)),"◆","")),IF(MAX('制度詳細'!$H$18,X$50)&lt;=MIN(IF('制度詳細'!$I$18="",EOMONTH(X$50,0),'制度詳細'!$I$18),EOMONTH(X$50,0)),"■",IF(AND('制度詳細'!$J$18&lt;&gt;"",'制度詳細'!$J$18&gt;=X$50,'制度詳細'!$J$18&lt;=EOMONTH(X$50,0)),"◆","")))</x:f>
        <x:v>■</x:v>
      </x:c>
      <x:c r="Y54" s="57" t="str">
        <x:f>IF('制度詳細'!$H$18="",IF('制度詳細'!$J$18="","",IF(AND('制度詳細'!$J$18&gt;=Y$50,'制度詳細'!$J$18&lt;=EOMONTH(Y$50,0)),"◆","")),IF(MAX('制度詳細'!$H$18,Y$50)&lt;=MIN(IF('制度詳細'!$I$18="",EOMONTH(Y$50,0),'制度詳細'!$I$18),EOMONTH(Y$50,0)),"■",IF(AND('制度詳細'!$J$18&lt;&gt;"",'制度詳細'!$J$18&gt;=Y$50,'制度詳細'!$J$18&lt;=EOMONTH(Y$50,0)),"◆","")))</x:f>
        <x:v>■</x:v>
      </x:c>
      <x:c r="Z54" s="57" t="str">
        <x:f>IF('制度詳細'!$H$18="",IF('制度詳細'!$J$18="","",IF(AND('制度詳細'!$J$18&gt;=Z$50,'制度詳細'!$J$18&lt;=EOMONTH(Z$50,0)),"◆","")),IF(MAX('制度詳細'!$H$18,Z$50)&lt;=MIN(IF('制度詳細'!$I$18="",EOMONTH(Z$50,0),'制度詳細'!$I$18),EOMONTH(Z$50,0)),"■",IF(AND('制度詳細'!$J$18&lt;&gt;"",'制度詳細'!$J$18&gt;=Z$50,'制度詳細'!$J$18&lt;=EOMONTH(Z$50,0)),"◆","")))</x:f>
        <x:v>■</x:v>
      </x:c>
      <x:c r="AA54" s="57" t="str">
        <x:f>IF('制度詳細'!$H$18="",IF('制度詳細'!$J$18="","",IF(AND('制度詳細'!$J$18&gt;=AA$50,'制度詳細'!$J$18&lt;=EOMONTH(AA$50,0)),"◆","")),IF(MAX('制度詳細'!$H$18,AA$50)&lt;=MIN(IF('制度詳細'!$I$18="",EOMONTH(AA$50,0),'制度詳細'!$I$18),EOMONTH(AA$50,0)),"■",IF(AND('制度詳細'!$J$18&lt;&gt;"",'制度詳細'!$J$18&gt;=AA$50,'制度詳細'!$J$18&lt;=EOMONTH(AA$50,0)),"◆","")))</x:f>
        <x:v>■</x:v>
      </x:c>
      <x:c r="AB54" s="57" t="str">
        <x:f>IF('制度詳細'!$H$18="",IF('制度詳細'!$J$18="","",IF(AND('制度詳細'!$J$18&gt;=AB$50,'制度詳細'!$J$18&lt;=EOMONTH(AB$50,0)),"◆","")),IF(MAX('制度詳細'!$H$18,AB$50)&lt;=MIN(IF('制度詳細'!$I$18="",EOMONTH(AB$50,0),'制度詳細'!$I$18),EOMONTH(AB$50,0)),"■",IF(AND('制度詳細'!$J$18&lt;&gt;"",'制度詳細'!$J$18&gt;=AB$50,'制度詳細'!$J$18&lt;=EOMONTH(AB$50,0)),"◆","")))</x:f>
        <x:v>■</x:v>
      </x:c>
      <x:c r="AC54" s="57" t="str">
        <x:f>IF('制度詳細'!$H$18="",IF('制度詳細'!$J$18="","",IF(AND('制度詳細'!$J$18&gt;=AC$50,'制度詳細'!$J$18&lt;=EOMONTH(AC$50,0)),"◆","")),IF(MAX('制度詳細'!$H$18,AC$50)&lt;=MIN(IF('制度詳細'!$I$18="",EOMONTH(AC$50,0),'制度詳細'!$I$18),EOMONTH(AC$50,0)),"■",IF(AND('制度詳細'!$J$18&lt;&gt;"",'制度詳細'!$J$18&gt;=AC$50,'制度詳細'!$J$18&lt;=EOMONTH(AC$50,0)),"◆","")))</x:f>
        <x:v>■</x:v>
      </x:c>
      <x:c r="AD54" s="57" t="str">
        <x:f>IF('制度詳細'!$H$18="",IF('制度詳細'!$J$18="","",IF(AND('制度詳細'!$J$18&gt;=AD$50,'制度詳細'!$J$18&lt;=EOMONTH(AD$50,0)),"◆","")),IF(MAX('制度詳細'!$H$18,AD$50)&lt;=MIN(IF('制度詳細'!$I$18="",EOMONTH(AD$50,0),'制度詳細'!$I$18),EOMONTH(AD$50,0)),"■",IF(AND('制度詳細'!$J$18&lt;&gt;"",'制度詳細'!$J$18&gt;=AD$50,'制度詳細'!$J$18&lt;=EOMONTH(AD$50,0)),"◆","")))</x:f>
        <x:v>■</x:v>
      </x:c>
      <x:c r="AE54" s="57" t="str">
        <x:f>IF('制度詳細'!$H$18="",IF('制度詳細'!$J$18="","",IF(AND('制度詳細'!$J$18&gt;=AE$50,'制度詳細'!$J$18&lt;=EOMONTH(AE$50,0)),"◆","")),IF(MAX('制度詳細'!$H$18,AE$50)&lt;=MIN(IF('制度詳細'!$I$18="",EOMONTH(AE$50,0),'制度詳細'!$I$18),EOMONTH(AE$50,0)),"■",IF(AND('制度詳細'!$J$18&lt;&gt;"",'制度詳細'!$J$18&gt;=AE$50,'制度詳細'!$J$18&lt;=EOMONTH(AE$50,0)),"◆","")))</x:f>
      </x:c>
      <x:c r="AF54" s="57" t="str">
        <x:f>IF('制度詳細'!$H$18="",IF('制度詳細'!$J$18="","",IF(AND('制度詳細'!$J$18&gt;=AF$50,'制度詳細'!$J$18&lt;=EOMONTH(AF$50,0)),"◆","")),IF(MAX('制度詳細'!$H$18,AF$50)&lt;=MIN(IF('制度詳細'!$I$18="",EOMONTH(AF$50,0),'制度詳細'!$I$18),EOMONTH(AF$50,0)),"■",IF(AND('制度詳細'!$J$18&lt;&gt;"",'制度詳細'!$J$18&gt;=AF$50,'制度詳細'!$J$18&lt;=EOMONTH(AF$50,0)),"◆","")))</x:f>
      </x:c>
      <x:c r="AG54" s="57" t="str">
        <x:f>IF('制度詳細'!$H$18="",IF('制度詳細'!$J$18="","",IF(AND('制度詳細'!$J$18&gt;=AG$50,'制度詳細'!$J$18&lt;=EOMONTH(AG$50,0)),"◆","")),IF(MAX('制度詳細'!$H$18,AG$50)&lt;=MIN(IF('制度詳細'!$I$18="",EOMONTH(AG$50,0),'制度詳細'!$I$18),EOMONTH(AG$50,0)),"■",IF(AND('制度詳細'!$J$18&lt;&gt;"",'制度詳細'!$J$18&gt;=AG$50,'制度詳細'!$J$18&lt;=EOMONTH(AG$50,0)),"◆","")))</x:f>
      </x:c>
      <x:c r="AH54" s="57" t="str">
        <x:f>IF('制度詳細'!$H$18="",IF('制度詳細'!$J$18="","",IF(AND('制度詳細'!$J$18&gt;=AH$50,'制度詳細'!$J$18&lt;=EOMONTH(AH$50,0)),"◆","")),IF(MAX('制度詳細'!$H$18,AH$50)&lt;=MIN(IF('制度詳細'!$I$18="",EOMONTH(AH$50,0),'制度詳細'!$I$18),EOMONTH(AH$50,0)),"■",IF(AND('制度詳細'!$J$18&lt;&gt;"",'制度詳細'!$J$18&gt;=AH$50,'制度詳細'!$J$18&lt;=EOMONTH(AH$50,0)),"◆","")))</x:f>
      </x:c>
      <x:c r="AI54" s="57" t="str">
        <x:f>IF('制度詳細'!$H$18="",IF('制度詳細'!$J$18="","",IF(AND('制度詳細'!$J$18&gt;=AI$50,'制度詳細'!$J$18&lt;=EOMONTH(AI$50,0)),"◆","")),IF(MAX('制度詳細'!$H$18,AI$50)&lt;=MIN(IF('制度詳細'!$I$18="",EOMONTH(AI$50,0),'制度詳細'!$I$18),EOMONTH(AI$50,0)),"■",IF(AND('制度詳細'!$J$18&lt;&gt;"",'制度詳細'!$J$18&gt;=AI$50,'制度詳細'!$J$18&lt;=EOMONTH(AI$50,0)),"◆","")))</x:f>
      </x:c>
      <x:c r="AJ54" s="57" t="str">
        <x:f>IF('制度詳細'!$H$18="",IF('制度詳細'!$J$18="","",IF(AND('制度詳細'!$J$18&gt;=AJ$50,'制度詳細'!$J$18&lt;=EOMONTH(AJ$50,0)),"◆","")),IF(MAX('制度詳細'!$H$18,AJ$50)&lt;=MIN(IF('制度詳細'!$I$18="",EOMONTH(AJ$50,0),'制度詳細'!$I$18),EOMONTH(AJ$50,0)),"■",IF(AND('制度詳細'!$J$18&lt;&gt;"",'制度詳細'!$J$18&gt;=AJ$50,'制度詳細'!$J$18&lt;=EOMONTH(AJ$50,0)),"◆","")))</x:f>
      </x:c>
      <x:c r="AK54" s="57" t="str">
        <x:f>IF('制度詳細'!$H$18="",IF('制度詳細'!$J$18="","",IF(AND('制度詳細'!$J$18&gt;=AK$50,'制度詳細'!$J$18&lt;=EOMONTH(AK$50,0)),"◆","")),IF(MAX('制度詳細'!$H$18,AK$50)&lt;=MIN(IF('制度詳細'!$I$18="",EOMONTH(AK$50,0),'制度詳細'!$I$18),EOMONTH(AK$50,0)),"■",IF(AND('制度詳細'!$J$18&lt;&gt;"",'制度詳細'!$J$18&gt;=AK$50,'制度詳細'!$J$18&lt;=EOMONTH(AK$50,0)),"◆","")))</x:f>
      </x:c>
      <x:c r="AL54" s="57" t="str">
        <x:f>IF('制度詳細'!$H$18="",IF('制度詳細'!$J$18="","",IF(AND('制度詳細'!$J$18&gt;=AL$50,'制度詳細'!$J$18&lt;=EOMONTH(AL$50,0)),"◆","")),IF(MAX('制度詳細'!$H$18,AL$50)&lt;=MIN(IF('制度詳細'!$I$18="",EOMONTH(AL$50,0),'制度詳細'!$I$18),EOMONTH(AL$50,0)),"■",IF(AND('制度詳細'!$J$18&lt;&gt;"",'制度詳細'!$J$18&gt;=AL$50,'制度詳細'!$J$18&lt;=EOMONTH(AL$50,0)),"◆","")))</x:f>
      </x:c>
      <x:c r="AM54" s="57" t="str">
        <x:f>IF('制度詳細'!$H$18="",IF('制度詳細'!$J$18="","",IF(AND('制度詳細'!$J$18&gt;=AM$50,'制度詳細'!$J$18&lt;=EOMONTH(AM$50,0)),"◆","")),IF(MAX('制度詳細'!$H$18,AM$50)&lt;=MIN(IF('制度詳細'!$I$18="",EOMONTH(AM$50,0),'制度詳細'!$I$18),EOMONTH(AM$50,0)),"■",IF(AND('制度詳細'!$J$18&lt;&gt;"",'制度詳細'!$J$18&gt;=AM$50,'制度詳細'!$J$18&lt;=EOMONTH(AM$50,0)),"◆","")))</x:f>
      </x:c>
      <x:c r="AN54" s="57" t="str">
        <x:f>IF('制度詳細'!$H$18="",IF('制度詳細'!$J$18="","",IF(AND('制度詳細'!$J$18&gt;=AN$50,'制度詳細'!$J$18&lt;=EOMONTH(AN$50,0)),"◆","")),IF(MAX('制度詳細'!$H$18,AN$50)&lt;=MIN(IF('制度詳細'!$I$18="",EOMONTH(AN$50,0),'制度詳細'!$I$18),EOMONTH(AN$50,0)),"■",IF(AND('制度詳細'!$J$18&lt;&gt;"",'制度詳細'!$J$18&gt;=AN$50,'制度詳細'!$J$18&lt;=EOMONTH(AN$50,0)),"◆","")))</x:f>
      </x:c>
      <x:c r="AO54" s="57" t="str">
        <x:f>IF('制度詳細'!$H$18="",IF('制度詳細'!$J$18="","",IF(AND('制度詳細'!$J$18&gt;=AO$50,'制度詳細'!$J$18&lt;=EOMONTH(AO$50,0)),"◆","")),IF(MAX('制度詳細'!$H$18,AO$50)&lt;=MIN(IF('制度詳細'!$I$18="",EOMONTH(AO$50,0),'制度詳細'!$I$18),EOMONTH(AO$50,0)),"■",IF(AND('制度詳細'!$J$18&lt;&gt;"",'制度詳細'!$J$18&gt;=AO$50,'制度詳細'!$J$18&lt;=EOMONTH(AO$50,0)),"◆","")))</x:f>
      </x:c>
      <x:c r="AP54" s="57" t="str">
        <x:f>IF('制度詳細'!$H$18="",IF('制度詳細'!$J$18="","",IF(AND('制度詳細'!$J$18&gt;=AP$50,'制度詳細'!$J$18&lt;=EOMONTH(AP$50,0)),"◆","")),IF(MAX('制度詳細'!$H$18,AP$50)&lt;=MIN(IF('制度詳細'!$I$18="",EOMONTH(AP$50,0),'制度詳細'!$I$18),EOMONTH(AP$50,0)),"■",IF(AND('制度詳細'!$J$18&lt;&gt;"",'制度詳細'!$J$18&gt;=AP$50,'制度詳細'!$J$18&lt;=EOMONTH(AP$50,0)),"◆","")))</x:f>
      </x:c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</x:row>
    <x:row r="55" ht="30" customHeight="1">
      <x:c r="A55" s="54" t="str">
        <x:v>ID05 投資連動CBU/CKD輸入恩典</x:v>
      </x:c>
      <x:c r="B55" s="54"/>
      <x:c r="C55" s="54"/>
      <x:c r="D55" s="54"/>
      <x:c r="E55" s="54"/>
      <x:c r="F55" s="54"/>
      <x:c r="G55" s="57" t="str">
        <x:f>IF('制度詳細'!$H$19="",IF('制度詳細'!$J$19="","",IF(AND('制度詳細'!$J$19&gt;=G$50,'制度詳細'!$J$19&lt;=EOMONTH(G$50,0)),"◆","")),IF(MAX('制度詳細'!$H$19,G$50)&lt;=MIN(IF('制度詳細'!$I$19="",EOMONTH(G$50,0),'制度詳細'!$I$19),EOMONTH(G$50,0)),"■",IF(AND('制度詳細'!$J$19&lt;&gt;"",'制度詳細'!$J$19&gt;=G$50,'制度詳細'!$J$19&lt;=EOMONTH(G$50,0)),"◆","")))</x:f>
        <x:v>■</x:v>
      </x:c>
      <x:c r="H55" s="57" t="str">
        <x:f>IF('制度詳細'!$H$19="",IF('制度詳細'!$J$19="","",IF(AND('制度詳細'!$J$19&gt;=H$50,'制度詳細'!$J$19&lt;=EOMONTH(H$50,0)),"◆","")),IF(MAX('制度詳細'!$H$19,H$50)&lt;=MIN(IF('制度詳細'!$I$19="",EOMONTH(H$50,0),'制度詳細'!$I$19),EOMONTH(H$50,0)),"■",IF(AND('制度詳細'!$J$19&lt;&gt;"",'制度詳細'!$J$19&gt;=H$50,'制度詳細'!$J$19&lt;=EOMONTH(H$50,0)),"◆","")))</x:f>
        <x:v>■</x:v>
      </x:c>
      <x:c r="I55" s="57" t="str">
        <x:f>IF('制度詳細'!$H$19="",IF('制度詳細'!$J$19="","",IF(AND('制度詳細'!$J$19&gt;=I$50,'制度詳細'!$J$19&lt;=EOMONTH(I$50,0)),"◆","")),IF(MAX('制度詳細'!$H$19,I$50)&lt;=MIN(IF('制度詳細'!$I$19="",EOMONTH(I$50,0),'制度詳細'!$I$19),EOMONTH(I$50,0)),"■",IF(AND('制度詳細'!$J$19&lt;&gt;"",'制度詳細'!$J$19&gt;=I$50,'制度詳細'!$J$19&lt;=EOMONTH(I$50,0)),"◆","")))</x:f>
        <x:v>■</x:v>
      </x:c>
      <x:c r="J55" s="57" t="str">
        <x:f>IF('制度詳細'!$H$19="",IF('制度詳細'!$J$19="","",IF(AND('制度詳細'!$J$19&gt;=J$50,'制度詳細'!$J$19&lt;=EOMONTH(J$50,0)),"◆","")),IF(MAX('制度詳細'!$H$19,J$50)&lt;=MIN(IF('制度詳細'!$I$19="",EOMONTH(J$50,0),'制度詳細'!$I$19),EOMONTH(J$50,0)),"■",IF(AND('制度詳細'!$J$19&lt;&gt;"",'制度詳細'!$J$19&gt;=J$50,'制度詳細'!$J$19&lt;=EOMONTH(J$50,0)),"◆","")))</x:f>
        <x:v>■</x:v>
      </x:c>
      <x:c r="K55" s="57" t="str">
        <x:f>IF('制度詳細'!$H$19="",IF('制度詳細'!$J$19="","",IF(AND('制度詳細'!$J$19&gt;=K$50,'制度詳細'!$J$19&lt;=EOMONTH(K$50,0)),"◆","")),IF(MAX('制度詳細'!$H$19,K$50)&lt;=MIN(IF('制度詳細'!$I$19="",EOMONTH(K$50,0),'制度詳細'!$I$19),EOMONTH(K$50,0)),"■",IF(AND('制度詳細'!$J$19&lt;&gt;"",'制度詳細'!$J$19&gt;=K$50,'制度詳細'!$J$19&lt;=EOMONTH(K$50,0)),"◆","")))</x:f>
        <x:v>■</x:v>
      </x:c>
      <x:c r="L55" s="57" t="str">
        <x:f>IF('制度詳細'!$H$19="",IF('制度詳細'!$J$19="","",IF(AND('制度詳細'!$J$19&gt;=L$50,'制度詳細'!$J$19&lt;=EOMONTH(L$50,0)),"◆","")),IF(MAX('制度詳細'!$H$19,L$50)&lt;=MIN(IF('制度詳細'!$I$19="",EOMONTH(L$50,0),'制度詳細'!$I$19),EOMONTH(L$50,0)),"■",IF(AND('制度詳細'!$J$19&lt;&gt;"",'制度詳細'!$J$19&gt;=L$50,'制度詳細'!$J$19&lt;=EOMONTH(L$50,0)),"◆","")))</x:f>
        <x:v>■</x:v>
      </x:c>
      <x:c r="M55" s="57" t="str">
        <x:f>IF('制度詳細'!$H$19="",IF('制度詳細'!$J$19="","",IF(AND('制度詳細'!$J$19&gt;=M$50,'制度詳細'!$J$19&lt;=EOMONTH(M$50,0)),"◆","")),IF(MAX('制度詳細'!$H$19,M$50)&lt;=MIN(IF('制度詳細'!$I$19="",EOMONTH(M$50,0),'制度詳細'!$I$19),EOMONTH(M$50,0)),"■",IF(AND('制度詳細'!$J$19&lt;&gt;"",'制度詳細'!$J$19&gt;=M$50,'制度詳細'!$J$19&lt;=EOMONTH(M$50,0)),"◆","")))</x:f>
        <x:v>■</x:v>
      </x:c>
      <x:c r="N55" s="57" t="str">
        <x:f>IF('制度詳細'!$H$19="",IF('制度詳細'!$J$19="","",IF(AND('制度詳細'!$J$19&gt;=N$50,'制度詳細'!$J$19&lt;=EOMONTH(N$50,0)),"◆","")),IF(MAX('制度詳細'!$H$19,N$50)&lt;=MIN(IF('制度詳細'!$I$19="",EOMONTH(N$50,0),'制度詳細'!$I$19),EOMONTH(N$50,0)),"■",IF(AND('制度詳細'!$J$19&lt;&gt;"",'制度詳細'!$J$19&gt;=N$50,'制度詳細'!$J$19&lt;=EOMONTH(N$50,0)),"◆","")))</x:f>
        <x:v>■</x:v>
      </x:c>
      <x:c r="O55" s="57" t="str">
        <x:f>IF('制度詳細'!$H$19="",IF('制度詳細'!$J$19="","",IF(AND('制度詳細'!$J$19&gt;=O$50,'制度詳細'!$J$19&lt;=EOMONTH(O$50,0)),"◆","")),IF(MAX('制度詳細'!$H$19,O$50)&lt;=MIN(IF('制度詳細'!$I$19="",EOMONTH(O$50,0),'制度詳細'!$I$19),EOMONTH(O$50,0)),"■",IF(AND('制度詳細'!$J$19&lt;&gt;"",'制度詳細'!$J$19&gt;=O$50,'制度詳細'!$J$19&lt;=EOMONTH(O$50,0)),"◆","")))</x:f>
        <x:v>■</x:v>
      </x:c>
      <x:c r="P55" s="57" t="str">
        <x:f>IF('制度詳細'!$H$19="",IF('制度詳細'!$J$19="","",IF(AND('制度詳細'!$J$19&gt;=P$50,'制度詳細'!$J$19&lt;=EOMONTH(P$50,0)),"◆","")),IF(MAX('制度詳細'!$H$19,P$50)&lt;=MIN(IF('制度詳細'!$I$19="",EOMONTH(P$50,0),'制度詳細'!$I$19),EOMONTH(P$50,0)),"■",IF(AND('制度詳細'!$J$19&lt;&gt;"",'制度詳細'!$J$19&gt;=P$50,'制度詳細'!$J$19&lt;=EOMONTH(P$50,0)),"◆","")))</x:f>
        <x:v>■</x:v>
      </x:c>
      <x:c r="Q55" s="57" t="str">
        <x:f>IF('制度詳細'!$H$19="",IF('制度詳細'!$J$19="","",IF(AND('制度詳細'!$J$19&gt;=Q$50,'制度詳細'!$J$19&lt;=EOMONTH(Q$50,0)),"◆","")),IF(MAX('制度詳細'!$H$19,Q$50)&lt;=MIN(IF('制度詳細'!$I$19="",EOMONTH(Q$50,0),'制度詳細'!$I$19),EOMONTH(Q$50,0)),"■",IF(AND('制度詳細'!$J$19&lt;&gt;"",'制度詳細'!$J$19&gt;=Q$50,'制度詳細'!$J$19&lt;=EOMONTH(Q$50,0)),"◆","")))</x:f>
        <x:v>■</x:v>
      </x:c>
      <x:c r="R55" s="57" t="str">
        <x:f>IF('制度詳細'!$H$19="",IF('制度詳細'!$J$19="","",IF(AND('制度詳細'!$J$19&gt;=R$50,'制度詳細'!$J$19&lt;=EOMONTH(R$50,0)),"◆","")),IF(MAX('制度詳細'!$H$19,R$50)&lt;=MIN(IF('制度詳細'!$I$19="",EOMONTH(R$50,0),'制度詳細'!$I$19),EOMONTH(R$50,0)),"■",IF(AND('制度詳細'!$J$19&lt;&gt;"",'制度詳細'!$J$19&gt;=R$50,'制度詳細'!$J$19&lt;=EOMONTH(R$50,0)),"◆","")))</x:f>
        <x:v>■</x:v>
      </x:c>
      <x:c r="S55" s="57" t="str">
        <x:f>IF('制度詳細'!$H$19="",IF('制度詳細'!$J$19="","",IF(AND('制度詳細'!$J$19&gt;=S$50,'制度詳細'!$J$19&lt;=EOMONTH(S$50,0)),"◆","")),IF(MAX('制度詳細'!$H$19,S$50)&lt;=MIN(IF('制度詳細'!$I$19="",EOMONTH(S$50,0),'制度詳細'!$I$19),EOMONTH(S$50,0)),"■",IF(AND('制度詳細'!$J$19&lt;&gt;"",'制度詳細'!$J$19&gt;=S$50,'制度詳細'!$J$19&lt;=EOMONTH(S$50,0)),"◆","")))</x:f>
        <x:v>■</x:v>
      </x:c>
      <x:c r="T55" s="57" t="str">
        <x:f>IF('制度詳細'!$H$19="",IF('制度詳細'!$J$19="","",IF(AND('制度詳細'!$J$19&gt;=T$50,'制度詳細'!$J$19&lt;=EOMONTH(T$50,0)),"◆","")),IF(MAX('制度詳細'!$H$19,T$50)&lt;=MIN(IF('制度詳細'!$I$19="",EOMONTH(T$50,0),'制度詳細'!$I$19),EOMONTH(T$50,0)),"■",IF(AND('制度詳細'!$J$19&lt;&gt;"",'制度詳細'!$J$19&gt;=T$50,'制度詳細'!$J$19&lt;=EOMONTH(T$50,0)),"◆","")))</x:f>
        <x:v>■</x:v>
      </x:c>
      <x:c r="U55" s="57" t="str">
        <x:f>IF('制度詳細'!$H$19="",IF('制度詳細'!$J$19="","",IF(AND('制度詳細'!$J$19&gt;=U$50,'制度詳細'!$J$19&lt;=EOMONTH(U$50,0)),"◆","")),IF(MAX('制度詳細'!$H$19,U$50)&lt;=MIN(IF('制度詳細'!$I$19="",EOMONTH(U$50,0),'制度詳細'!$I$19),EOMONTH(U$50,0)),"■",IF(AND('制度詳細'!$J$19&lt;&gt;"",'制度詳細'!$J$19&gt;=U$50,'制度詳細'!$J$19&lt;=EOMONTH(U$50,0)),"◆","")))</x:f>
        <x:v>■</x:v>
      </x:c>
      <x:c r="V55" s="57" t="str">
        <x:f>IF('制度詳細'!$H$19="",IF('制度詳細'!$J$19="","",IF(AND('制度詳細'!$J$19&gt;=V$50,'制度詳細'!$J$19&lt;=EOMONTH(V$50,0)),"◆","")),IF(MAX('制度詳細'!$H$19,V$50)&lt;=MIN(IF('制度詳細'!$I$19="",EOMONTH(V$50,0),'制度詳細'!$I$19),EOMONTH(V$50,0)),"■",IF(AND('制度詳細'!$J$19&lt;&gt;"",'制度詳細'!$J$19&gt;=V$50,'制度詳細'!$J$19&lt;=EOMONTH(V$50,0)),"◆","")))</x:f>
        <x:v>■</x:v>
      </x:c>
      <x:c r="W55" s="57" t="str">
        <x:f>IF('制度詳細'!$H$19="",IF('制度詳細'!$J$19="","",IF(AND('制度詳細'!$J$19&gt;=W$50,'制度詳細'!$J$19&lt;=EOMONTH(W$50,0)),"◆","")),IF(MAX('制度詳細'!$H$19,W$50)&lt;=MIN(IF('制度詳細'!$I$19="",EOMONTH(W$50,0),'制度詳細'!$I$19),EOMONTH(W$50,0)),"■",IF(AND('制度詳細'!$J$19&lt;&gt;"",'制度詳細'!$J$19&gt;=W$50,'制度詳細'!$J$19&lt;=EOMONTH(W$50,0)),"◆","")))</x:f>
        <x:v>■</x:v>
      </x:c>
      <x:c r="X55" s="57" t="str">
        <x:f>IF('制度詳細'!$H$19="",IF('制度詳細'!$J$19="","",IF(AND('制度詳細'!$J$19&gt;=X$50,'制度詳細'!$J$19&lt;=EOMONTH(X$50,0)),"◆","")),IF(MAX('制度詳細'!$H$19,X$50)&lt;=MIN(IF('制度詳細'!$I$19="",EOMONTH(X$50,0),'制度詳細'!$I$19),EOMONTH(X$50,0)),"■",IF(AND('制度詳細'!$J$19&lt;&gt;"",'制度詳細'!$J$19&gt;=X$50,'制度詳細'!$J$19&lt;=EOMONTH(X$50,0)),"◆","")))</x:f>
        <x:v>■</x:v>
      </x:c>
      <x:c r="Y55" s="57" t="str">
        <x:f>IF('制度詳細'!$H$19="",IF('制度詳細'!$J$19="","",IF(AND('制度詳細'!$J$19&gt;=Y$50,'制度詳細'!$J$19&lt;=EOMONTH(Y$50,0)),"◆","")),IF(MAX('制度詳細'!$H$19,Y$50)&lt;=MIN(IF('制度詳細'!$I$19="",EOMONTH(Y$50,0),'制度詳細'!$I$19),EOMONTH(Y$50,0)),"■",IF(AND('制度詳細'!$J$19&lt;&gt;"",'制度詳細'!$J$19&gt;=Y$50,'制度詳細'!$J$19&lt;=EOMONTH(Y$50,0)),"◆","")))</x:f>
        <x:v>■</x:v>
      </x:c>
      <x:c r="Z55" s="57" t="str">
        <x:f>IF('制度詳細'!$H$19="",IF('制度詳細'!$J$19="","",IF(AND('制度詳細'!$J$19&gt;=Z$50,'制度詳細'!$J$19&lt;=EOMONTH(Z$50,0)),"◆","")),IF(MAX('制度詳細'!$H$19,Z$50)&lt;=MIN(IF('制度詳細'!$I$19="",EOMONTH(Z$50,0),'制度詳細'!$I$19),EOMONTH(Z$50,0)),"■",IF(AND('制度詳細'!$J$19&lt;&gt;"",'制度詳細'!$J$19&gt;=Z$50,'制度詳細'!$J$19&lt;=EOMONTH(Z$50,0)),"◆","")))</x:f>
        <x:v>■</x:v>
      </x:c>
      <x:c r="AA55" s="57" t="str">
        <x:f>IF('制度詳細'!$H$19="",IF('制度詳細'!$J$19="","",IF(AND('制度詳細'!$J$19&gt;=AA$50,'制度詳細'!$J$19&lt;=EOMONTH(AA$50,0)),"◆","")),IF(MAX('制度詳細'!$H$19,AA$50)&lt;=MIN(IF('制度詳細'!$I$19="",EOMONTH(AA$50,0),'制度詳細'!$I$19),EOMONTH(AA$50,0)),"■",IF(AND('制度詳細'!$J$19&lt;&gt;"",'制度詳細'!$J$19&gt;=AA$50,'制度詳細'!$J$19&lt;=EOMONTH(AA$50,0)),"◆","")))</x:f>
        <x:v>■</x:v>
      </x:c>
      <x:c r="AB55" s="57" t="str">
        <x:f>IF('制度詳細'!$H$19="",IF('制度詳細'!$J$19="","",IF(AND('制度詳細'!$J$19&gt;=AB$50,'制度詳細'!$J$19&lt;=EOMONTH(AB$50,0)),"◆","")),IF(MAX('制度詳細'!$H$19,AB$50)&lt;=MIN(IF('制度詳細'!$I$19="",EOMONTH(AB$50,0),'制度詳細'!$I$19),EOMONTH(AB$50,0)),"■",IF(AND('制度詳細'!$J$19&lt;&gt;"",'制度詳細'!$J$19&gt;=AB$50,'制度詳細'!$J$19&lt;=EOMONTH(AB$50,0)),"◆","")))</x:f>
        <x:v>■</x:v>
      </x:c>
      <x:c r="AC55" s="57" t="str">
        <x:f>IF('制度詳細'!$H$19="",IF('制度詳細'!$J$19="","",IF(AND('制度詳細'!$J$19&gt;=AC$50,'制度詳細'!$J$19&lt;=EOMONTH(AC$50,0)),"◆","")),IF(MAX('制度詳細'!$H$19,AC$50)&lt;=MIN(IF('制度詳細'!$I$19="",EOMONTH(AC$50,0),'制度詳細'!$I$19),EOMONTH(AC$50,0)),"■",IF(AND('制度詳細'!$J$19&lt;&gt;"",'制度詳細'!$J$19&gt;=AC$50,'制度詳細'!$J$19&lt;=EOMONTH(AC$50,0)),"◆","")))</x:f>
        <x:v>■</x:v>
      </x:c>
      <x:c r="AD55" s="57" t="str">
        <x:f>IF('制度詳細'!$H$19="",IF('制度詳細'!$J$19="","",IF(AND('制度詳細'!$J$19&gt;=AD$50,'制度詳細'!$J$19&lt;=EOMONTH(AD$50,0)),"◆","")),IF(MAX('制度詳細'!$H$19,AD$50)&lt;=MIN(IF('制度詳細'!$I$19="",EOMONTH(AD$50,0),'制度詳細'!$I$19),EOMONTH(AD$50,0)),"■",IF(AND('制度詳細'!$J$19&lt;&gt;"",'制度詳細'!$J$19&gt;=AD$50,'制度詳細'!$J$19&lt;=EOMONTH(AD$50,0)),"◆","")))</x:f>
        <x:v>■</x:v>
      </x:c>
      <x:c r="AE55" s="57" t="str">
        <x:f>IF('制度詳細'!$H$19="",IF('制度詳細'!$J$19="","",IF(AND('制度詳細'!$J$19&gt;=AE$50,'制度詳細'!$J$19&lt;=EOMONTH(AE$50,0)),"◆","")),IF(MAX('制度詳細'!$H$19,AE$50)&lt;=MIN(IF('制度詳細'!$I$19="",EOMONTH(AE$50,0),'制度詳細'!$I$19),EOMONTH(AE$50,0)),"■",IF(AND('制度詳細'!$J$19&lt;&gt;"",'制度詳細'!$J$19&gt;=AE$50,'制度詳細'!$J$19&lt;=EOMONTH(AE$50,0)),"◆","")))</x:f>
      </x:c>
      <x:c r="AF55" s="57" t="str">
        <x:f>IF('制度詳細'!$H$19="",IF('制度詳細'!$J$19="","",IF(AND('制度詳細'!$J$19&gt;=AF$50,'制度詳細'!$J$19&lt;=EOMONTH(AF$50,0)),"◆","")),IF(MAX('制度詳細'!$H$19,AF$50)&lt;=MIN(IF('制度詳細'!$I$19="",EOMONTH(AF$50,0),'制度詳細'!$I$19),EOMONTH(AF$50,0)),"■",IF(AND('制度詳細'!$J$19&lt;&gt;"",'制度詳細'!$J$19&gt;=AF$50,'制度詳細'!$J$19&lt;=EOMONTH(AF$50,0)),"◆","")))</x:f>
      </x:c>
      <x:c r="AG55" s="57" t="str">
        <x:f>IF('制度詳細'!$H$19="",IF('制度詳細'!$J$19="","",IF(AND('制度詳細'!$J$19&gt;=AG$50,'制度詳細'!$J$19&lt;=EOMONTH(AG$50,0)),"◆","")),IF(MAX('制度詳細'!$H$19,AG$50)&lt;=MIN(IF('制度詳細'!$I$19="",EOMONTH(AG$50,0),'制度詳細'!$I$19),EOMONTH(AG$50,0)),"■",IF(AND('制度詳細'!$J$19&lt;&gt;"",'制度詳細'!$J$19&gt;=AG$50,'制度詳細'!$J$19&lt;=EOMONTH(AG$50,0)),"◆","")))</x:f>
      </x:c>
      <x:c r="AH55" s="57" t="str">
        <x:f>IF('制度詳細'!$H$19="",IF('制度詳細'!$J$19="","",IF(AND('制度詳細'!$J$19&gt;=AH$50,'制度詳細'!$J$19&lt;=EOMONTH(AH$50,0)),"◆","")),IF(MAX('制度詳細'!$H$19,AH$50)&lt;=MIN(IF('制度詳細'!$I$19="",EOMONTH(AH$50,0),'制度詳細'!$I$19),EOMONTH(AH$50,0)),"■",IF(AND('制度詳細'!$J$19&lt;&gt;"",'制度詳細'!$J$19&gt;=AH$50,'制度詳細'!$J$19&lt;=EOMONTH(AH$50,0)),"◆","")))</x:f>
      </x:c>
      <x:c r="AI55" s="57" t="str">
        <x:f>IF('制度詳細'!$H$19="",IF('制度詳細'!$J$19="","",IF(AND('制度詳細'!$J$19&gt;=AI$50,'制度詳細'!$J$19&lt;=EOMONTH(AI$50,0)),"◆","")),IF(MAX('制度詳細'!$H$19,AI$50)&lt;=MIN(IF('制度詳細'!$I$19="",EOMONTH(AI$50,0),'制度詳細'!$I$19),EOMONTH(AI$50,0)),"■",IF(AND('制度詳細'!$J$19&lt;&gt;"",'制度詳細'!$J$19&gt;=AI$50,'制度詳細'!$J$19&lt;=EOMONTH(AI$50,0)),"◆","")))</x:f>
      </x:c>
      <x:c r="AJ55" s="57" t="str">
        <x:f>IF('制度詳細'!$H$19="",IF('制度詳細'!$J$19="","",IF(AND('制度詳細'!$J$19&gt;=AJ$50,'制度詳細'!$J$19&lt;=EOMONTH(AJ$50,0)),"◆","")),IF(MAX('制度詳細'!$H$19,AJ$50)&lt;=MIN(IF('制度詳細'!$I$19="",EOMONTH(AJ$50,0),'制度詳細'!$I$19),EOMONTH(AJ$50,0)),"■",IF(AND('制度詳細'!$J$19&lt;&gt;"",'制度詳細'!$J$19&gt;=AJ$50,'制度詳細'!$J$19&lt;=EOMONTH(AJ$50,0)),"◆","")))</x:f>
      </x:c>
      <x:c r="AK55" s="57" t="str">
        <x:f>IF('制度詳細'!$H$19="",IF('制度詳細'!$J$19="","",IF(AND('制度詳細'!$J$19&gt;=AK$50,'制度詳細'!$J$19&lt;=EOMONTH(AK$50,0)),"◆","")),IF(MAX('制度詳細'!$H$19,AK$50)&lt;=MIN(IF('制度詳細'!$I$19="",EOMONTH(AK$50,0),'制度詳細'!$I$19),EOMONTH(AK$50,0)),"■",IF(AND('制度詳細'!$J$19&lt;&gt;"",'制度詳細'!$J$19&gt;=AK$50,'制度詳細'!$J$19&lt;=EOMONTH(AK$50,0)),"◆","")))</x:f>
      </x:c>
      <x:c r="AL55" s="57" t="str">
        <x:f>IF('制度詳細'!$H$19="",IF('制度詳細'!$J$19="","",IF(AND('制度詳細'!$J$19&gt;=AL$50,'制度詳細'!$J$19&lt;=EOMONTH(AL$50,0)),"◆","")),IF(MAX('制度詳細'!$H$19,AL$50)&lt;=MIN(IF('制度詳細'!$I$19="",EOMONTH(AL$50,0),'制度詳細'!$I$19),EOMONTH(AL$50,0)),"■",IF(AND('制度詳細'!$J$19&lt;&gt;"",'制度詳細'!$J$19&gt;=AL$50,'制度詳細'!$J$19&lt;=EOMONTH(AL$50,0)),"◆","")))</x:f>
      </x:c>
      <x:c r="AM55" s="57" t="str">
        <x:f>IF('制度詳細'!$H$19="",IF('制度詳細'!$J$19="","",IF(AND('制度詳細'!$J$19&gt;=AM$50,'制度詳細'!$J$19&lt;=EOMONTH(AM$50,0)),"◆","")),IF(MAX('制度詳細'!$H$19,AM$50)&lt;=MIN(IF('制度詳細'!$I$19="",EOMONTH(AM$50,0),'制度詳細'!$I$19),EOMONTH(AM$50,0)),"■",IF(AND('制度詳細'!$J$19&lt;&gt;"",'制度詳細'!$J$19&gt;=AM$50,'制度詳細'!$J$19&lt;=EOMONTH(AM$50,0)),"◆","")))</x:f>
      </x:c>
      <x:c r="AN55" s="57" t="str">
        <x:f>IF('制度詳細'!$H$19="",IF('制度詳細'!$J$19="","",IF(AND('制度詳細'!$J$19&gt;=AN$50,'制度詳細'!$J$19&lt;=EOMONTH(AN$50,0)),"◆","")),IF(MAX('制度詳細'!$H$19,AN$50)&lt;=MIN(IF('制度詳細'!$I$19="",EOMONTH(AN$50,0),'制度詳細'!$I$19),EOMONTH(AN$50,0)),"■",IF(AND('制度詳細'!$J$19&lt;&gt;"",'制度詳細'!$J$19&gt;=AN$50,'制度詳細'!$J$19&lt;=EOMONTH(AN$50,0)),"◆","")))</x:f>
      </x:c>
      <x:c r="AO55" s="57" t="str">
        <x:f>IF('制度詳細'!$H$19="",IF('制度詳細'!$J$19="","",IF(AND('制度詳細'!$J$19&gt;=AO$50,'制度詳細'!$J$19&lt;=EOMONTH(AO$50,0)),"◆","")),IF(MAX('制度詳細'!$H$19,AO$50)&lt;=MIN(IF('制度詳細'!$I$19="",EOMONTH(AO$50,0),'制度詳細'!$I$19),EOMONTH(AO$50,0)),"■",IF(AND('制度詳細'!$J$19&lt;&gt;"",'制度詳細'!$J$19&gt;=AO$50,'制度詳細'!$J$19&lt;=EOMONTH(AO$50,0)),"◆","")))</x:f>
      </x:c>
      <x:c r="AP55" s="57" t="str">
        <x:f>IF('制度詳細'!$H$19="",IF('制度詳細'!$J$19="","",IF(AND('制度詳細'!$J$19&gt;=AP$50,'制度詳細'!$J$19&lt;=EOMONTH(AP$50,0)),"◆","")),IF(MAX('制度詳細'!$H$19,AP$50)&lt;=MIN(IF('制度詳細'!$I$19="",EOMONTH(AP$50,0),'制度詳細'!$I$19),EOMONTH(AP$50,0)),"■",IF(AND('制度詳細'!$J$19&lt;&gt;"",'制度詳細'!$J$19&gt;=AP$50,'制度詳細'!$J$19&lt;=EOMONTH(AP$50,0)),"◆","")))</x:f>
      </x:c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</x:row>
    <x:row r="56" ht="30" customHeight="1">
      <x:c r="A56" s="59" t="str">
        <x:v>ID06 商業生産開始の期限</x:v>
      </x:c>
      <x:c r="B56" s="59"/>
      <x:c r="C56" s="59"/>
      <x:c r="D56" s="59"/>
      <x:c r="E56" s="59"/>
      <x:c r="F56" s="59"/>
      <x:c r="G56" s="57" t="str">
        <x:f>IF('制度詳細'!$H$20="",IF('制度詳細'!$J$20="","",IF(AND('制度詳細'!$J$20&gt;=G$50,'制度詳細'!$J$20&lt;=EOMONTH(G$50,0)),"◆","")),IF(MAX('制度詳細'!$H$20,G$50)&lt;=MIN(IF('制度詳細'!$I$20="",EOMONTH(G$50,0),'制度詳細'!$I$20),EOMONTH(G$50,0)),"■",IF(AND('制度詳細'!$J$20&lt;&gt;"",'制度詳細'!$J$20&gt;=G$50,'制度詳細'!$J$20&lt;=EOMONTH(G$50,0)),"◆","")))</x:f>
      </x:c>
      <x:c r="H56" s="57" t="str">
        <x:f>IF('制度詳細'!$H$20="",IF('制度詳細'!$J$20="","",IF(AND('制度詳細'!$J$20&gt;=H$50,'制度詳細'!$J$20&lt;=EOMONTH(H$50,0)),"◆","")),IF(MAX('制度詳細'!$H$20,H$50)&lt;=MIN(IF('制度詳細'!$I$20="",EOMONTH(H$50,0),'制度詳細'!$I$20),EOMONTH(H$50,0)),"■",IF(AND('制度詳細'!$J$20&lt;&gt;"",'制度詳細'!$J$20&gt;=H$50,'制度詳細'!$J$20&lt;=EOMONTH(H$50,0)),"◆","")))</x:f>
      </x:c>
      <x:c r="I56" s="57" t="str">
        <x:f>IF('制度詳細'!$H$20="",IF('制度詳細'!$J$20="","",IF(AND('制度詳細'!$J$20&gt;=I$50,'制度詳細'!$J$20&lt;=EOMONTH(I$50,0)),"◆","")),IF(MAX('制度詳細'!$H$20,I$50)&lt;=MIN(IF('制度詳細'!$I$20="",EOMONTH(I$50,0),'制度詳細'!$I$20),EOMONTH(I$50,0)),"■",IF(AND('制度詳細'!$J$20&lt;&gt;"",'制度詳細'!$J$20&gt;=I$50,'制度詳細'!$J$20&lt;=EOMONTH(I$50,0)),"◆","")))</x:f>
      </x:c>
      <x:c r="J56" s="57" t="str">
        <x:f>IF('制度詳細'!$H$20="",IF('制度詳細'!$J$20="","",IF(AND('制度詳細'!$J$20&gt;=J$50,'制度詳細'!$J$20&lt;=EOMONTH(J$50,0)),"◆","")),IF(MAX('制度詳細'!$H$20,J$50)&lt;=MIN(IF('制度詳細'!$I$20="",EOMONTH(J$50,0),'制度詳細'!$I$20),EOMONTH(J$50,0)),"■",IF(AND('制度詳細'!$J$20&lt;&gt;"",'制度詳細'!$J$20&gt;=J$50,'制度詳細'!$J$20&lt;=EOMONTH(J$50,0)),"◆","")))</x:f>
      </x:c>
      <x:c r="K56" s="57" t="str">
        <x:f>IF('制度詳細'!$H$20="",IF('制度詳細'!$J$20="","",IF(AND('制度詳細'!$J$20&gt;=K$50,'制度詳細'!$J$20&lt;=EOMONTH(K$50,0)),"◆","")),IF(MAX('制度詳細'!$H$20,K$50)&lt;=MIN(IF('制度詳細'!$I$20="",EOMONTH(K$50,0),'制度詳細'!$I$20),EOMONTH(K$50,0)),"■",IF(AND('制度詳細'!$J$20&lt;&gt;"",'制度詳細'!$J$20&gt;=K$50,'制度詳細'!$J$20&lt;=EOMONTH(K$50,0)),"◆","")))</x:f>
      </x:c>
      <x:c r="L56" s="57" t="str">
        <x:f>IF('制度詳細'!$H$20="",IF('制度詳細'!$J$20="","",IF(AND('制度詳細'!$J$20&gt;=L$50,'制度詳細'!$J$20&lt;=EOMONTH(L$50,0)),"◆","")),IF(MAX('制度詳細'!$H$20,L$50)&lt;=MIN(IF('制度詳細'!$I$20="",EOMONTH(L$50,0),'制度詳細'!$I$20),EOMONTH(L$50,0)),"■",IF(AND('制度詳細'!$J$20&lt;&gt;"",'制度詳細'!$J$20&gt;=L$50,'制度詳細'!$J$20&lt;=EOMONTH(L$50,0)),"◆","")))</x:f>
      </x:c>
      <x:c r="M56" s="57" t="str">
        <x:f>IF('制度詳細'!$H$20="",IF('制度詳細'!$J$20="","",IF(AND('制度詳細'!$J$20&gt;=M$50,'制度詳細'!$J$20&lt;=EOMONTH(M$50,0)),"◆","")),IF(MAX('制度詳細'!$H$20,M$50)&lt;=MIN(IF('制度詳細'!$I$20="",EOMONTH(M$50,0),'制度詳細'!$I$20),EOMONTH(M$50,0)),"■",IF(AND('制度詳細'!$J$20&lt;&gt;"",'制度詳細'!$J$20&gt;=M$50,'制度詳細'!$J$20&lt;=EOMONTH(M$50,0)),"◆","")))</x:f>
      </x:c>
      <x:c r="N56" s="57" t="str">
        <x:f>IF('制度詳細'!$H$20="",IF('制度詳細'!$J$20="","",IF(AND('制度詳細'!$J$20&gt;=N$50,'制度詳細'!$J$20&lt;=EOMONTH(N$50,0)),"◆","")),IF(MAX('制度詳細'!$H$20,N$50)&lt;=MIN(IF('制度詳細'!$I$20="",EOMONTH(N$50,0),'制度詳細'!$I$20),EOMONTH(N$50,0)),"■",IF(AND('制度詳細'!$J$20&lt;&gt;"",'制度詳細'!$J$20&gt;=N$50,'制度詳細'!$J$20&lt;=EOMONTH(N$50,0)),"◆","")))</x:f>
      </x:c>
      <x:c r="O56" s="57" t="str">
        <x:f>IF('制度詳細'!$H$20="",IF('制度詳細'!$J$20="","",IF(AND('制度詳細'!$J$20&gt;=O$50,'制度詳細'!$J$20&lt;=EOMONTH(O$50,0)),"◆","")),IF(MAX('制度詳細'!$H$20,O$50)&lt;=MIN(IF('制度詳細'!$I$20="",EOMONTH(O$50,0),'制度詳細'!$I$20),EOMONTH(O$50,0)),"■",IF(AND('制度詳細'!$J$20&lt;&gt;"",'制度詳細'!$J$20&gt;=O$50,'制度詳細'!$J$20&lt;=EOMONTH(O$50,0)),"◆","")))</x:f>
      </x:c>
      <x:c r="P56" s="57" t="str">
        <x:f>IF('制度詳細'!$H$20="",IF('制度詳細'!$J$20="","",IF(AND('制度詳細'!$J$20&gt;=P$50,'制度詳細'!$J$20&lt;=EOMONTH(P$50,0)),"◆","")),IF(MAX('制度詳細'!$H$20,P$50)&lt;=MIN(IF('制度詳細'!$I$20="",EOMONTH(P$50,0),'制度詳細'!$I$20),EOMONTH(P$50,0)),"■",IF(AND('制度詳細'!$J$20&lt;&gt;"",'制度詳細'!$J$20&gt;=P$50,'制度詳細'!$J$20&lt;=EOMONTH(P$50,0)),"◆","")))</x:f>
      </x:c>
      <x:c r="Q56" s="57" t="str">
        <x:f>IF('制度詳細'!$H$20="",IF('制度詳細'!$J$20="","",IF(AND('制度詳細'!$J$20&gt;=Q$50,'制度詳細'!$J$20&lt;=EOMONTH(Q$50,0)),"◆","")),IF(MAX('制度詳細'!$H$20,Q$50)&lt;=MIN(IF('制度詳細'!$I$20="",EOMONTH(Q$50,0),'制度詳細'!$I$20),EOMONTH(Q$50,0)),"■",IF(AND('制度詳細'!$J$20&lt;&gt;"",'制度詳細'!$J$20&gt;=Q$50,'制度詳細'!$J$20&lt;=EOMONTH(Q$50,0)),"◆","")))</x:f>
      </x:c>
      <x:c r="R56" s="57" t="str">
        <x:f>IF('制度詳細'!$H$20="",IF('制度詳細'!$J$20="","",IF(AND('制度詳細'!$J$20&gt;=R$50,'制度詳細'!$J$20&lt;=EOMONTH(R$50,0)),"◆","")),IF(MAX('制度詳細'!$H$20,R$50)&lt;=MIN(IF('制度詳細'!$I$20="",EOMONTH(R$50,0),'制度詳細'!$I$20),EOMONTH(R$50,0)),"■",IF(AND('制度詳細'!$J$20&lt;&gt;"",'制度詳細'!$J$20&gt;=R$50,'制度詳細'!$J$20&lt;=EOMONTH(R$50,0)),"◆","")))</x:f>
      </x:c>
      <x:c r="S56" s="57" t="str">
        <x:f>IF('制度詳細'!$H$20="",IF('制度詳細'!$J$20="","",IF(AND('制度詳細'!$J$20&gt;=S$50,'制度詳細'!$J$20&lt;=EOMONTH(S$50,0)),"◆","")),IF(MAX('制度詳細'!$H$20,S$50)&lt;=MIN(IF('制度詳細'!$I$20="",EOMONTH(S$50,0),'制度詳細'!$I$20),EOMONTH(S$50,0)),"■",IF(AND('制度詳細'!$J$20&lt;&gt;"",'制度詳細'!$J$20&gt;=S$50,'制度詳細'!$J$20&lt;=EOMONTH(S$50,0)),"◆","")))</x:f>
      </x:c>
      <x:c r="T56" s="57" t="str">
        <x:f>IF('制度詳細'!$H$20="",IF('制度詳細'!$J$20="","",IF(AND('制度詳細'!$J$20&gt;=T$50,'制度詳細'!$J$20&lt;=EOMONTH(T$50,0)),"◆","")),IF(MAX('制度詳細'!$H$20,T$50)&lt;=MIN(IF('制度詳細'!$I$20="",EOMONTH(T$50,0),'制度詳細'!$I$20),EOMONTH(T$50,0)),"■",IF(AND('制度詳細'!$J$20&lt;&gt;"",'制度詳細'!$J$20&gt;=T$50,'制度詳細'!$J$20&lt;=EOMONTH(T$50,0)),"◆","")))</x:f>
      </x:c>
      <x:c r="U56" s="57" t="str">
        <x:f>IF('制度詳細'!$H$20="",IF('制度詳細'!$J$20="","",IF(AND('制度詳細'!$J$20&gt;=U$50,'制度詳細'!$J$20&lt;=EOMONTH(U$50,0)),"◆","")),IF(MAX('制度詳細'!$H$20,U$50)&lt;=MIN(IF('制度詳細'!$I$20="",EOMONTH(U$50,0),'制度詳細'!$I$20),EOMONTH(U$50,0)),"■",IF(AND('制度詳細'!$J$20&lt;&gt;"",'制度詳細'!$J$20&gt;=U$50,'制度詳細'!$J$20&lt;=EOMONTH(U$50,0)),"◆","")))</x:f>
      </x:c>
      <x:c r="V56" s="57" t="str">
        <x:f>IF('制度詳細'!$H$20="",IF('制度詳細'!$J$20="","",IF(AND('制度詳細'!$J$20&gt;=V$50,'制度詳細'!$J$20&lt;=EOMONTH(V$50,0)),"◆","")),IF(MAX('制度詳細'!$H$20,V$50)&lt;=MIN(IF('制度詳細'!$I$20="",EOMONTH(V$50,0),'制度詳細'!$I$20),EOMONTH(V$50,0)),"■",IF(AND('制度詳細'!$J$20&lt;&gt;"",'制度詳細'!$J$20&gt;=V$50,'制度詳細'!$J$20&lt;=EOMONTH(V$50,0)),"◆","")))</x:f>
      </x:c>
      <x:c r="W56" s="57" t="str">
        <x:f>IF('制度詳細'!$H$20="",IF('制度詳細'!$J$20="","",IF(AND('制度詳細'!$J$20&gt;=W$50,'制度詳細'!$J$20&lt;=EOMONTH(W$50,0)),"◆","")),IF(MAX('制度詳細'!$H$20,W$50)&lt;=MIN(IF('制度詳細'!$I$20="",EOMONTH(W$50,0),'制度詳細'!$I$20),EOMONTH(W$50,0)),"■",IF(AND('制度詳細'!$J$20&lt;&gt;"",'制度詳細'!$J$20&gt;=W$50,'制度詳細'!$J$20&lt;=EOMONTH(W$50,0)),"◆","")))</x:f>
      </x:c>
      <x:c r="X56" s="57" t="str">
        <x:f>IF('制度詳細'!$H$20="",IF('制度詳細'!$J$20="","",IF(AND('制度詳細'!$J$20&gt;=X$50,'制度詳細'!$J$20&lt;=EOMONTH(X$50,0)),"◆","")),IF(MAX('制度詳細'!$H$20,X$50)&lt;=MIN(IF('制度詳細'!$I$20="",EOMONTH(X$50,0),'制度詳細'!$I$20),EOMONTH(X$50,0)),"■",IF(AND('制度詳細'!$J$20&lt;&gt;"",'制度詳細'!$J$20&gt;=X$50,'制度詳細'!$J$20&lt;=EOMONTH(X$50,0)),"◆","")))</x:f>
      </x:c>
      <x:c r="Y56" s="57" t="str">
        <x:f>IF('制度詳細'!$H$20="",IF('制度詳細'!$J$20="","",IF(AND('制度詳細'!$J$20&gt;=Y$50,'制度詳細'!$J$20&lt;=EOMONTH(Y$50,0)),"◆","")),IF(MAX('制度詳細'!$H$20,Y$50)&lt;=MIN(IF('制度詳細'!$I$20="",EOMONTH(Y$50,0),'制度詳細'!$I$20),EOMONTH(Y$50,0)),"■",IF(AND('制度詳細'!$J$20&lt;&gt;"",'制度詳細'!$J$20&gt;=Y$50,'制度詳細'!$J$20&lt;=EOMONTH(Y$50,0)),"◆","")))</x:f>
      </x:c>
      <x:c r="Z56" s="57" t="str">
        <x:f>IF('制度詳細'!$H$20="",IF('制度詳細'!$J$20="","",IF(AND('制度詳細'!$J$20&gt;=Z$50,'制度詳細'!$J$20&lt;=EOMONTH(Z$50,0)),"◆","")),IF(MAX('制度詳細'!$H$20,Z$50)&lt;=MIN(IF('制度詳細'!$I$20="",EOMONTH(Z$50,0),'制度詳細'!$I$20),EOMONTH(Z$50,0)),"■",IF(AND('制度詳細'!$J$20&lt;&gt;"",'制度詳細'!$J$20&gt;=Z$50,'制度詳細'!$J$20&lt;=EOMONTH(Z$50,0)),"◆","")))</x:f>
      </x:c>
      <x:c r="AA56" s="57" t="str">
        <x:f>IF('制度詳細'!$H$20="",IF('制度詳細'!$J$20="","",IF(AND('制度詳細'!$J$20&gt;=AA$50,'制度詳細'!$J$20&lt;=EOMONTH(AA$50,0)),"◆","")),IF(MAX('制度詳細'!$H$20,AA$50)&lt;=MIN(IF('制度詳細'!$I$20="",EOMONTH(AA$50,0),'制度詳細'!$I$20),EOMONTH(AA$50,0)),"■",IF(AND('制度詳細'!$J$20&lt;&gt;"",'制度詳細'!$J$20&gt;=AA$50,'制度詳細'!$J$20&lt;=EOMONTH(AA$50,0)),"◆","")))</x:f>
      </x:c>
      <x:c r="AB56" s="57" t="str">
        <x:f>IF('制度詳細'!$H$20="",IF('制度詳細'!$J$20="","",IF(AND('制度詳細'!$J$20&gt;=AB$50,'制度詳細'!$J$20&lt;=EOMONTH(AB$50,0)),"◆","")),IF(MAX('制度詳細'!$H$20,AB$50)&lt;=MIN(IF('制度詳細'!$I$20="",EOMONTH(AB$50,0),'制度詳細'!$I$20),EOMONTH(AB$50,0)),"■",IF(AND('制度詳細'!$J$20&lt;&gt;"",'制度詳細'!$J$20&gt;=AB$50,'制度詳細'!$J$20&lt;=EOMONTH(AB$50,0)),"◆","")))</x:f>
      </x:c>
      <x:c r="AC56" s="57" t="str">
        <x:f>IF('制度詳細'!$H$20="",IF('制度詳細'!$J$20="","",IF(AND('制度詳細'!$J$20&gt;=AC$50,'制度詳細'!$J$20&lt;=EOMONTH(AC$50,0)),"◆","")),IF(MAX('制度詳細'!$H$20,AC$50)&lt;=MIN(IF('制度詳細'!$I$20="",EOMONTH(AC$50,0),'制度詳細'!$I$20),EOMONTH(AC$50,0)),"■",IF(AND('制度詳細'!$J$20&lt;&gt;"",'制度詳細'!$J$20&gt;=AC$50,'制度詳細'!$J$20&lt;=EOMONTH(AC$50,0)),"◆","")))</x:f>
      </x:c>
      <x:c r="AD56" s="57" t="str">
        <x:f>IF('制度詳細'!$H$20="",IF('制度詳細'!$J$20="","",IF(AND('制度詳細'!$J$20&gt;=AD$50,'制度詳細'!$J$20&lt;=EOMONTH(AD$50,0)),"◆","")),IF(MAX('制度詳細'!$H$20,AD$50)&lt;=MIN(IF('制度詳細'!$I$20="",EOMONTH(AD$50,0),'制度詳細'!$I$20),EOMONTH(AD$50,0)),"■",IF(AND('制度詳細'!$J$20&lt;&gt;"",'制度詳細'!$J$20&gt;=AD$50,'制度詳細'!$J$20&lt;=EOMONTH(AD$50,0)),"◆","")))</x:f>
      </x:c>
      <x:c r="AE56" s="57" t="str">
        <x:f>IF('制度詳細'!$H$20="",IF('制度詳細'!$J$20="","",IF(AND('制度詳細'!$J$20&gt;=AE$50,'制度詳細'!$J$20&lt;=EOMONTH(AE$50,0)),"◆","")),IF(MAX('制度詳細'!$H$20,AE$50)&lt;=MIN(IF('制度詳細'!$I$20="",EOMONTH(AE$50,0),'制度詳細'!$I$20),EOMONTH(AE$50,0)),"■",IF(AND('制度詳細'!$J$20&lt;&gt;"",'制度詳細'!$J$20&gt;=AE$50,'制度詳細'!$J$20&lt;=EOMONTH(AE$50,0)),"◆","")))</x:f>
        <x:v>■</x:v>
      </x:c>
      <x:c r="AF56" s="57" t="str">
        <x:f>IF('制度詳細'!$H$20="",IF('制度詳細'!$J$20="","",IF(AND('制度詳細'!$J$20&gt;=AF$50,'制度詳細'!$J$20&lt;=EOMONTH(AF$50,0)),"◆","")),IF(MAX('制度詳細'!$H$20,AF$50)&lt;=MIN(IF('制度詳細'!$I$20="",EOMONTH(AF$50,0),'制度詳細'!$I$20),EOMONTH(AF$50,0)),"■",IF(AND('制度詳細'!$J$20&lt;&gt;"",'制度詳細'!$J$20&gt;=AF$50,'制度詳細'!$J$20&lt;=EOMONTH(AF$50,0)),"◆","")))</x:f>
      </x:c>
      <x:c r="AG56" s="57" t="str">
        <x:f>IF('制度詳細'!$H$20="",IF('制度詳細'!$J$20="","",IF(AND('制度詳細'!$J$20&gt;=AG$50,'制度詳細'!$J$20&lt;=EOMONTH(AG$50,0)),"◆","")),IF(MAX('制度詳細'!$H$20,AG$50)&lt;=MIN(IF('制度詳細'!$I$20="",EOMONTH(AG$50,0),'制度詳細'!$I$20),EOMONTH(AG$50,0)),"■",IF(AND('制度詳細'!$J$20&lt;&gt;"",'制度詳細'!$J$20&gt;=AG$50,'制度詳細'!$J$20&lt;=EOMONTH(AG$50,0)),"◆","")))</x:f>
      </x:c>
      <x:c r="AH56" s="57" t="str">
        <x:f>IF('制度詳細'!$H$20="",IF('制度詳細'!$J$20="","",IF(AND('制度詳細'!$J$20&gt;=AH$50,'制度詳細'!$J$20&lt;=EOMONTH(AH$50,0)),"◆","")),IF(MAX('制度詳細'!$H$20,AH$50)&lt;=MIN(IF('制度詳細'!$I$20="",EOMONTH(AH$50,0),'制度詳細'!$I$20),EOMONTH(AH$50,0)),"■",IF(AND('制度詳細'!$J$20&lt;&gt;"",'制度詳細'!$J$20&gt;=AH$50,'制度詳細'!$J$20&lt;=EOMONTH(AH$50,0)),"◆","")))</x:f>
      </x:c>
      <x:c r="AI56" s="57" t="str">
        <x:f>IF('制度詳細'!$H$20="",IF('制度詳細'!$J$20="","",IF(AND('制度詳細'!$J$20&gt;=AI$50,'制度詳細'!$J$20&lt;=EOMONTH(AI$50,0)),"◆","")),IF(MAX('制度詳細'!$H$20,AI$50)&lt;=MIN(IF('制度詳細'!$I$20="",EOMONTH(AI$50,0),'制度詳細'!$I$20),EOMONTH(AI$50,0)),"■",IF(AND('制度詳細'!$J$20&lt;&gt;"",'制度詳細'!$J$20&gt;=AI$50,'制度詳細'!$J$20&lt;=EOMONTH(AI$50,0)),"◆","")))</x:f>
      </x:c>
      <x:c r="AJ56" s="57" t="str">
        <x:f>IF('制度詳細'!$H$20="",IF('制度詳細'!$J$20="","",IF(AND('制度詳細'!$J$20&gt;=AJ$50,'制度詳細'!$J$20&lt;=EOMONTH(AJ$50,0)),"◆","")),IF(MAX('制度詳細'!$H$20,AJ$50)&lt;=MIN(IF('制度詳細'!$I$20="",EOMONTH(AJ$50,0),'制度詳細'!$I$20),EOMONTH(AJ$50,0)),"■",IF(AND('制度詳細'!$J$20&lt;&gt;"",'制度詳細'!$J$20&gt;=AJ$50,'制度詳細'!$J$20&lt;=EOMONTH(AJ$50,0)),"◆","")))</x:f>
      </x:c>
      <x:c r="AK56" s="57" t="str">
        <x:f>IF('制度詳細'!$H$20="",IF('制度詳細'!$J$20="","",IF(AND('制度詳細'!$J$20&gt;=AK$50,'制度詳細'!$J$20&lt;=EOMONTH(AK$50,0)),"◆","")),IF(MAX('制度詳細'!$H$20,AK$50)&lt;=MIN(IF('制度詳細'!$I$20="",EOMONTH(AK$50,0),'制度詳細'!$I$20),EOMONTH(AK$50,0)),"■",IF(AND('制度詳細'!$J$20&lt;&gt;"",'制度詳細'!$J$20&gt;=AK$50,'制度詳細'!$J$20&lt;=EOMONTH(AK$50,0)),"◆","")))</x:f>
      </x:c>
      <x:c r="AL56" s="57" t="str">
        <x:f>IF('制度詳細'!$H$20="",IF('制度詳細'!$J$20="","",IF(AND('制度詳細'!$J$20&gt;=AL$50,'制度詳細'!$J$20&lt;=EOMONTH(AL$50,0)),"◆","")),IF(MAX('制度詳細'!$H$20,AL$50)&lt;=MIN(IF('制度詳細'!$I$20="",EOMONTH(AL$50,0),'制度詳細'!$I$20),EOMONTH(AL$50,0)),"■",IF(AND('制度詳細'!$J$20&lt;&gt;"",'制度詳細'!$J$20&gt;=AL$50,'制度詳細'!$J$20&lt;=EOMONTH(AL$50,0)),"◆","")))</x:f>
      </x:c>
      <x:c r="AM56" s="57" t="str">
        <x:f>IF('制度詳細'!$H$20="",IF('制度詳細'!$J$20="","",IF(AND('制度詳細'!$J$20&gt;=AM$50,'制度詳細'!$J$20&lt;=EOMONTH(AM$50,0)),"◆","")),IF(MAX('制度詳細'!$H$20,AM$50)&lt;=MIN(IF('制度詳細'!$I$20="",EOMONTH(AM$50,0),'制度詳細'!$I$20),EOMONTH(AM$50,0)),"■",IF(AND('制度詳細'!$J$20&lt;&gt;"",'制度詳細'!$J$20&gt;=AM$50,'制度詳細'!$J$20&lt;=EOMONTH(AM$50,0)),"◆","")))</x:f>
      </x:c>
      <x:c r="AN56" s="57" t="str">
        <x:f>IF('制度詳細'!$H$20="",IF('制度詳細'!$J$20="","",IF(AND('制度詳細'!$J$20&gt;=AN$50,'制度詳細'!$J$20&lt;=EOMONTH(AN$50,0)),"◆","")),IF(MAX('制度詳細'!$H$20,AN$50)&lt;=MIN(IF('制度詳細'!$I$20="",EOMONTH(AN$50,0),'制度詳細'!$I$20),EOMONTH(AN$50,0)),"■",IF(AND('制度詳細'!$J$20&lt;&gt;"",'制度詳細'!$J$20&gt;=AN$50,'制度詳細'!$J$20&lt;=EOMONTH(AN$50,0)),"◆","")))</x:f>
      </x:c>
      <x:c r="AO56" s="57" t="str">
        <x:f>IF('制度詳細'!$H$20="",IF('制度詳細'!$J$20="","",IF(AND('制度詳細'!$J$20&gt;=AO$50,'制度詳細'!$J$20&lt;=EOMONTH(AO$50,0)),"◆","")),IF(MAX('制度詳細'!$H$20,AO$50)&lt;=MIN(IF('制度詳細'!$I$20="",EOMONTH(AO$50,0),'制度詳細'!$I$20),EOMONTH(AO$50,0)),"■",IF(AND('制度詳細'!$J$20&lt;&gt;"",'制度詳細'!$J$20&gt;=AO$50,'制度詳細'!$J$20&lt;=EOMONTH(AO$50,0)),"◆","")))</x:f>
      </x:c>
      <x:c r="AP56" s="57" t="str">
        <x:f>IF('制度詳細'!$H$20="",IF('制度詳細'!$J$20="","",IF(AND('制度詳細'!$J$20&gt;=AP$50,'制度詳細'!$J$20&lt;=EOMONTH(AP$50,0)),"◆","")),IF(MAX('制度詳細'!$H$20,AP$50)&lt;=MIN(IF('制度詳細'!$I$20="",EOMONTH(AP$50,0),'制度詳細'!$I$20),EOMONTH(AP$50,0)),"■",IF(AND('制度詳細'!$J$20&lt;&gt;"",'制度詳細'!$J$20&gt;=AP$50,'制度詳細'!$J$20&lt;=EOMONTH(AP$50,0)),"◆","")))</x:f>
      </x:c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</x:row>
    <x:row r="57" ht="30" customHeight="1">
      <x:c r="A57" s="54" t="str">
        <x:v>ID07 輸入分の補填生産期限</x:v>
      </x:c>
      <x:c r="B57" s="54"/>
      <x:c r="C57" s="54"/>
      <x:c r="D57" s="54"/>
      <x:c r="E57" s="54"/>
      <x:c r="F57" s="54"/>
      <x:c r="G57" s="57" t="str">
        <x:f>IF('制度詳細'!$H$21="",IF('制度詳細'!$J$21="","",IF(AND('制度詳細'!$J$21&gt;=G$50,'制度詳細'!$J$21&lt;=EOMONTH(G$50,0)),"◆","")),IF(MAX('制度詳細'!$H$21,G$50)&lt;=MIN(IF('制度詳細'!$I$21="",EOMONTH(G$50,0),'制度詳細'!$I$21),EOMONTH(G$50,0)),"■",IF(AND('制度詳細'!$J$21&lt;&gt;"",'制度詳細'!$J$21&gt;=G$50,'制度詳細'!$J$21&lt;=EOMONTH(G$50,0)),"◆","")))</x:f>
      </x:c>
      <x:c r="H57" s="57" t="str">
        <x:f>IF('制度詳細'!$H$21="",IF('制度詳細'!$J$21="","",IF(AND('制度詳細'!$J$21&gt;=H$50,'制度詳細'!$J$21&lt;=EOMONTH(H$50,0)),"◆","")),IF(MAX('制度詳細'!$H$21,H$50)&lt;=MIN(IF('制度詳細'!$I$21="",EOMONTH(H$50,0),'制度詳細'!$I$21),EOMONTH(H$50,0)),"■",IF(AND('制度詳細'!$J$21&lt;&gt;"",'制度詳細'!$J$21&gt;=H$50,'制度詳細'!$J$21&lt;=EOMONTH(H$50,0)),"◆","")))</x:f>
      </x:c>
      <x:c r="I57" s="57" t="str">
        <x:f>IF('制度詳細'!$H$21="",IF('制度詳細'!$J$21="","",IF(AND('制度詳細'!$J$21&gt;=I$50,'制度詳細'!$J$21&lt;=EOMONTH(I$50,0)),"◆","")),IF(MAX('制度詳細'!$H$21,I$50)&lt;=MIN(IF('制度詳細'!$I$21="",EOMONTH(I$50,0),'制度詳細'!$I$21),EOMONTH(I$50,0)),"■",IF(AND('制度詳細'!$J$21&lt;&gt;"",'制度詳細'!$J$21&gt;=I$50,'制度詳細'!$J$21&lt;=EOMONTH(I$50,0)),"◆","")))</x:f>
      </x:c>
      <x:c r="J57" s="57" t="str">
        <x:f>IF('制度詳細'!$H$21="",IF('制度詳細'!$J$21="","",IF(AND('制度詳細'!$J$21&gt;=J$50,'制度詳細'!$J$21&lt;=EOMONTH(J$50,0)),"◆","")),IF(MAX('制度詳細'!$H$21,J$50)&lt;=MIN(IF('制度詳細'!$I$21="",EOMONTH(J$50,0),'制度詳細'!$I$21),EOMONTH(J$50,0)),"■",IF(AND('制度詳細'!$J$21&lt;&gt;"",'制度詳細'!$J$21&gt;=J$50,'制度詳細'!$J$21&lt;=EOMONTH(J$50,0)),"◆","")))</x:f>
      </x:c>
      <x:c r="K57" s="57" t="str">
        <x:f>IF('制度詳細'!$H$21="",IF('制度詳細'!$J$21="","",IF(AND('制度詳細'!$J$21&gt;=K$50,'制度詳細'!$J$21&lt;=EOMONTH(K$50,0)),"◆","")),IF(MAX('制度詳細'!$H$21,K$50)&lt;=MIN(IF('制度詳細'!$I$21="",EOMONTH(K$50,0),'制度詳細'!$I$21),EOMONTH(K$50,0)),"■",IF(AND('制度詳細'!$J$21&lt;&gt;"",'制度詳細'!$J$21&gt;=K$50,'制度詳細'!$J$21&lt;=EOMONTH(K$50,0)),"◆","")))</x:f>
      </x:c>
      <x:c r="L57" s="57" t="str">
        <x:f>IF('制度詳細'!$H$21="",IF('制度詳細'!$J$21="","",IF(AND('制度詳細'!$J$21&gt;=L$50,'制度詳細'!$J$21&lt;=EOMONTH(L$50,0)),"◆","")),IF(MAX('制度詳細'!$H$21,L$50)&lt;=MIN(IF('制度詳細'!$I$21="",EOMONTH(L$50,0),'制度詳細'!$I$21),EOMONTH(L$50,0)),"■",IF(AND('制度詳細'!$J$21&lt;&gt;"",'制度詳細'!$J$21&gt;=L$50,'制度詳細'!$J$21&lt;=EOMONTH(L$50,0)),"◆","")))</x:f>
      </x:c>
      <x:c r="M57" s="57" t="str">
        <x:f>IF('制度詳細'!$H$21="",IF('制度詳細'!$J$21="","",IF(AND('制度詳細'!$J$21&gt;=M$50,'制度詳細'!$J$21&lt;=EOMONTH(M$50,0)),"◆","")),IF(MAX('制度詳細'!$H$21,M$50)&lt;=MIN(IF('制度詳細'!$I$21="",EOMONTH(M$50,0),'制度詳細'!$I$21),EOMONTH(M$50,0)),"■",IF(AND('制度詳細'!$J$21&lt;&gt;"",'制度詳細'!$J$21&gt;=M$50,'制度詳細'!$J$21&lt;=EOMONTH(M$50,0)),"◆","")))</x:f>
      </x:c>
      <x:c r="N57" s="57" t="str">
        <x:f>IF('制度詳細'!$H$21="",IF('制度詳細'!$J$21="","",IF(AND('制度詳細'!$J$21&gt;=N$50,'制度詳細'!$J$21&lt;=EOMONTH(N$50,0)),"◆","")),IF(MAX('制度詳細'!$H$21,N$50)&lt;=MIN(IF('制度詳細'!$I$21="",EOMONTH(N$50,0),'制度詳細'!$I$21),EOMONTH(N$50,0)),"■",IF(AND('制度詳細'!$J$21&lt;&gt;"",'制度詳細'!$J$21&gt;=N$50,'制度詳細'!$J$21&lt;=EOMONTH(N$50,0)),"◆","")))</x:f>
      </x:c>
      <x:c r="O57" s="57" t="str">
        <x:f>IF('制度詳細'!$H$21="",IF('制度詳細'!$J$21="","",IF(AND('制度詳細'!$J$21&gt;=O$50,'制度詳細'!$J$21&lt;=EOMONTH(O$50,0)),"◆","")),IF(MAX('制度詳細'!$H$21,O$50)&lt;=MIN(IF('制度詳細'!$I$21="",EOMONTH(O$50,0),'制度詳細'!$I$21),EOMONTH(O$50,0)),"■",IF(AND('制度詳細'!$J$21&lt;&gt;"",'制度詳細'!$J$21&gt;=O$50,'制度詳細'!$J$21&lt;=EOMONTH(O$50,0)),"◆","")))</x:f>
      </x:c>
      <x:c r="P57" s="57" t="str">
        <x:f>IF('制度詳細'!$H$21="",IF('制度詳細'!$J$21="","",IF(AND('制度詳細'!$J$21&gt;=P$50,'制度詳細'!$J$21&lt;=EOMONTH(P$50,0)),"◆","")),IF(MAX('制度詳細'!$H$21,P$50)&lt;=MIN(IF('制度詳細'!$I$21="",EOMONTH(P$50,0),'制度詳細'!$I$21),EOMONTH(P$50,0)),"■",IF(AND('制度詳細'!$J$21&lt;&gt;"",'制度詳細'!$J$21&gt;=P$50,'制度詳細'!$J$21&lt;=EOMONTH(P$50,0)),"◆","")))</x:f>
      </x:c>
      <x:c r="Q57" s="57" t="str">
        <x:f>IF('制度詳細'!$H$21="",IF('制度詳細'!$J$21="","",IF(AND('制度詳細'!$J$21&gt;=Q$50,'制度詳細'!$J$21&lt;=EOMONTH(Q$50,0)),"◆","")),IF(MAX('制度詳細'!$H$21,Q$50)&lt;=MIN(IF('制度詳細'!$I$21="",EOMONTH(Q$50,0),'制度詳細'!$I$21),EOMONTH(Q$50,0)),"■",IF(AND('制度詳細'!$J$21&lt;&gt;"",'制度詳細'!$J$21&gt;=Q$50,'制度詳細'!$J$21&lt;=EOMONTH(Q$50,0)),"◆","")))</x:f>
      </x:c>
      <x:c r="R57" s="57" t="str">
        <x:f>IF('制度詳細'!$H$21="",IF('制度詳細'!$J$21="","",IF(AND('制度詳細'!$J$21&gt;=R$50,'制度詳細'!$J$21&lt;=EOMONTH(R$50,0)),"◆","")),IF(MAX('制度詳細'!$H$21,R$50)&lt;=MIN(IF('制度詳細'!$I$21="",EOMONTH(R$50,0),'制度詳細'!$I$21),EOMONTH(R$50,0)),"■",IF(AND('制度詳細'!$J$21&lt;&gt;"",'制度詳細'!$J$21&gt;=R$50,'制度詳細'!$J$21&lt;=EOMONTH(R$50,0)),"◆","")))</x:f>
      </x:c>
      <x:c r="S57" s="57" t="str">
        <x:f>IF('制度詳細'!$H$21="",IF('制度詳細'!$J$21="","",IF(AND('制度詳細'!$J$21&gt;=S$50,'制度詳細'!$J$21&lt;=EOMONTH(S$50,0)),"◆","")),IF(MAX('制度詳細'!$H$21,S$50)&lt;=MIN(IF('制度詳細'!$I$21="",EOMONTH(S$50,0),'制度詳細'!$I$21),EOMONTH(S$50,0)),"■",IF(AND('制度詳細'!$J$21&lt;&gt;"",'制度詳細'!$J$21&gt;=S$50,'制度詳細'!$J$21&lt;=EOMONTH(S$50,0)),"◆","")))</x:f>
      </x:c>
      <x:c r="T57" s="57" t="str">
        <x:f>IF('制度詳細'!$H$21="",IF('制度詳細'!$J$21="","",IF(AND('制度詳細'!$J$21&gt;=T$50,'制度詳細'!$J$21&lt;=EOMONTH(T$50,0)),"◆","")),IF(MAX('制度詳細'!$H$21,T$50)&lt;=MIN(IF('制度詳細'!$I$21="",EOMONTH(T$50,0),'制度詳細'!$I$21),EOMONTH(T$50,0)),"■",IF(AND('制度詳細'!$J$21&lt;&gt;"",'制度詳細'!$J$21&gt;=T$50,'制度詳細'!$J$21&lt;=EOMONTH(T$50,0)),"◆","")))</x:f>
      </x:c>
      <x:c r="U57" s="57" t="str">
        <x:f>IF('制度詳細'!$H$21="",IF('制度詳細'!$J$21="","",IF(AND('制度詳細'!$J$21&gt;=U$50,'制度詳細'!$J$21&lt;=EOMONTH(U$50,0)),"◆","")),IF(MAX('制度詳細'!$H$21,U$50)&lt;=MIN(IF('制度詳細'!$I$21="",EOMONTH(U$50,0),'制度詳細'!$I$21),EOMONTH(U$50,0)),"■",IF(AND('制度詳細'!$J$21&lt;&gt;"",'制度詳細'!$J$21&gt;=U$50,'制度詳細'!$J$21&lt;=EOMONTH(U$50,0)),"◆","")))</x:f>
      </x:c>
      <x:c r="V57" s="57" t="str">
        <x:f>IF('制度詳細'!$H$21="",IF('制度詳細'!$J$21="","",IF(AND('制度詳細'!$J$21&gt;=V$50,'制度詳細'!$J$21&lt;=EOMONTH(V$50,0)),"◆","")),IF(MAX('制度詳細'!$H$21,V$50)&lt;=MIN(IF('制度詳細'!$I$21="",EOMONTH(V$50,0),'制度詳細'!$I$21),EOMONTH(V$50,0)),"■",IF(AND('制度詳細'!$J$21&lt;&gt;"",'制度詳細'!$J$21&gt;=V$50,'制度詳細'!$J$21&lt;=EOMONTH(V$50,0)),"◆","")))</x:f>
      </x:c>
      <x:c r="W57" s="57" t="str">
        <x:f>IF('制度詳細'!$H$21="",IF('制度詳細'!$J$21="","",IF(AND('制度詳細'!$J$21&gt;=W$50,'制度詳細'!$J$21&lt;=EOMONTH(W$50,0)),"◆","")),IF(MAX('制度詳細'!$H$21,W$50)&lt;=MIN(IF('制度詳細'!$I$21="",EOMONTH(W$50,0),'制度詳細'!$I$21),EOMONTH(W$50,0)),"■",IF(AND('制度詳細'!$J$21&lt;&gt;"",'制度詳細'!$J$21&gt;=W$50,'制度詳細'!$J$21&lt;=EOMONTH(W$50,0)),"◆","")))</x:f>
      </x:c>
      <x:c r="X57" s="57" t="str">
        <x:f>IF('制度詳細'!$H$21="",IF('制度詳細'!$J$21="","",IF(AND('制度詳細'!$J$21&gt;=X$50,'制度詳細'!$J$21&lt;=EOMONTH(X$50,0)),"◆","")),IF(MAX('制度詳細'!$H$21,X$50)&lt;=MIN(IF('制度詳細'!$I$21="",EOMONTH(X$50,0),'制度詳細'!$I$21),EOMONTH(X$50,0)),"■",IF(AND('制度詳細'!$J$21&lt;&gt;"",'制度詳細'!$J$21&gt;=X$50,'制度詳細'!$J$21&lt;=EOMONTH(X$50,0)),"◆","")))</x:f>
      </x:c>
      <x:c r="Y57" s="57" t="str">
        <x:f>IF('制度詳細'!$H$21="",IF('制度詳細'!$J$21="","",IF(AND('制度詳細'!$J$21&gt;=Y$50,'制度詳細'!$J$21&lt;=EOMONTH(Y$50,0)),"◆","")),IF(MAX('制度詳細'!$H$21,Y$50)&lt;=MIN(IF('制度詳細'!$I$21="",EOMONTH(Y$50,0),'制度詳細'!$I$21),EOMONTH(Y$50,0)),"■",IF(AND('制度詳細'!$J$21&lt;&gt;"",'制度詳細'!$J$21&gt;=Y$50,'制度詳細'!$J$21&lt;=EOMONTH(Y$50,0)),"◆","")))</x:f>
      </x:c>
      <x:c r="Z57" s="57" t="str">
        <x:f>IF('制度詳細'!$H$21="",IF('制度詳細'!$J$21="","",IF(AND('制度詳細'!$J$21&gt;=Z$50,'制度詳細'!$J$21&lt;=EOMONTH(Z$50,0)),"◆","")),IF(MAX('制度詳細'!$H$21,Z$50)&lt;=MIN(IF('制度詳細'!$I$21="",EOMONTH(Z$50,0),'制度詳細'!$I$21),EOMONTH(Z$50,0)),"■",IF(AND('制度詳細'!$J$21&lt;&gt;"",'制度詳細'!$J$21&gt;=Z$50,'制度詳細'!$J$21&lt;=EOMONTH(Z$50,0)),"◆","")))</x:f>
      </x:c>
      <x:c r="AA57" s="57" t="str">
        <x:f>IF('制度詳細'!$H$21="",IF('制度詳細'!$J$21="","",IF(AND('制度詳細'!$J$21&gt;=AA$50,'制度詳細'!$J$21&lt;=EOMONTH(AA$50,0)),"◆","")),IF(MAX('制度詳細'!$H$21,AA$50)&lt;=MIN(IF('制度詳細'!$I$21="",EOMONTH(AA$50,0),'制度詳細'!$I$21),EOMONTH(AA$50,0)),"■",IF(AND('制度詳細'!$J$21&lt;&gt;"",'制度詳細'!$J$21&gt;=AA$50,'制度詳細'!$J$21&lt;=EOMONTH(AA$50,0)),"◆","")))</x:f>
      </x:c>
      <x:c r="AB57" s="57" t="str">
        <x:f>IF('制度詳細'!$H$21="",IF('制度詳細'!$J$21="","",IF(AND('制度詳細'!$J$21&gt;=AB$50,'制度詳細'!$J$21&lt;=EOMONTH(AB$50,0)),"◆","")),IF(MAX('制度詳細'!$H$21,AB$50)&lt;=MIN(IF('制度詳細'!$I$21="",EOMONTH(AB$50,0),'制度詳細'!$I$21),EOMONTH(AB$50,0)),"■",IF(AND('制度詳細'!$J$21&lt;&gt;"",'制度詳細'!$J$21&gt;=AB$50,'制度詳細'!$J$21&lt;=EOMONTH(AB$50,0)),"◆","")))</x:f>
      </x:c>
      <x:c r="AC57" s="57" t="str">
        <x:f>IF('制度詳細'!$H$21="",IF('制度詳細'!$J$21="","",IF(AND('制度詳細'!$J$21&gt;=AC$50,'制度詳細'!$J$21&lt;=EOMONTH(AC$50,0)),"◆","")),IF(MAX('制度詳細'!$H$21,AC$50)&lt;=MIN(IF('制度詳細'!$I$21="",EOMONTH(AC$50,0),'制度詳細'!$I$21),EOMONTH(AC$50,0)),"■",IF(AND('制度詳細'!$J$21&lt;&gt;"",'制度詳細'!$J$21&gt;=AC$50,'制度詳細'!$J$21&lt;=EOMONTH(AC$50,0)),"◆","")))</x:f>
      </x:c>
      <x:c r="AD57" s="57" t="str">
        <x:f>IF('制度詳細'!$H$21="",IF('制度詳細'!$J$21="","",IF(AND('制度詳細'!$J$21&gt;=AD$50,'制度詳細'!$J$21&lt;=EOMONTH(AD$50,0)),"◆","")),IF(MAX('制度詳細'!$H$21,AD$50)&lt;=MIN(IF('制度詳細'!$I$21="",EOMONTH(AD$50,0),'制度詳細'!$I$21),EOMONTH(AD$50,0)),"■",IF(AND('制度詳細'!$J$21&lt;&gt;"",'制度詳細'!$J$21&gt;=AD$50,'制度詳細'!$J$21&lt;=EOMONTH(AD$50,0)),"◆","")))</x:f>
      </x:c>
      <x:c r="AE57" s="57" t="str">
        <x:f>IF('制度詳細'!$H$21="",IF('制度詳細'!$J$21="","",IF(AND('制度詳細'!$J$21&gt;=AE$50,'制度詳細'!$J$21&lt;=EOMONTH(AE$50,0)),"◆","")),IF(MAX('制度詳細'!$H$21,AE$50)&lt;=MIN(IF('制度詳細'!$I$21="",EOMONTH(AE$50,0),'制度詳細'!$I$21),EOMONTH(AE$50,0)),"■",IF(AND('制度詳細'!$J$21&lt;&gt;"",'制度詳細'!$J$21&gt;=AE$50,'制度詳細'!$J$21&lt;=EOMONTH(AE$50,0)),"◆","")))</x:f>
      </x:c>
      <x:c r="AF57" s="57" t="str">
        <x:f>IF('制度詳細'!$H$21="",IF('制度詳細'!$J$21="","",IF(AND('制度詳細'!$J$21&gt;=AF$50,'制度詳細'!$J$21&lt;=EOMONTH(AF$50,0)),"◆","")),IF(MAX('制度詳細'!$H$21,AF$50)&lt;=MIN(IF('制度詳細'!$I$21="",EOMONTH(AF$50,0),'制度詳細'!$I$21),EOMONTH(AF$50,0)),"■",IF(AND('制度詳細'!$J$21&lt;&gt;"",'制度詳細'!$J$21&gt;=AF$50,'制度詳細'!$J$21&lt;=EOMONTH(AF$50,0)),"◆","")))</x:f>
      </x:c>
      <x:c r="AG57" s="57" t="str">
        <x:f>IF('制度詳細'!$H$21="",IF('制度詳細'!$J$21="","",IF(AND('制度詳細'!$J$21&gt;=AG$50,'制度詳細'!$J$21&lt;=EOMONTH(AG$50,0)),"◆","")),IF(MAX('制度詳細'!$H$21,AG$50)&lt;=MIN(IF('制度詳細'!$I$21="",EOMONTH(AG$50,0),'制度詳細'!$I$21),EOMONTH(AG$50,0)),"■",IF(AND('制度詳細'!$J$21&lt;&gt;"",'制度詳細'!$J$21&gt;=AG$50,'制度詳細'!$J$21&lt;=EOMONTH(AG$50,0)),"◆","")))</x:f>
      </x:c>
      <x:c r="AH57" s="57" t="str">
        <x:f>IF('制度詳細'!$H$21="",IF('制度詳細'!$J$21="","",IF(AND('制度詳細'!$J$21&gt;=AH$50,'制度詳細'!$J$21&lt;=EOMONTH(AH$50,0)),"◆","")),IF(MAX('制度詳細'!$H$21,AH$50)&lt;=MIN(IF('制度詳細'!$I$21="",EOMONTH(AH$50,0),'制度詳細'!$I$21),EOMONTH(AH$50,0)),"■",IF(AND('制度詳細'!$J$21&lt;&gt;"",'制度詳細'!$J$21&gt;=AH$50,'制度詳細'!$J$21&lt;=EOMONTH(AH$50,0)),"◆","")))</x:f>
      </x:c>
      <x:c r="AI57" s="57" t="str">
        <x:f>IF('制度詳細'!$H$21="",IF('制度詳細'!$J$21="","",IF(AND('制度詳細'!$J$21&gt;=AI$50,'制度詳細'!$J$21&lt;=EOMONTH(AI$50,0)),"◆","")),IF(MAX('制度詳細'!$H$21,AI$50)&lt;=MIN(IF('制度詳細'!$I$21="",EOMONTH(AI$50,0),'制度詳細'!$I$21),EOMONTH(AI$50,0)),"■",IF(AND('制度詳細'!$J$21&lt;&gt;"",'制度詳細'!$J$21&gt;=AI$50,'制度詳細'!$J$21&lt;=EOMONTH(AI$50,0)),"◆","")))</x:f>
      </x:c>
      <x:c r="AJ57" s="57" t="str">
        <x:f>IF('制度詳細'!$H$21="",IF('制度詳細'!$J$21="","",IF(AND('制度詳細'!$J$21&gt;=AJ$50,'制度詳細'!$J$21&lt;=EOMONTH(AJ$50,0)),"◆","")),IF(MAX('制度詳細'!$H$21,AJ$50)&lt;=MIN(IF('制度詳細'!$I$21="",EOMONTH(AJ$50,0),'制度詳細'!$I$21),EOMONTH(AJ$50,0)),"■",IF(AND('制度詳細'!$J$21&lt;&gt;"",'制度詳細'!$J$21&gt;=AJ$50,'制度詳細'!$J$21&lt;=EOMONTH(AJ$50,0)),"◆","")))</x:f>
      </x:c>
      <x:c r="AK57" s="57" t="str">
        <x:f>IF('制度詳細'!$H$21="",IF('制度詳細'!$J$21="","",IF(AND('制度詳細'!$J$21&gt;=AK$50,'制度詳細'!$J$21&lt;=EOMONTH(AK$50,0)),"◆","")),IF(MAX('制度詳細'!$H$21,AK$50)&lt;=MIN(IF('制度詳細'!$I$21="",EOMONTH(AK$50,0),'制度詳細'!$I$21),EOMONTH(AK$50,0)),"■",IF(AND('制度詳細'!$J$21&lt;&gt;"",'制度詳細'!$J$21&gt;=AK$50,'制度詳細'!$J$21&lt;=EOMONTH(AK$50,0)),"◆","")))</x:f>
      </x:c>
      <x:c r="AL57" s="57" t="str">
        <x:f>IF('制度詳細'!$H$21="",IF('制度詳細'!$J$21="","",IF(AND('制度詳細'!$J$21&gt;=AL$50,'制度詳細'!$J$21&lt;=EOMONTH(AL$50,0)),"◆","")),IF(MAX('制度詳細'!$H$21,AL$50)&lt;=MIN(IF('制度詳細'!$I$21="",EOMONTH(AL$50,0),'制度詳細'!$I$21),EOMONTH(AL$50,0)),"■",IF(AND('制度詳細'!$J$21&lt;&gt;"",'制度詳細'!$J$21&gt;=AL$50,'制度詳細'!$J$21&lt;=EOMONTH(AL$50,0)),"◆","")))</x:f>
      </x:c>
      <x:c r="AM57" s="57" t="str">
        <x:f>IF('制度詳細'!$H$21="",IF('制度詳細'!$J$21="","",IF(AND('制度詳細'!$J$21&gt;=AM$50,'制度詳細'!$J$21&lt;=EOMONTH(AM$50,0)),"◆","")),IF(MAX('制度詳細'!$H$21,AM$50)&lt;=MIN(IF('制度詳細'!$I$21="",EOMONTH(AM$50,0),'制度詳細'!$I$21),EOMONTH(AM$50,0)),"■",IF(AND('制度詳細'!$J$21&lt;&gt;"",'制度詳細'!$J$21&gt;=AM$50,'制度詳細'!$J$21&lt;=EOMONTH(AM$50,0)),"◆","")))</x:f>
      </x:c>
      <x:c r="AN57" s="57" t="str">
        <x:f>IF('制度詳細'!$H$21="",IF('制度詳細'!$J$21="","",IF(AND('制度詳細'!$J$21&gt;=AN$50,'制度詳細'!$J$21&lt;=EOMONTH(AN$50,0)),"◆","")),IF(MAX('制度詳細'!$H$21,AN$50)&lt;=MIN(IF('制度詳細'!$I$21="",EOMONTH(AN$50,0),'制度詳細'!$I$21),EOMONTH(AN$50,0)),"■",IF(AND('制度詳細'!$J$21&lt;&gt;"",'制度詳細'!$J$21&gt;=AN$50,'制度詳細'!$J$21&lt;=EOMONTH(AN$50,0)),"◆","")))</x:f>
      </x:c>
      <x:c r="AO57" s="57" t="str">
        <x:f>IF('制度詳細'!$H$21="",IF('制度詳細'!$J$21="","",IF(AND('制度詳細'!$J$21&gt;=AO$50,'制度詳細'!$J$21&lt;=EOMONTH(AO$50,0)),"◆","")),IF(MAX('制度詳細'!$H$21,AO$50)&lt;=MIN(IF('制度詳細'!$I$21="",EOMONTH(AO$50,0),'制度詳細'!$I$21),EOMONTH(AO$50,0)),"■",IF(AND('制度詳細'!$J$21&lt;&gt;"",'制度詳細'!$J$21&gt;=AO$50,'制度詳細'!$J$21&lt;=EOMONTH(AO$50,0)),"◆","")))</x:f>
      </x:c>
      <x:c r="AP57" s="57" t="str">
        <x:f>IF('制度詳細'!$H$21="",IF('制度詳細'!$J$21="","",IF(AND('制度詳細'!$J$21&gt;=AP$50,'制度詳細'!$J$21&lt;=EOMONTH(AP$50,0)),"◆","")),IF(MAX('制度詳細'!$H$21,AP$50)&lt;=MIN(IF('制度詳細'!$I$21="",EOMONTH(AP$50,0),'制度詳細'!$I$21),EOMONTH(AP$50,0)),"■",IF(AND('制度詳細'!$J$21&lt;&gt;"",'制度詳細'!$J$21&gt;=AP$50,'制度詳細'!$J$21&lt;=EOMONTH(AP$50,0)),"◆","")))</x:f>
      </x:c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</x:row>
    <x:row r="58" ht="30" customHeight="1">
      <x:c r="A58" s="59" t="str">
        <x:v>ID08 TKDN国内調達基準40%</x:v>
      </x:c>
      <x:c r="B58" s="59"/>
      <x:c r="C58" s="59"/>
      <x:c r="D58" s="59"/>
      <x:c r="E58" s="59"/>
      <x:c r="F58" s="59"/>
      <x:c r="G58" s="57" t="str">
        <x:f>IF('制度詳細'!$H$22="",IF('制度詳細'!$J$22="","",IF(AND('制度詳細'!$J$22&gt;=G$50,'制度詳細'!$J$22&lt;=EOMONTH(G$50,0)),"◆","")),IF(MAX('制度詳細'!$H$22,G$50)&lt;=MIN(IF('制度詳細'!$I$22="",EOMONTH(G$50,0),'制度詳細'!$I$22),EOMONTH(G$50,0)),"■",IF(AND('制度詳細'!$J$22&lt;&gt;"",'制度詳細'!$J$22&gt;=G$50,'制度詳細'!$J$22&lt;=EOMONTH(G$50,0)),"◆","")))</x:f>
        <x:v>■</x:v>
      </x:c>
      <x:c r="H58" s="57" t="str">
        <x:f>IF('制度詳細'!$H$22="",IF('制度詳細'!$J$22="","",IF(AND('制度詳細'!$J$22&gt;=H$50,'制度詳細'!$J$22&lt;=EOMONTH(H$50,0)),"◆","")),IF(MAX('制度詳細'!$H$22,H$50)&lt;=MIN(IF('制度詳細'!$I$22="",EOMONTH(H$50,0),'制度詳細'!$I$22),EOMONTH(H$50,0)),"■",IF(AND('制度詳細'!$J$22&lt;&gt;"",'制度詳細'!$J$22&gt;=H$50,'制度詳細'!$J$22&lt;=EOMONTH(H$50,0)),"◆","")))</x:f>
        <x:v>■</x:v>
      </x:c>
      <x:c r="I58" s="57" t="str">
        <x:f>IF('制度詳細'!$H$22="",IF('制度詳細'!$J$22="","",IF(AND('制度詳細'!$J$22&gt;=I$50,'制度詳細'!$J$22&lt;=EOMONTH(I$50,0)),"◆","")),IF(MAX('制度詳細'!$H$22,I$50)&lt;=MIN(IF('制度詳細'!$I$22="",EOMONTH(I$50,0),'制度詳細'!$I$22),EOMONTH(I$50,0)),"■",IF(AND('制度詳細'!$J$22&lt;&gt;"",'制度詳細'!$J$22&gt;=I$50,'制度詳細'!$J$22&lt;=EOMONTH(I$50,0)),"◆","")))</x:f>
        <x:v>■</x:v>
      </x:c>
      <x:c r="J58" s="57" t="str">
        <x:f>IF('制度詳細'!$H$22="",IF('制度詳細'!$J$22="","",IF(AND('制度詳細'!$J$22&gt;=J$50,'制度詳細'!$J$22&lt;=EOMONTH(J$50,0)),"◆","")),IF(MAX('制度詳細'!$H$22,J$50)&lt;=MIN(IF('制度詳細'!$I$22="",EOMONTH(J$50,0),'制度詳細'!$I$22),EOMONTH(J$50,0)),"■",IF(AND('制度詳細'!$J$22&lt;&gt;"",'制度詳細'!$J$22&gt;=J$50,'制度詳細'!$J$22&lt;=EOMONTH(J$50,0)),"◆","")))</x:f>
        <x:v>■</x:v>
      </x:c>
      <x:c r="K58" s="57" t="str">
        <x:f>IF('制度詳細'!$H$22="",IF('制度詳細'!$J$22="","",IF(AND('制度詳細'!$J$22&gt;=K$50,'制度詳細'!$J$22&lt;=EOMONTH(K$50,0)),"◆","")),IF(MAX('制度詳細'!$H$22,K$50)&lt;=MIN(IF('制度詳細'!$I$22="",EOMONTH(K$50,0),'制度詳細'!$I$22),EOMONTH(K$50,0)),"■",IF(AND('制度詳細'!$J$22&lt;&gt;"",'制度詳細'!$J$22&gt;=K$50,'制度詳細'!$J$22&lt;=EOMONTH(K$50,0)),"◆","")))</x:f>
        <x:v>■</x:v>
      </x:c>
      <x:c r="L58" s="57" t="str">
        <x:f>IF('制度詳細'!$H$22="",IF('制度詳細'!$J$22="","",IF(AND('制度詳細'!$J$22&gt;=L$50,'制度詳細'!$J$22&lt;=EOMONTH(L$50,0)),"◆","")),IF(MAX('制度詳細'!$H$22,L$50)&lt;=MIN(IF('制度詳細'!$I$22="",EOMONTH(L$50,0),'制度詳細'!$I$22),EOMONTH(L$50,0)),"■",IF(AND('制度詳細'!$J$22&lt;&gt;"",'制度詳細'!$J$22&gt;=L$50,'制度詳細'!$J$22&lt;=EOMONTH(L$50,0)),"◆","")))</x:f>
        <x:v>■</x:v>
      </x:c>
      <x:c r="M58" s="57" t="str">
        <x:f>IF('制度詳細'!$H$22="",IF('制度詳細'!$J$22="","",IF(AND('制度詳細'!$J$22&gt;=M$50,'制度詳細'!$J$22&lt;=EOMONTH(M$50,0)),"◆","")),IF(MAX('制度詳細'!$H$22,M$50)&lt;=MIN(IF('制度詳細'!$I$22="",EOMONTH(M$50,0),'制度詳細'!$I$22),EOMONTH(M$50,0)),"■",IF(AND('制度詳細'!$J$22&lt;&gt;"",'制度詳細'!$J$22&gt;=M$50,'制度詳細'!$J$22&lt;=EOMONTH(M$50,0)),"◆","")))</x:f>
        <x:v>■</x:v>
      </x:c>
      <x:c r="N58" s="57" t="str">
        <x:f>IF('制度詳細'!$H$22="",IF('制度詳細'!$J$22="","",IF(AND('制度詳細'!$J$22&gt;=N$50,'制度詳細'!$J$22&lt;=EOMONTH(N$50,0)),"◆","")),IF(MAX('制度詳細'!$H$22,N$50)&lt;=MIN(IF('制度詳細'!$I$22="",EOMONTH(N$50,0),'制度詳細'!$I$22),EOMONTH(N$50,0)),"■",IF(AND('制度詳細'!$J$22&lt;&gt;"",'制度詳細'!$J$22&gt;=N$50,'制度詳細'!$J$22&lt;=EOMONTH(N$50,0)),"◆","")))</x:f>
        <x:v>■</x:v>
      </x:c>
      <x:c r="O58" s="57" t="str">
        <x:f>IF('制度詳細'!$H$22="",IF('制度詳細'!$J$22="","",IF(AND('制度詳細'!$J$22&gt;=O$50,'制度詳細'!$J$22&lt;=EOMONTH(O$50,0)),"◆","")),IF(MAX('制度詳細'!$H$22,O$50)&lt;=MIN(IF('制度詳細'!$I$22="",EOMONTH(O$50,0),'制度詳細'!$I$22),EOMONTH(O$50,0)),"■",IF(AND('制度詳細'!$J$22&lt;&gt;"",'制度詳細'!$J$22&gt;=O$50,'制度詳細'!$J$22&lt;=EOMONTH(O$50,0)),"◆","")))</x:f>
        <x:v>■</x:v>
      </x:c>
      <x:c r="P58" s="57" t="str">
        <x:f>IF('制度詳細'!$H$22="",IF('制度詳細'!$J$22="","",IF(AND('制度詳細'!$J$22&gt;=P$50,'制度詳細'!$J$22&lt;=EOMONTH(P$50,0)),"◆","")),IF(MAX('制度詳細'!$H$22,P$50)&lt;=MIN(IF('制度詳細'!$I$22="",EOMONTH(P$50,0),'制度詳細'!$I$22),EOMONTH(P$50,0)),"■",IF(AND('制度詳細'!$J$22&lt;&gt;"",'制度詳細'!$J$22&gt;=P$50,'制度詳細'!$J$22&lt;=EOMONTH(P$50,0)),"◆","")))</x:f>
        <x:v>■</x:v>
      </x:c>
      <x:c r="Q58" s="57" t="str">
        <x:f>IF('制度詳細'!$H$22="",IF('制度詳細'!$J$22="","",IF(AND('制度詳細'!$J$22&gt;=Q$50,'制度詳細'!$J$22&lt;=EOMONTH(Q$50,0)),"◆","")),IF(MAX('制度詳細'!$H$22,Q$50)&lt;=MIN(IF('制度詳細'!$I$22="",EOMONTH(Q$50,0),'制度詳細'!$I$22),EOMONTH(Q$50,0)),"■",IF(AND('制度詳細'!$J$22&lt;&gt;"",'制度詳細'!$J$22&gt;=Q$50,'制度詳細'!$J$22&lt;=EOMONTH(Q$50,0)),"◆","")))</x:f>
        <x:v>■</x:v>
      </x:c>
      <x:c r="R58" s="57" t="str">
        <x:f>IF('制度詳細'!$H$22="",IF('制度詳細'!$J$22="","",IF(AND('制度詳細'!$J$22&gt;=R$50,'制度詳細'!$J$22&lt;=EOMONTH(R$50,0)),"◆","")),IF(MAX('制度詳細'!$H$22,R$50)&lt;=MIN(IF('制度詳細'!$I$22="",EOMONTH(R$50,0),'制度詳細'!$I$22),EOMONTH(R$50,0)),"■",IF(AND('制度詳細'!$J$22&lt;&gt;"",'制度詳細'!$J$22&gt;=R$50,'制度詳細'!$J$22&lt;=EOMONTH(R$50,0)),"◆","")))</x:f>
        <x:v>■</x:v>
      </x:c>
      <x:c r="S58" s="57" t="str">
        <x:f>IF('制度詳細'!$H$22="",IF('制度詳細'!$J$22="","",IF(AND('制度詳細'!$J$22&gt;=S$50,'制度詳細'!$J$22&lt;=EOMONTH(S$50,0)),"◆","")),IF(MAX('制度詳細'!$H$22,S$50)&lt;=MIN(IF('制度詳細'!$I$22="",EOMONTH(S$50,0),'制度詳細'!$I$22),EOMONTH(S$50,0)),"■",IF(AND('制度詳細'!$J$22&lt;&gt;"",'制度詳細'!$J$22&gt;=S$50,'制度詳細'!$J$22&lt;=EOMONTH(S$50,0)),"◆","")))</x:f>
        <x:v>■</x:v>
      </x:c>
      <x:c r="T58" s="57" t="str">
        <x:f>IF('制度詳細'!$H$22="",IF('制度詳細'!$J$22="","",IF(AND('制度詳細'!$J$22&gt;=T$50,'制度詳細'!$J$22&lt;=EOMONTH(T$50,0)),"◆","")),IF(MAX('制度詳細'!$H$22,T$50)&lt;=MIN(IF('制度詳細'!$I$22="",EOMONTH(T$50,0),'制度詳細'!$I$22),EOMONTH(T$50,0)),"■",IF(AND('制度詳細'!$J$22&lt;&gt;"",'制度詳細'!$J$22&gt;=T$50,'制度詳細'!$J$22&lt;=EOMONTH(T$50,0)),"◆","")))</x:f>
        <x:v>■</x:v>
      </x:c>
      <x:c r="U58" s="57" t="str">
        <x:f>IF('制度詳細'!$H$22="",IF('制度詳細'!$J$22="","",IF(AND('制度詳細'!$J$22&gt;=U$50,'制度詳細'!$J$22&lt;=EOMONTH(U$50,0)),"◆","")),IF(MAX('制度詳細'!$H$22,U$50)&lt;=MIN(IF('制度詳細'!$I$22="",EOMONTH(U$50,0),'制度詳細'!$I$22),EOMONTH(U$50,0)),"■",IF(AND('制度詳細'!$J$22&lt;&gt;"",'制度詳細'!$J$22&gt;=U$50,'制度詳細'!$J$22&lt;=EOMONTH(U$50,0)),"◆","")))</x:f>
        <x:v>■</x:v>
      </x:c>
      <x:c r="V58" s="57" t="str">
        <x:f>IF('制度詳細'!$H$22="",IF('制度詳細'!$J$22="","",IF(AND('制度詳細'!$J$22&gt;=V$50,'制度詳細'!$J$22&lt;=EOMONTH(V$50,0)),"◆","")),IF(MAX('制度詳細'!$H$22,V$50)&lt;=MIN(IF('制度詳細'!$I$22="",EOMONTH(V$50,0),'制度詳細'!$I$22),EOMONTH(V$50,0)),"■",IF(AND('制度詳細'!$J$22&lt;&gt;"",'制度詳細'!$J$22&gt;=V$50,'制度詳細'!$J$22&lt;=EOMONTH(V$50,0)),"◆","")))</x:f>
        <x:v>■</x:v>
      </x:c>
      <x:c r="W58" s="57" t="str">
        <x:f>IF('制度詳細'!$H$22="",IF('制度詳細'!$J$22="","",IF(AND('制度詳細'!$J$22&gt;=W$50,'制度詳細'!$J$22&lt;=EOMONTH(W$50,0)),"◆","")),IF(MAX('制度詳細'!$H$22,W$50)&lt;=MIN(IF('制度詳細'!$I$22="",EOMONTH(W$50,0),'制度詳細'!$I$22),EOMONTH(W$50,0)),"■",IF(AND('制度詳細'!$J$22&lt;&gt;"",'制度詳細'!$J$22&gt;=W$50,'制度詳細'!$J$22&lt;=EOMONTH(W$50,0)),"◆","")))</x:f>
        <x:v>■</x:v>
      </x:c>
      <x:c r="X58" s="57" t="str">
        <x:f>IF('制度詳細'!$H$22="",IF('制度詳細'!$J$22="","",IF(AND('制度詳細'!$J$22&gt;=X$50,'制度詳細'!$J$22&lt;=EOMONTH(X$50,0)),"◆","")),IF(MAX('制度詳細'!$H$22,X$50)&lt;=MIN(IF('制度詳細'!$I$22="",EOMONTH(X$50,0),'制度詳細'!$I$22),EOMONTH(X$50,0)),"■",IF(AND('制度詳細'!$J$22&lt;&gt;"",'制度詳細'!$J$22&gt;=X$50,'制度詳細'!$J$22&lt;=EOMONTH(X$50,0)),"◆","")))</x:f>
        <x:v>■</x:v>
      </x:c>
      <x:c r="Y58" s="57" t="str">
        <x:f>IF('制度詳細'!$H$22="",IF('制度詳細'!$J$22="","",IF(AND('制度詳細'!$J$22&gt;=Y$50,'制度詳細'!$J$22&lt;=EOMONTH(Y$50,0)),"◆","")),IF(MAX('制度詳細'!$H$22,Y$50)&lt;=MIN(IF('制度詳細'!$I$22="",EOMONTH(Y$50,0),'制度詳細'!$I$22),EOMONTH(Y$50,0)),"■",IF(AND('制度詳細'!$J$22&lt;&gt;"",'制度詳細'!$J$22&gt;=Y$50,'制度詳細'!$J$22&lt;=EOMONTH(Y$50,0)),"◆","")))</x:f>
        <x:v>■</x:v>
      </x:c>
      <x:c r="Z58" s="57" t="str">
        <x:f>IF('制度詳細'!$H$22="",IF('制度詳細'!$J$22="","",IF(AND('制度詳細'!$J$22&gt;=Z$50,'制度詳細'!$J$22&lt;=EOMONTH(Z$50,0)),"◆","")),IF(MAX('制度詳細'!$H$22,Z$50)&lt;=MIN(IF('制度詳細'!$I$22="",EOMONTH(Z$50,0),'制度詳細'!$I$22),EOMONTH(Z$50,0)),"■",IF(AND('制度詳細'!$J$22&lt;&gt;"",'制度詳細'!$J$22&gt;=Z$50,'制度詳細'!$J$22&lt;=EOMONTH(Z$50,0)),"◆","")))</x:f>
        <x:v>■</x:v>
      </x:c>
      <x:c r="AA58" s="57" t="str">
        <x:f>IF('制度詳細'!$H$22="",IF('制度詳細'!$J$22="","",IF(AND('制度詳細'!$J$22&gt;=AA$50,'制度詳細'!$J$22&lt;=EOMONTH(AA$50,0)),"◆","")),IF(MAX('制度詳細'!$H$22,AA$50)&lt;=MIN(IF('制度詳細'!$I$22="",EOMONTH(AA$50,0),'制度詳細'!$I$22),EOMONTH(AA$50,0)),"■",IF(AND('制度詳細'!$J$22&lt;&gt;"",'制度詳細'!$J$22&gt;=AA$50,'制度詳細'!$J$22&lt;=EOMONTH(AA$50,0)),"◆","")))</x:f>
        <x:v>■</x:v>
      </x:c>
      <x:c r="AB58" s="57" t="str">
        <x:f>IF('制度詳細'!$H$22="",IF('制度詳細'!$J$22="","",IF(AND('制度詳細'!$J$22&gt;=AB$50,'制度詳細'!$J$22&lt;=EOMONTH(AB$50,0)),"◆","")),IF(MAX('制度詳細'!$H$22,AB$50)&lt;=MIN(IF('制度詳細'!$I$22="",EOMONTH(AB$50,0),'制度詳細'!$I$22),EOMONTH(AB$50,0)),"■",IF(AND('制度詳細'!$J$22&lt;&gt;"",'制度詳細'!$J$22&gt;=AB$50,'制度詳細'!$J$22&lt;=EOMONTH(AB$50,0)),"◆","")))</x:f>
        <x:v>■</x:v>
      </x:c>
      <x:c r="AC58" s="57" t="str">
        <x:f>IF('制度詳細'!$H$22="",IF('制度詳細'!$J$22="","",IF(AND('制度詳細'!$J$22&gt;=AC$50,'制度詳細'!$J$22&lt;=EOMONTH(AC$50,0)),"◆","")),IF(MAX('制度詳細'!$H$22,AC$50)&lt;=MIN(IF('制度詳細'!$I$22="",EOMONTH(AC$50,0),'制度詳細'!$I$22),EOMONTH(AC$50,0)),"■",IF(AND('制度詳細'!$J$22&lt;&gt;"",'制度詳細'!$J$22&gt;=AC$50,'制度詳細'!$J$22&lt;=EOMONTH(AC$50,0)),"◆","")))</x:f>
        <x:v>■</x:v>
      </x:c>
      <x:c r="AD58" s="57" t="str">
        <x:f>IF('制度詳細'!$H$22="",IF('制度詳細'!$J$22="","",IF(AND('制度詳細'!$J$22&gt;=AD$50,'制度詳細'!$J$22&lt;=EOMONTH(AD$50,0)),"◆","")),IF(MAX('制度詳細'!$H$22,AD$50)&lt;=MIN(IF('制度詳細'!$I$22="",EOMONTH(AD$50,0),'制度詳細'!$I$22),EOMONTH(AD$50,0)),"■",IF(AND('制度詳細'!$J$22&lt;&gt;"",'制度詳細'!$J$22&gt;=AD$50,'制度詳細'!$J$22&lt;=EOMONTH(AD$50,0)),"◆","")))</x:f>
        <x:v>■</x:v>
      </x:c>
      <x:c r="AE58" s="57" t="str">
        <x:f>IF('制度詳細'!$H$22="",IF('制度詳細'!$J$22="","",IF(AND('制度詳細'!$J$22&gt;=AE$50,'制度詳細'!$J$22&lt;=EOMONTH(AE$50,0)),"◆","")),IF(MAX('制度詳細'!$H$22,AE$50)&lt;=MIN(IF('制度詳細'!$I$22="",EOMONTH(AE$50,0),'制度詳細'!$I$22),EOMONTH(AE$50,0)),"■",IF(AND('制度詳細'!$J$22&lt;&gt;"",'制度詳細'!$J$22&gt;=AE$50,'制度詳細'!$J$22&lt;=EOMONTH(AE$50,0)),"◆","")))</x:f>
        <x:v>■</x:v>
      </x:c>
      <x:c r="AF58" s="57" t="str">
        <x:f>IF('制度詳細'!$H$22="",IF('制度詳細'!$J$22="","",IF(AND('制度詳細'!$J$22&gt;=AF$50,'制度詳細'!$J$22&lt;=EOMONTH(AF$50,0)),"◆","")),IF(MAX('制度詳細'!$H$22,AF$50)&lt;=MIN(IF('制度詳細'!$I$22="",EOMONTH(AF$50,0),'制度詳細'!$I$22),EOMONTH(AF$50,0)),"■",IF(AND('制度詳細'!$J$22&lt;&gt;"",'制度詳細'!$J$22&gt;=AF$50,'制度詳細'!$J$22&lt;=EOMONTH(AF$50,0)),"◆","")))</x:f>
        <x:v>■</x:v>
      </x:c>
      <x:c r="AG58" s="57" t="str">
        <x:f>IF('制度詳細'!$H$22="",IF('制度詳細'!$J$22="","",IF(AND('制度詳細'!$J$22&gt;=AG$50,'制度詳細'!$J$22&lt;=EOMONTH(AG$50,0)),"◆","")),IF(MAX('制度詳細'!$H$22,AG$50)&lt;=MIN(IF('制度詳細'!$I$22="",EOMONTH(AG$50,0),'制度詳細'!$I$22),EOMONTH(AG$50,0)),"■",IF(AND('制度詳細'!$J$22&lt;&gt;"",'制度詳細'!$J$22&gt;=AG$50,'制度詳細'!$J$22&lt;=EOMONTH(AG$50,0)),"◆","")))</x:f>
        <x:v>■</x:v>
      </x:c>
      <x:c r="AH58" s="57" t="str">
        <x:f>IF('制度詳細'!$H$22="",IF('制度詳細'!$J$22="","",IF(AND('制度詳細'!$J$22&gt;=AH$50,'制度詳細'!$J$22&lt;=EOMONTH(AH$50,0)),"◆","")),IF(MAX('制度詳細'!$H$22,AH$50)&lt;=MIN(IF('制度詳細'!$I$22="",EOMONTH(AH$50,0),'制度詳細'!$I$22),EOMONTH(AH$50,0)),"■",IF(AND('制度詳細'!$J$22&lt;&gt;"",'制度詳細'!$J$22&gt;=AH$50,'制度詳細'!$J$22&lt;=EOMONTH(AH$50,0)),"◆","")))</x:f>
        <x:v>■</x:v>
      </x:c>
      <x:c r="AI58" s="57" t="str">
        <x:f>IF('制度詳細'!$H$22="",IF('制度詳細'!$J$22="","",IF(AND('制度詳細'!$J$22&gt;=AI$50,'制度詳細'!$J$22&lt;=EOMONTH(AI$50,0)),"◆","")),IF(MAX('制度詳細'!$H$22,AI$50)&lt;=MIN(IF('制度詳細'!$I$22="",EOMONTH(AI$50,0),'制度詳細'!$I$22),EOMONTH(AI$50,0)),"■",IF(AND('制度詳細'!$J$22&lt;&gt;"",'制度詳細'!$J$22&gt;=AI$50,'制度詳細'!$J$22&lt;=EOMONTH(AI$50,0)),"◆","")))</x:f>
        <x:v>■</x:v>
      </x:c>
      <x:c r="AJ58" s="57" t="str">
        <x:f>IF('制度詳細'!$H$22="",IF('制度詳細'!$J$22="","",IF(AND('制度詳細'!$J$22&gt;=AJ$50,'制度詳細'!$J$22&lt;=EOMONTH(AJ$50,0)),"◆","")),IF(MAX('制度詳細'!$H$22,AJ$50)&lt;=MIN(IF('制度詳細'!$I$22="",EOMONTH(AJ$50,0),'制度詳細'!$I$22),EOMONTH(AJ$50,0)),"■",IF(AND('制度詳細'!$J$22&lt;&gt;"",'制度詳細'!$J$22&gt;=AJ$50,'制度詳細'!$J$22&lt;=EOMONTH(AJ$50,0)),"◆","")))</x:f>
        <x:v>■</x:v>
      </x:c>
      <x:c r="AK58" s="57" t="str">
        <x:f>IF('制度詳細'!$H$22="",IF('制度詳細'!$J$22="","",IF(AND('制度詳細'!$J$22&gt;=AK$50,'制度詳細'!$J$22&lt;=EOMONTH(AK$50,0)),"◆","")),IF(MAX('制度詳細'!$H$22,AK$50)&lt;=MIN(IF('制度詳細'!$I$22="",EOMONTH(AK$50,0),'制度詳細'!$I$22),EOMONTH(AK$50,0)),"■",IF(AND('制度詳細'!$J$22&lt;&gt;"",'制度詳細'!$J$22&gt;=AK$50,'制度詳細'!$J$22&lt;=EOMONTH(AK$50,0)),"◆","")))</x:f>
        <x:v>■</x:v>
      </x:c>
      <x:c r="AL58" s="57" t="str">
        <x:f>IF('制度詳細'!$H$22="",IF('制度詳細'!$J$22="","",IF(AND('制度詳細'!$J$22&gt;=AL$50,'制度詳細'!$J$22&lt;=EOMONTH(AL$50,0)),"◆","")),IF(MAX('制度詳細'!$H$22,AL$50)&lt;=MIN(IF('制度詳細'!$I$22="",EOMONTH(AL$50,0),'制度詳細'!$I$22),EOMONTH(AL$50,0)),"■",IF(AND('制度詳細'!$J$22&lt;&gt;"",'制度詳細'!$J$22&gt;=AL$50,'制度詳細'!$J$22&lt;=EOMONTH(AL$50,0)),"◆","")))</x:f>
        <x:v>■</x:v>
      </x:c>
      <x:c r="AM58" s="57" t="str">
        <x:f>IF('制度詳細'!$H$22="",IF('制度詳細'!$J$22="","",IF(AND('制度詳細'!$J$22&gt;=AM$50,'制度詳細'!$J$22&lt;=EOMONTH(AM$50,0)),"◆","")),IF(MAX('制度詳細'!$H$22,AM$50)&lt;=MIN(IF('制度詳細'!$I$22="",EOMONTH(AM$50,0),'制度詳細'!$I$22),EOMONTH(AM$50,0)),"■",IF(AND('制度詳細'!$J$22&lt;&gt;"",'制度詳細'!$J$22&gt;=AM$50,'制度詳細'!$J$22&lt;=EOMONTH(AM$50,0)),"◆","")))</x:f>
        <x:v>■</x:v>
      </x:c>
      <x:c r="AN58" s="57" t="str">
        <x:f>IF('制度詳細'!$H$22="",IF('制度詳細'!$J$22="","",IF(AND('制度詳細'!$J$22&gt;=AN$50,'制度詳細'!$J$22&lt;=EOMONTH(AN$50,0)),"◆","")),IF(MAX('制度詳細'!$H$22,AN$50)&lt;=MIN(IF('制度詳細'!$I$22="",EOMONTH(AN$50,0),'制度詳細'!$I$22),EOMONTH(AN$50,0)),"■",IF(AND('制度詳細'!$J$22&lt;&gt;"",'制度詳細'!$J$22&gt;=AN$50,'制度詳細'!$J$22&lt;=EOMONTH(AN$50,0)),"◆","")))</x:f>
        <x:v>■</x:v>
      </x:c>
      <x:c r="AO58" s="57" t="str">
        <x:f>IF('制度詳細'!$H$22="",IF('制度詳細'!$J$22="","",IF(AND('制度詳細'!$J$22&gt;=AO$50,'制度詳細'!$J$22&lt;=EOMONTH(AO$50,0)),"◆","")),IF(MAX('制度詳細'!$H$22,AO$50)&lt;=MIN(IF('制度詳細'!$I$22="",EOMONTH(AO$50,0),'制度詳細'!$I$22),EOMONTH(AO$50,0)),"■",IF(AND('制度詳細'!$J$22&lt;&gt;"",'制度詳細'!$J$22&gt;=AO$50,'制度詳細'!$J$22&lt;=EOMONTH(AO$50,0)),"◆","")))</x:f>
        <x:v>■</x:v>
      </x:c>
      <x:c r="AP58" s="57" t="str">
        <x:f>IF('制度詳細'!$H$22="",IF('制度詳細'!$J$22="","",IF(AND('制度詳細'!$J$22&gt;=AP$50,'制度詳細'!$J$22&lt;=EOMONTH(AP$50,0)),"◆","")),IF(MAX('制度詳細'!$H$22,AP$50)&lt;=MIN(IF('制度詳細'!$I$22="",EOMONTH(AP$50,0),'制度詳細'!$I$22),EOMONTH(AP$50,0)),"■",IF(AND('制度詳細'!$J$22&lt;&gt;"",'制度詳細'!$J$22&gt;=AP$50,'制度詳細'!$J$22&lt;=EOMONTH(AP$50,0)),"◆","")))</x:f>
        <x:v>■</x:v>
      </x:c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</x:row>
    <x:row r="59" ht="30" customHeight="1">
      <x:c r="A59" s="54" t="str">
        <x:v>ID09 TKDN国内調達基準60%</x:v>
      </x:c>
      <x:c r="B59" s="54"/>
      <x:c r="C59" s="54"/>
      <x:c r="D59" s="54"/>
      <x:c r="E59" s="54"/>
      <x:c r="F59" s="54"/>
      <x:c r="G59" s="57" t="str">
        <x:f>IF('制度詳細'!$H$23="",IF('制度詳細'!$J$23="","",IF(AND('制度詳細'!$J$23&gt;=G$50,'制度詳細'!$J$23&lt;=EOMONTH(G$50,0)),"◆","")),IF(MAX('制度詳細'!$H$23,G$50)&lt;=MIN(IF('制度詳細'!$I$23="",EOMONTH(G$50,0),'制度詳細'!$I$23),EOMONTH(G$50,0)),"■",IF(AND('制度詳細'!$J$23&lt;&gt;"",'制度詳細'!$J$23&gt;=G$50,'制度詳細'!$J$23&lt;=EOMONTH(G$50,0)),"◆","")))</x:f>
      </x:c>
      <x:c r="H59" s="57" t="str">
        <x:f>IF('制度詳細'!$H$23="",IF('制度詳細'!$J$23="","",IF(AND('制度詳細'!$J$23&gt;=H$50,'制度詳細'!$J$23&lt;=EOMONTH(H$50,0)),"◆","")),IF(MAX('制度詳細'!$H$23,H$50)&lt;=MIN(IF('制度詳細'!$I$23="",EOMONTH(H$50,0),'制度詳細'!$I$23),EOMONTH(H$50,0)),"■",IF(AND('制度詳細'!$J$23&lt;&gt;"",'制度詳細'!$J$23&gt;=H$50,'制度詳細'!$J$23&lt;=EOMONTH(H$50,0)),"◆","")))</x:f>
      </x:c>
      <x:c r="I59" s="57" t="str">
        <x:f>IF('制度詳細'!$H$23="",IF('制度詳細'!$J$23="","",IF(AND('制度詳細'!$J$23&gt;=I$50,'制度詳細'!$J$23&lt;=EOMONTH(I$50,0)),"◆","")),IF(MAX('制度詳細'!$H$23,I$50)&lt;=MIN(IF('制度詳細'!$I$23="",EOMONTH(I$50,0),'制度詳細'!$I$23),EOMONTH(I$50,0)),"■",IF(AND('制度詳細'!$J$23&lt;&gt;"",'制度詳細'!$J$23&gt;=I$50,'制度詳細'!$J$23&lt;=EOMONTH(I$50,0)),"◆","")))</x:f>
      </x:c>
      <x:c r="J59" s="57" t="str">
        <x:f>IF('制度詳細'!$H$23="",IF('制度詳細'!$J$23="","",IF(AND('制度詳細'!$J$23&gt;=J$50,'制度詳細'!$J$23&lt;=EOMONTH(J$50,0)),"◆","")),IF(MAX('制度詳細'!$H$23,J$50)&lt;=MIN(IF('制度詳細'!$I$23="",EOMONTH(J$50,0),'制度詳細'!$I$23),EOMONTH(J$50,0)),"■",IF(AND('制度詳細'!$J$23&lt;&gt;"",'制度詳細'!$J$23&gt;=J$50,'制度詳細'!$J$23&lt;=EOMONTH(J$50,0)),"◆","")))</x:f>
      </x:c>
      <x:c r="K59" s="57" t="str">
        <x:f>IF('制度詳細'!$H$23="",IF('制度詳細'!$J$23="","",IF(AND('制度詳細'!$J$23&gt;=K$50,'制度詳細'!$J$23&lt;=EOMONTH(K$50,0)),"◆","")),IF(MAX('制度詳細'!$H$23,K$50)&lt;=MIN(IF('制度詳細'!$I$23="",EOMONTH(K$50,0),'制度詳細'!$I$23),EOMONTH(K$50,0)),"■",IF(AND('制度詳細'!$J$23&lt;&gt;"",'制度詳細'!$J$23&gt;=K$50,'制度詳細'!$J$23&lt;=EOMONTH(K$50,0)),"◆","")))</x:f>
      </x:c>
      <x:c r="L59" s="57" t="str">
        <x:f>IF('制度詳細'!$H$23="",IF('制度詳細'!$J$23="","",IF(AND('制度詳細'!$J$23&gt;=L$50,'制度詳細'!$J$23&lt;=EOMONTH(L$50,0)),"◆","")),IF(MAX('制度詳細'!$H$23,L$50)&lt;=MIN(IF('制度詳細'!$I$23="",EOMONTH(L$50,0),'制度詳細'!$I$23),EOMONTH(L$50,0)),"■",IF(AND('制度詳細'!$J$23&lt;&gt;"",'制度詳細'!$J$23&gt;=L$50,'制度詳細'!$J$23&lt;=EOMONTH(L$50,0)),"◆","")))</x:f>
      </x:c>
      <x:c r="M59" s="57" t="str">
        <x:f>IF('制度詳細'!$H$23="",IF('制度詳細'!$J$23="","",IF(AND('制度詳細'!$J$23&gt;=M$50,'制度詳細'!$J$23&lt;=EOMONTH(M$50,0)),"◆","")),IF(MAX('制度詳細'!$H$23,M$50)&lt;=MIN(IF('制度詳細'!$I$23="",EOMONTH(M$50,0),'制度詳細'!$I$23),EOMONTH(M$50,0)),"■",IF(AND('制度詳細'!$J$23&lt;&gt;"",'制度詳細'!$J$23&gt;=M$50,'制度詳細'!$J$23&lt;=EOMONTH(M$50,0)),"◆","")))</x:f>
      </x:c>
      <x:c r="N59" s="57" t="str">
        <x:f>IF('制度詳細'!$H$23="",IF('制度詳細'!$J$23="","",IF(AND('制度詳細'!$J$23&gt;=N$50,'制度詳細'!$J$23&lt;=EOMONTH(N$50,0)),"◆","")),IF(MAX('制度詳細'!$H$23,N$50)&lt;=MIN(IF('制度詳細'!$I$23="",EOMONTH(N$50,0),'制度詳細'!$I$23),EOMONTH(N$50,0)),"■",IF(AND('制度詳細'!$J$23&lt;&gt;"",'制度詳細'!$J$23&gt;=N$50,'制度詳細'!$J$23&lt;=EOMONTH(N$50,0)),"◆","")))</x:f>
      </x:c>
      <x:c r="O59" s="57" t="str">
        <x:f>IF('制度詳細'!$H$23="",IF('制度詳細'!$J$23="","",IF(AND('制度詳細'!$J$23&gt;=O$50,'制度詳細'!$J$23&lt;=EOMONTH(O$50,0)),"◆","")),IF(MAX('制度詳細'!$H$23,O$50)&lt;=MIN(IF('制度詳細'!$I$23="",EOMONTH(O$50,0),'制度詳細'!$I$23),EOMONTH(O$50,0)),"■",IF(AND('制度詳細'!$J$23&lt;&gt;"",'制度詳細'!$J$23&gt;=O$50,'制度詳細'!$J$23&lt;=EOMONTH(O$50,0)),"◆","")))</x:f>
      </x:c>
      <x:c r="P59" s="57" t="str">
        <x:f>IF('制度詳細'!$H$23="",IF('制度詳細'!$J$23="","",IF(AND('制度詳細'!$J$23&gt;=P$50,'制度詳細'!$J$23&lt;=EOMONTH(P$50,0)),"◆","")),IF(MAX('制度詳細'!$H$23,P$50)&lt;=MIN(IF('制度詳細'!$I$23="",EOMONTH(P$50,0),'制度詳細'!$I$23),EOMONTH(P$50,0)),"■",IF(AND('制度詳細'!$J$23&lt;&gt;"",'制度詳細'!$J$23&gt;=P$50,'制度詳細'!$J$23&lt;=EOMONTH(P$50,0)),"◆","")))</x:f>
      </x:c>
      <x:c r="Q59" s="57" t="str">
        <x:f>IF('制度詳細'!$H$23="",IF('制度詳細'!$J$23="","",IF(AND('制度詳細'!$J$23&gt;=Q$50,'制度詳細'!$J$23&lt;=EOMONTH(Q$50,0)),"◆","")),IF(MAX('制度詳細'!$H$23,Q$50)&lt;=MIN(IF('制度詳細'!$I$23="",EOMONTH(Q$50,0),'制度詳細'!$I$23),EOMONTH(Q$50,0)),"■",IF(AND('制度詳細'!$J$23&lt;&gt;"",'制度詳細'!$J$23&gt;=Q$50,'制度詳細'!$J$23&lt;=EOMONTH(Q$50,0)),"◆","")))</x:f>
      </x:c>
      <x:c r="R59" s="57" t="str">
        <x:f>IF('制度詳細'!$H$23="",IF('制度詳細'!$J$23="","",IF(AND('制度詳細'!$J$23&gt;=R$50,'制度詳細'!$J$23&lt;=EOMONTH(R$50,0)),"◆","")),IF(MAX('制度詳細'!$H$23,R$50)&lt;=MIN(IF('制度詳細'!$I$23="",EOMONTH(R$50,0),'制度詳細'!$I$23),EOMONTH(R$50,0)),"■",IF(AND('制度詳細'!$J$23&lt;&gt;"",'制度詳細'!$J$23&gt;=R$50,'制度詳細'!$J$23&lt;=EOMONTH(R$50,0)),"◆","")))</x:f>
      </x:c>
      <x:c r="S59" s="57" t="str">
        <x:f>IF('制度詳細'!$H$23="",IF('制度詳細'!$J$23="","",IF(AND('制度詳細'!$J$23&gt;=S$50,'制度詳細'!$J$23&lt;=EOMONTH(S$50,0)),"◆","")),IF(MAX('制度詳細'!$H$23,S$50)&lt;=MIN(IF('制度詳細'!$I$23="",EOMONTH(S$50,0),'制度詳細'!$I$23),EOMONTH(S$50,0)),"■",IF(AND('制度詳細'!$J$23&lt;&gt;"",'制度詳細'!$J$23&gt;=S$50,'制度詳細'!$J$23&lt;=EOMONTH(S$50,0)),"◆","")))</x:f>
      </x:c>
      <x:c r="T59" s="57" t="str">
        <x:f>IF('制度詳細'!$H$23="",IF('制度詳細'!$J$23="","",IF(AND('制度詳細'!$J$23&gt;=T$50,'制度詳細'!$J$23&lt;=EOMONTH(T$50,0)),"◆","")),IF(MAX('制度詳細'!$H$23,T$50)&lt;=MIN(IF('制度詳細'!$I$23="",EOMONTH(T$50,0),'制度詳細'!$I$23),EOMONTH(T$50,0)),"■",IF(AND('制度詳細'!$J$23&lt;&gt;"",'制度詳細'!$J$23&gt;=T$50,'制度詳細'!$J$23&lt;=EOMONTH(T$50,0)),"◆","")))</x:f>
      </x:c>
      <x:c r="U59" s="57" t="str">
        <x:f>IF('制度詳細'!$H$23="",IF('制度詳細'!$J$23="","",IF(AND('制度詳細'!$J$23&gt;=U$50,'制度詳細'!$J$23&lt;=EOMONTH(U$50,0)),"◆","")),IF(MAX('制度詳細'!$H$23,U$50)&lt;=MIN(IF('制度詳細'!$I$23="",EOMONTH(U$50,0),'制度詳細'!$I$23),EOMONTH(U$50,0)),"■",IF(AND('制度詳細'!$J$23&lt;&gt;"",'制度詳細'!$J$23&gt;=U$50,'制度詳細'!$J$23&lt;=EOMONTH(U$50,0)),"◆","")))</x:f>
      </x:c>
      <x:c r="V59" s="57" t="str">
        <x:f>IF('制度詳細'!$H$23="",IF('制度詳細'!$J$23="","",IF(AND('制度詳細'!$J$23&gt;=V$50,'制度詳細'!$J$23&lt;=EOMONTH(V$50,0)),"◆","")),IF(MAX('制度詳細'!$H$23,V$50)&lt;=MIN(IF('制度詳細'!$I$23="",EOMONTH(V$50,0),'制度詳細'!$I$23),EOMONTH(V$50,0)),"■",IF(AND('制度詳細'!$J$23&lt;&gt;"",'制度詳細'!$J$23&gt;=V$50,'制度詳細'!$J$23&lt;=EOMONTH(V$50,0)),"◆","")))</x:f>
      </x:c>
      <x:c r="W59" s="57" t="str">
        <x:f>IF('制度詳細'!$H$23="",IF('制度詳細'!$J$23="","",IF(AND('制度詳細'!$J$23&gt;=W$50,'制度詳細'!$J$23&lt;=EOMONTH(W$50,0)),"◆","")),IF(MAX('制度詳細'!$H$23,W$50)&lt;=MIN(IF('制度詳細'!$I$23="",EOMONTH(W$50,0),'制度詳細'!$I$23),EOMONTH(W$50,0)),"■",IF(AND('制度詳細'!$J$23&lt;&gt;"",'制度詳細'!$J$23&gt;=W$50,'制度詳細'!$J$23&lt;=EOMONTH(W$50,0)),"◆","")))</x:f>
      </x:c>
      <x:c r="X59" s="57" t="str">
        <x:f>IF('制度詳細'!$H$23="",IF('制度詳細'!$J$23="","",IF(AND('制度詳細'!$J$23&gt;=X$50,'制度詳細'!$J$23&lt;=EOMONTH(X$50,0)),"◆","")),IF(MAX('制度詳細'!$H$23,X$50)&lt;=MIN(IF('制度詳細'!$I$23="",EOMONTH(X$50,0),'制度詳細'!$I$23),EOMONTH(X$50,0)),"■",IF(AND('制度詳細'!$J$23&lt;&gt;"",'制度詳細'!$J$23&gt;=X$50,'制度詳細'!$J$23&lt;=EOMONTH(X$50,0)),"◆","")))</x:f>
      </x:c>
      <x:c r="Y59" s="57" t="str">
        <x:f>IF('制度詳細'!$H$23="",IF('制度詳細'!$J$23="","",IF(AND('制度詳細'!$J$23&gt;=Y$50,'制度詳細'!$J$23&lt;=EOMONTH(Y$50,0)),"◆","")),IF(MAX('制度詳細'!$H$23,Y$50)&lt;=MIN(IF('制度詳細'!$I$23="",EOMONTH(Y$50,0),'制度詳細'!$I$23),EOMONTH(Y$50,0)),"■",IF(AND('制度詳細'!$J$23&lt;&gt;"",'制度詳細'!$J$23&gt;=Y$50,'制度詳細'!$J$23&lt;=EOMONTH(Y$50,0)),"◆","")))</x:f>
      </x:c>
      <x:c r="Z59" s="57" t="str">
        <x:f>IF('制度詳細'!$H$23="",IF('制度詳細'!$J$23="","",IF(AND('制度詳細'!$J$23&gt;=Z$50,'制度詳細'!$J$23&lt;=EOMONTH(Z$50,0)),"◆","")),IF(MAX('制度詳細'!$H$23,Z$50)&lt;=MIN(IF('制度詳細'!$I$23="",EOMONTH(Z$50,0),'制度詳細'!$I$23),EOMONTH(Z$50,0)),"■",IF(AND('制度詳細'!$J$23&lt;&gt;"",'制度詳細'!$J$23&gt;=Z$50,'制度詳細'!$J$23&lt;=EOMONTH(Z$50,0)),"◆","")))</x:f>
      </x:c>
      <x:c r="AA59" s="57" t="str">
        <x:f>IF('制度詳細'!$H$23="",IF('制度詳細'!$J$23="","",IF(AND('制度詳細'!$J$23&gt;=AA$50,'制度詳細'!$J$23&lt;=EOMONTH(AA$50,0)),"◆","")),IF(MAX('制度詳細'!$H$23,AA$50)&lt;=MIN(IF('制度詳細'!$I$23="",EOMONTH(AA$50,0),'制度詳細'!$I$23),EOMONTH(AA$50,0)),"■",IF(AND('制度詳細'!$J$23&lt;&gt;"",'制度詳細'!$J$23&gt;=AA$50,'制度詳細'!$J$23&lt;=EOMONTH(AA$50,0)),"◆","")))</x:f>
      </x:c>
      <x:c r="AB59" s="57" t="str">
        <x:f>IF('制度詳細'!$H$23="",IF('制度詳細'!$J$23="","",IF(AND('制度詳細'!$J$23&gt;=AB$50,'制度詳細'!$J$23&lt;=EOMONTH(AB$50,0)),"◆","")),IF(MAX('制度詳細'!$H$23,AB$50)&lt;=MIN(IF('制度詳細'!$I$23="",EOMONTH(AB$50,0),'制度詳細'!$I$23),EOMONTH(AB$50,0)),"■",IF(AND('制度詳細'!$J$23&lt;&gt;"",'制度詳細'!$J$23&gt;=AB$50,'制度詳細'!$J$23&lt;=EOMONTH(AB$50,0)),"◆","")))</x:f>
      </x:c>
      <x:c r="AC59" s="57" t="str">
        <x:f>IF('制度詳細'!$H$23="",IF('制度詳細'!$J$23="","",IF(AND('制度詳細'!$J$23&gt;=AC$50,'制度詳細'!$J$23&lt;=EOMONTH(AC$50,0)),"◆","")),IF(MAX('制度詳細'!$H$23,AC$50)&lt;=MIN(IF('制度詳細'!$I$23="",EOMONTH(AC$50,0),'制度詳細'!$I$23),EOMONTH(AC$50,0)),"■",IF(AND('制度詳細'!$J$23&lt;&gt;"",'制度詳細'!$J$23&gt;=AC$50,'制度詳細'!$J$23&lt;=EOMONTH(AC$50,0)),"◆","")))</x:f>
      </x:c>
      <x:c r="AD59" s="57" t="str">
        <x:f>IF('制度詳細'!$H$23="",IF('制度詳細'!$J$23="","",IF(AND('制度詳細'!$J$23&gt;=AD$50,'制度詳細'!$J$23&lt;=EOMONTH(AD$50,0)),"◆","")),IF(MAX('制度詳細'!$H$23,AD$50)&lt;=MIN(IF('制度詳細'!$I$23="",EOMONTH(AD$50,0),'制度詳細'!$I$23),EOMONTH(AD$50,0)),"■",IF(AND('制度詳細'!$J$23&lt;&gt;"",'制度詳細'!$J$23&gt;=AD$50,'制度詳細'!$J$23&lt;=EOMONTH(AD$50,0)),"◆","")))</x:f>
      </x:c>
      <x:c r="AE59" s="57" t="str">
        <x:f>IF('制度詳細'!$H$23="",IF('制度詳細'!$J$23="","",IF(AND('制度詳細'!$J$23&gt;=AE$50,'制度詳細'!$J$23&lt;=EOMONTH(AE$50,0)),"◆","")),IF(MAX('制度詳細'!$H$23,AE$50)&lt;=MIN(IF('制度詳細'!$I$23="",EOMONTH(AE$50,0),'制度詳細'!$I$23),EOMONTH(AE$50,0)),"■",IF(AND('制度詳細'!$J$23&lt;&gt;"",'制度詳細'!$J$23&gt;=AE$50,'制度詳細'!$J$23&lt;=EOMONTH(AE$50,0)),"◆","")))</x:f>
      </x:c>
      <x:c r="AF59" s="57" t="str">
        <x:f>IF('制度詳細'!$H$23="",IF('制度詳細'!$J$23="","",IF(AND('制度詳細'!$J$23&gt;=AF$50,'制度詳細'!$J$23&lt;=EOMONTH(AF$50,0)),"◆","")),IF(MAX('制度詳細'!$H$23,AF$50)&lt;=MIN(IF('制度詳細'!$I$23="",EOMONTH(AF$50,0),'制度詳細'!$I$23),EOMONTH(AF$50,0)),"■",IF(AND('制度詳細'!$J$23&lt;&gt;"",'制度詳細'!$J$23&gt;=AF$50,'制度詳細'!$J$23&lt;=EOMONTH(AF$50,0)),"◆","")))</x:f>
      </x:c>
      <x:c r="AG59" s="57" t="str">
        <x:f>IF('制度詳細'!$H$23="",IF('制度詳細'!$J$23="","",IF(AND('制度詳細'!$J$23&gt;=AG$50,'制度詳細'!$J$23&lt;=EOMONTH(AG$50,0)),"◆","")),IF(MAX('制度詳細'!$H$23,AG$50)&lt;=MIN(IF('制度詳細'!$I$23="",EOMONTH(AG$50,0),'制度詳細'!$I$23),EOMONTH(AG$50,0)),"■",IF(AND('制度詳細'!$J$23&lt;&gt;"",'制度詳細'!$J$23&gt;=AG$50,'制度詳細'!$J$23&lt;=EOMONTH(AG$50,0)),"◆","")))</x:f>
      </x:c>
      <x:c r="AH59" s="57" t="str">
        <x:f>IF('制度詳細'!$H$23="",IF('制度詳細'!$J$23="","",IF(AND('制度詳細'!$J$23&gt;=AH$50,'制度詳細'!$J$23&lt;=EOMONTH(AH$50,0)),"◆","")),IF(MAX('制度詳細'!$H$23,AH$50)&lt;=MIN(IF('制度詳細'!$I$23="",EOMONTH(AH$50,0),'制度詳細'!$I$23),EOMONTH(AH$50,0)),"■",IF(AND('制度詳細'!$J$23&lt;&gt;"",'制度詳細'!$J$23&gt;=AH$50,'制度詳細'!$J$23&lt;=EOMONTH(AH$50,0)),"◆","")))</x:f>
      </x:c>
      <x:c r="AI59" s="57" t="str">
        <x:f>IF('制度詳細'!$H$23="",IF('制度詳細'!$J$23="","",IF(AND('制度詳細'!$J$23&gt;=AI$50,'制度詳細'!$J$23&lt;=EOMONTH(AI$50,0)),"◆","")),IF(MAX('制度詳細'!$H$23,AI$50)&lt;=MIN(IF('制度詳細'!$I$23="",EOMONTH(AI$50,0),'制度詳細'!$I$23),EOMONTH(AI$50,0)),"■",IF(AND('制度詳細'!$J$23&lt;&gt;"",'制度詳細'!$J$23&gt;=AI$50,'制度詳細'!$J$23&lt;=EOMONTH(AI$50,0)),"◆","")))</x:f>
      </x:c>
      <x:c r="AJ59" s="57" t="str">
        <x:f>IF('制度詳細'!$H$23="",IF('制度詳細'!$J$23="","",IF(AND('制度詳細'!$J$23&gt;=AJ$50,'制度詳細'!$J$23&lt;=EOMONTH(AJ$50,0)),"◆","")),IF(MAX('制度詳細'!$H$23,AJ$50)&lt;=MIN(IF('制度詳細'!$I$23="",EOMONTH(AJ$50,0),'制度詳細'!$I$23),EOMONTH(AJ$50,0)),"■",IF(AND('制度詳細'!$J$23&lt;&gt;"",'制度詳細'!$J$23&gt;=AJ$50,'制度詳細'!$J$23&lt;=EOMONTH(AJ$50,0)),"◆","")))</x:f>
      </x:c>
      <x:c r="AK59" s="57" t="str">
        <x:f>IF('制度詳細'!$H$23="",IF('制度詳細'!$J$23="","",IF(AND('制度詳細'!$J$23&gt;=AK$50,'制度詳細'!$J$23&lt;=EOMONTH(AK$50,0)),"◆","")),IF(MAX('制度詳細'!$H$23,AK$50)&lt;=MIN(IF('制度詳細'!$I$23="",EOMONTH(AK$50,0),'制度詳細'!$I$23),EOMONTH(AK$50,0)),"■",IF(AND('制度詳細'!$J$23&lt;&gt;"",'制度詳細'!$J$23&gt;=AK$50,'制度詳細'!$J$23&lt;=EOMONTH(AK$50,0)),"◆","")))</x:f>
      </x:c>
      <x:c r="AL59" s="57" t="str">
        <x:f>IF('制度詳細'!$H$23="",IF('制度詳細'!$J$23="","",IF(AND('制度詳細'!$J$23&gt;=AL$50,'制度詳細'!$J$23&lt;=EOMONTH(AL$50,0)),"◆","")),IF(MAX('制度詳細'!$H$23,AL$50)&lt;=MIN(IF('制度詳細'!$I$23="",EOMONTH(AL$50,0),'制度詳細'!$I$23),EOMONTH(AL$50,0)),"■",IF(AND('制度詳細'!$J$23&lt;&gt;"",'制度詳細'!$J$23&gt;=AL$50,'制度詳細'!$J$23&lt;=EOMONTH(AL$50,0)),"◆","")))</x:f>
      </x:c>
      <x:c r="AM59" s="57" t="str">
        <x:f>IF('制度詳細'!$H$23="",IF('制度詳細'!$J$23="","",IF(AND('制度詳細'!$J$23&gt;=AM$50,'制度詳細'!$J$23&lt;=EOMONTH(AM$50,0)),"◆","")),IF(MAX('制度詳細'!$H$23,AM$50)&lt;=MIN(IF('制度詳細'!$I$23="",EOMONTH(AM$50,0),'制度詳細'!$I$23),EOMONTH(AM$50,0)),"■",IF(AND('制度詳細'!$J$23&lt;&gt;"",'制度詳細'!$J$23&gt;=AM$50,'制度詳細'!$J$23&lt;=EOMONTH(AM$50,0)),"◆","")))</x:f>
      </x:c>
      <x:c r="AN59" s="57" t="str">
        <x:f>IF('制度詳細'!$H$23="",IF('制度詳細'!$J$23="","",IF(AND('制度詳細'!$J$23&gt;=AN$50,'制度詳細'!$J$23&lt;=EOMONTH(AN$50,0)),"◆","")),IF(MAX('制度詳細'!$H$23,AN$50)&lt;=MIN(IF('制度詳細'!$I$23="",EOMONTH(AN$50,0),'制度詳細'!$I$23),EOMONTH(AN$50,0)),"■",IF(AND('制度詳細'!$J$23&lt;&gt;"",'制度詳細'!$J$23&gt;=AN$50,'制度詳細'!$J$23&lt;=EOMONTH(AN$50,0)),"◆","")))</x:f>
      </x:c>
      <x:c r="AO59" s="57" t="str">
        <x:f>IF('制度詳細'!$H$23="",IF('制度詳細'!$J$23="","",IF(AND('制度詳細'!$J$23&gt;=AO$50,'制度詳細'!$J$23&lt;=EOMONTH(AO$50,0)),"◆","")),IF(MAX('制度詳細'!$H$23,AO$50)&lt;=MIN(IF('制度詳細'!$I$23="",EOMONTH(AO$50,0),'制度詳細'!$I$23),EOMONTH(AO$50,0)),"■",IF(AND('制度詳細'!$J$23&lt;&gt;"",'制度詳細'!$J$23&gt;=AO$50,'制度詳細'!$J$23&lt;=EOMONTH(AO$50,0)),"◆","")))</x:f>
      </x:c>
      <x:c r="AP59" s="57" t="str">
        <x:f>IF('制度詳細'!$H$23="",IF('制度詳細'!$J$23="","",IF(AND('制度詳細'!$J$23&gt;=AP$50,'制度詳細'!$J$23&lt;=EOMONTH(AP$50,0)),"◆","")),IF(MAX('制度詳細'!$H$23,AP$50)&lt;=MIN(IF('制度詳細'!$I$23="",EOMONTH(AP$50,0),'制度詳細'!$I$23),EOMONTH(AP$50,0)),"■",IF(AND('制度詳細'!$J$23&lt;&gt;"",'制度詳細'!$J$23&gt;=AP$50,'制度詳細'!$J$23&lt;=EOMONTH(AP$50,0)),"◆","")))</x:f>
      </x:c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</x:row>
    <x:row r="62" ht="38" customHeight="1">
      <x:c r="A62" s="4" t="str">
        <x:v>03  マレーシア</x:v>
      </x:c>
      <x:c r="B62" s="4" t="str">
        <x:v>03  マレーシア</x:v>
      </x:c>
      <x:c r="C62" s="4" t="str">
        <x:v>03  マレーシア</x:v>
      </x:c>
      <x:c r="D62" s="4" t="str">
        <x:v>03  マレーシア</x:v>
      </x:c>
      <x:c r="E62" s="4" t="str">
        <x:v>03  マレーシア</x:v>
      </x:c>
      <x:c r="F62" s="4" t="str">
        <x:v>03  マレーシア</x:v>
      </x:c>
      <x:c r="G62" s="4" t="str">
        <x:v>03  マレーシア</x:v>
      </x:c>
      <x:c r="H62" s="4" t="str">
        <x:v>03  マレーシア</x:v>
      </x:c>
      <x:c r="I62" s="4" t="str">
        <x:v>03  マレーシア</x:v>
      </x:c>
      <x:c r="J62" s="4" t="str">
        <x:v>03  マレーシア</x:v>
      </x:c>
      <x:c r="K62" s="4" t="str">
        <x:v>03  マレーシア</x:v>
      </x:c>
      <x:c r="L62" s="4" t="str">
        <x:v>03  マレーシア</x:v>
      </x:c>
      <x:c r="M62" s="4" t="str">
        <x:v>03  マレーシア</x:v>
      </x:c>
      <x:c r="N62" s="4" t="str">
        <x:v>03  マレーシア</x:v>
      </x:c>
      <x:c r="O62" s="4" t="str">
        <x:v>03  マレーシア</x:v>
      </x:c>
      <x:c r="P62" s="4" t="str">
        <x:v>03  マレーシア</x:v>
      </x:c>
      <x:c r="Q62" s="4" t="str">
        <x:v>03  マレーシア</x:v>
      </x:c>
      <x:c r="R62" s="4" t="str">
        <x:v>03  マレーシア</x:v>
      </x:c>
      <x:c r="S62" s="4" t="str">
        <x:v>03  マレーシア</x:v>
      </x:c>
      <x:c r="T62" s="4" t="str">
        <x:v>03  マレーシア</x:v>
      </x:c>
      <x:c r="U62" s="4" t="str">
        <x:v>03  マレーシア</x:v>
      </x:c>
      <x:c r="V62" s="4" t="str">
        <x:v>03  マレーシア</x:v>
      </x:c>
      <x:c r="W62" s="4" t="str">
        <x:v>03  マレーシア</x:v>
      </x:c>
      <x:c r="X62" s="4" t="str">
        <x:v>03  マレーシア</x:v>
      </x:c>
      <x:c r="Y62" s="4" t="str">
        <x:v>03  マレーシア</x:v>
      </x:c>
      <x:c r="Z62" s="4" t="str">
        <x:v>03  マレーシア</x:v>
      </x:c>
      <x:c r="AA62" s="4" t="str">
        <x:v>03  マレーシア</x:v>
      </x:c>
      <x:c r="AB62" s="4" t="str">
        <x:v>03  マレーシア</x:v>
      </x:c>
      <x:c r="AC62" s="4" t="str">
        <x:v>03  マレーシア</x:v>
      </x:c>
      <x:c r="AD62" s="4" t="str">
        <x:v>03  マレーシア</x:v>
      </x:c>
      <x:c r="AE62" s="4" t="str">
        <x:v>03  マレーシア</x:v>
      </x:c>
      <x:c r="AF62" s="4" t="str">
        <x:v>03  マレーシア</x:v>
      </x:c>
      <x:c r="AG62" s="4" t="str">
        <x:v>03  マレーシア</x:v>
      </x:c>
      <x:c r="AH62" s="4" t="str">
        <x:v>03  マレーシア</x:v>
      </x:c>
      <x:c r="AI62" s="4" t="str">
        <x:v>03  マレーシア</x:v>
      </x:c>
      <x:c r="AJ62" s="4" t="str">
        <x:v>03  マレーシア</x:v>
      </x:c>
      <x:c r="AK62" s="4" t="str">
        <x:v>03  マレーシア</x:v>
      </x:c>
      <x:c r="AL62" s="4" t="str">
        <x:v>03  マレーシア</x:v>
      </x:c>
      <x:c r="AM62" s="4" t="str">
        <x:v>03  マレーシア</x:v>
      </x:c>
      <x:c r="AN62" s="4" t="str">
        <x:v>03  マレーシア</x:v>
      </x:c>
      <x:c r="AO62" s="4" t="str">
        <x:v>03  マレーシア</x:v>
      </x:c>
      <x:c r="AP62" s="4" t="str">
        <x:v>03  マレーシア</x:v>
      </x:c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</x:row>
    <x:row r="63" ht="34" customHeight="1">
      <x:c r="A63" s="7" t="str">
        <x:v>販売系列：初期値はBEV/HEV/ICE。販売未入力のため線なし。台数・統計範囲をそろえ、制度の対象条件と照合する。</x:v>
      </x:c>
      <x:c r="B63" s="7" t="str">
        <x:v>販売系列：初期値はBEV/HEV/ICE。販売未入力のため線なし。台数・統計範囲をそろえ、制度の対象条件と照合する。</x:v>
      </x:c>
      <x:c r="C63" s="7" t="str">
        <x:v>販売系列：初期値はBEV/HEV/ICE。販売未入力のため線なし。台数・統計範囲をそろえ、制度の対象条件と照合する。</x:v>
      </x:c>
      <x:c r="D63" s="7" t="str">
        <x:v>販売系列：初期値はBEV/HEV/ICE。販売未入力のため線なし。台数・統計範囲をそろえ、制度の対象条件と照合する。</x:v>
      </x:c>
      <x:c r="E63" s="7" t="str">
        <x:v>販売系列：初期値はBEV/HEV/ICE。販売未入力のため線なし。台数・統計範囲をそろえ、制度の対象条件と照合する。</x:v>
      </x:c>
      <x:c r="F63" s="7" t="str">
        <x:v>販売系列：初期値はBEV/HEV/ICE。販売未入力のため線なし。台数・統計範囲をそろえ、制度の対象条件と照合する。</x:v>
      </x:c>
      <x:c r="G63" s="7" t="str">
        <x:v>販売系列：初期値はBEV/HEV/ICE。販売未入力のため線なし。台数・統計範囲をそろえ、制度の対象条件と照合する。</x:v>
      </x:c>
      <x:c r="H63" s="7" t="str">
        <x:v>販売系列：初期値はBEV/HEV/ICE。販売未入力のため線なし。台数・統計範囲をそろえ、制度の対象条件と照合する。</x:v>
      </x:c>
      <x:c r="I63" s="7" t="str">
        <x:v>販売系列：初期値はBEV/HEV/ICE。販売未入力のため線なし。台数・統計範囲をそろえ、制度の対象条件と照合する。</x:v>
      </x:c>
      <x:c r="J63" s="7" t="str">
        <x:v>販売系列：初期値はBEV/HEV/ICE。販売未入力のため線なし。台数・統計範囲をそろえ、制度の対象条件と照合する。</x:v>
      </x:c>
      <x:c r="K63" s="7" t="str">
        <x:v>販売系列：初期値はBEV/HEV/ICE。販売未入力のため線なし。台数・統計範囲をそろえ、制度の対象条件と照合する。</x:v>
      </x:c>
      <x:c r="L63" s="7" t="str">
        <x:v>販売系列：初期値はBEV/HEV/ICE。販売未入力のため線なし。台数・統計範囲をそろえ、制度の対象条件と照合する。</x:v>
      </x:c>
      <x:c r="M63" s="7" t="str">
        <x:v>販売系列：初期値はBEV/HEV/ICE。販売未入力のため線なし。台数・統計範囲をそろえ、制度の対象条件と照合する。</x:v>
      </x:c>
      <x:c r="N63" s="7" t="str">
        <x:v>販売系列：初期値はBEV/HEV/ICE。販売未入力のため線なし。台数・統計範囲をそろえ、制度の対象条件と照合する。</x:v>
      </x:c>
      <x:c r="O63" s="7" t="str">
        <x:v>販売系列：初期値はBEV/HEV/ICE。販売未入力のため線なし。台数・統計範囲をそろえ、制度の対象条件と照合する。</x:v>
      </x:c>
      <x:c r="P63" s="7" t="str">
        <x:v>販売系列：初期値はBEV/HEV/ICE。販売未入力のため線なし。台数・統計範囲をそろえ、制度の対象条件と照合する。</x:v>
      </x:c>
      <x:c r="Q63" s="7" t="str">
        <x:v>販売系列：初期値はBEV/HEV/ICE。販売未入力のため線なし。台数・統計範囲をそろえ、制度の対象条件と照合する。</x:v>
      </x:c>
      <x:c r="R63" s="7" t="str">
        <x:v>販売系列：初期値はBEV/HEV/ICE。販売未入力のため線なし。台数・統計範囲をそろえ、制度の対象条件と照合する。</x:v>
      </x:c>
      <x:c r="S63" s="7" t="str">
        <x:v>販売系列：初期値はBEV/HEV/ICE。販売未入力のため線なし。台数・統計範囲をそろえ、制度の対象条件と照合する。</x:v>
      </x:c>
      <x:c r="T63" s="7" t="str">
        <x:v>販売系列：初期値はBEV/HEV/ICE。販売未入力のため線なし。台数・統計範囲をそろえ、制度の対象条件と照合する。</x:v>
      </x:c>
      <x:c r="U63" s="7" t="str">
        <x:v>販売系列：初期値はBEV/HEV/ICE。販売未入力のため線なし。台数・統計範囲をそろえ、制度の対象条件と照合する。</x:v>
      </x:c>
      <x:c r="V63" s="7" t="str">
        <x:v>販売系列：初期値はBEV/HEV/ICE。販売未入力のため線なし。台数・統計範囲をそろえ、制度の対象条件と照合する。</x:v>
      </x:c>
      <x:c r="W63" s="7" t="str">
        <x:v>販売系列：初期値はBEV/HEV/ICE。販売未入力のため線なし。台数・統計範囲をそろえ、制度の対象条件と照合する。</x:v>
      </x:c>
      <x:c r="X63" s="7" t="str">
        <x:v>販売系列：初期値はBEV/HEV/ICE。販売未入力のため線なし。台数・統計範囲をそろえ、制度の対象条件と照合する。</x:v>
      </x:c>
      <x:c r="Y63" s="7" t="str">
        <x:v>販売系列：初期値はBEV/HEV/ICE。販売未入力のため線なし。台数・統計範囲をそろえ、制度の対象条件と照合する。</x:v>
      </x:c>
      <x:c r="Z63" s="7" t="str">
        <x:v>販売系列：初期値はBEV/HEV/ICE。販売未入力のため線なし。台数・統計範囲をそろえ、制度の対象条件と照合する。</x:v>
      </x:c>
      <x:c r="AA63" s="7" t="str">
        <x:v>販売系列：初期値はBEV/HEV/ICE。販売未入力のため線なし。台数・統計範囲をそろえ、制度の対象条件と照合する。</x:v>
      </x:c>
      <x:c r="AB63" s="7" t="str">
        <x:v>販売系列：初期値はBEV/HEV/ICE。販売未入力のため線なし。台数・統計範囲をそろえ、制度の対象条件と照合する。</x:v>
      </x:c>
      <x:c r="AC63" s="7" t="str">
        <x:v>販売系列：初期値はBEV/HEV/ICE。販売未入力のため線なし。台数・統計範囲をそろえ、制度の対象条件と照合する。</x:v>
      </x:c>
      <x:c r="AD63" s="7" t="str">
        <x:v>販売系列：初期値はBEV/HEV/ICE。販売未入力のため線なし。台数・統計範囲をそろえ、制度の対象条件と照合する。</x:v>
      </x:c>
      <x:c r="AE63" s="7" t="str">
        <x:v>販売系列：初期値はBEV/HEV/ICE。販売未入力のため線なし。台数・統計範囲をそろえ、制度の対象条件と照合する。</x:v>
      </x:c>
      <x:c r="AF63" s="7" t="str">
        <x:v>販売系列：初期値はBEV/HEV/ICE。販売未入力のため線なし。台数・統計範囲をそろえ、制度の対象条件と照合する。</x:v>
      </x:c>
      <x:c r="AG63" s="7" t="str">
        <x:v>販売系列：初期値はBEV/HEV/ICE。販売未入力のため線なし。台数・統計範囲をそろえ、制度の対象条件と照合する。</x:v>
      </x:c>
      <x:c r="AH63" s="7" t="str">
        <x:v>販売系列：初期値はBEV/HEV/ICE。販売未入力のため線なし。台数・統計範囲をそろえ、制度の対象条件と照合する。</x:v>
      </x:c>
      <x:c r="AI63" s="7" t="str">
        <x:v>販売系列：初期値はBEV/HEV/ICE。販売未入力のため線なし。台数・統計範囲をそろえ、制度の対象条件と照合する。</x:v>
      </x:c>
      <x:c r="AJ63" s="7" t="str">
        <x:v>販売系列：初期値はBEV/HEV/ICE。販売未入力のため線なし。台数・統計範囲をそろえ、制度の対象条件と照合する。</x:v>
      </x:c>
      <x:c r="AK63" s="7" t="str">
        <x:v>販売系列：初期値はBEV/HEV/ICE。販売未入力のため線なし。台数・統計範囲をそろえ、制度の対象条件と照合する。</x:v>
      </x:c>
      <x:c r="AL63" s="7" t="str">
        <x:v>販売系列：初期値はBEV/HEV/ICE。販売未入力のため線なし。台数・統計範囲をそろえ、制度の対象条件と照合する。</x:v>
      </x:c>
      <x:c r="AM63" s="7" t="str">
        <x:v>販売系列：初期値はBEV/HEV/ICE。販売未入力のため線なし。台数・統計範囲をそろえ、制度の対象条件と照合する。</x:v>
      </x:c>
      <x:c r="AN63" s="7" t="str">
        <x:v>販売系列：初期値はBEV/HEV/ICE。販売未入力のため線なし。台数・統計範囲をそろえ、制度の対象条件と照合する。</x:v>
      </x:c>
      <x:c r="AO63" s="7" t="str">
        <x:v>販売系列：初期値はBEV/HEV/ICE。販売未入力のため線なし。台数・統計範囲をそろえ、制度の対象条件と照合する。</x:v>
      </x:c>
      <x:c r="AP63" s="7" t="str">
        <x:v>販売系列：初期値はBEV/HEV/ICE。販売未入力のため線なし。台数・統計範囲をそろえ、制度の対象条件と照合する。</x:v>
      </x:c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</x:row>
    <x:row r="64" ht="23" customHeight="1">
      <x:c r="A64" s="37" t="str">
        <x:v>着目点
2025年末のCBU税恩典終了。
2026年7月から新規CBU条件。
在庫の経過措置とCKD移行。</x:v>
      </x:c>
      <x:c r="B64" s="37"/>
      <x:c r="C64" s="37"/>
      <x:c r="D64" s="37"/>
      <x:c r="E64" s="37"/>
      <x:c r="F64" s="37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</x:row>
    <x:row r="65" ht="23" customHeight="1">
      <x:c r="A65" s="37"/>
      <x:c r="B65" s="37"/>
      <x:c r="C65" s="37"/>
      <x:c r="D65" s="37"/>
      <x:c r="E65" s="37"/>
      <x:c r="F65" s="37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</x:row>
    <x:row r="66" ht="23" customHeight="1">
      <x:c r="A66" s="37"/>
      <x:c r="B66" s="37"/>
      <x:c r="C66" s="37"/>
      <x:c r="D66" s="37"/>
      <x:c r="E66" s="37"/>
      <x:c r="F66" s="37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</x:row>
    <x:row r="67" ht="23" customHeight="1">
      <x:c r="A67" s="37"/>
      <x:c r="B67" s="37"/>
      <x:c r="C67" s="37"/>
      <x:c r="D67" s="37"/>
      <x:c r="E67" s="37"/>
      <x:c r="F67" s="37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</x:row>
    <x:row r="68" ht="23" customHeight="1">
      <x:c r="A68" s="37"/>
      <x:c r="B68" s="37"/>
      <x:c r="C68" s="37"/>
      <x:c r="D68" s="37"/>
      <x:c r="E68" s="37"/>
      <x:c r="F68" s="37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</x:row>
    <x:row r="69" ht="23" customHeight="1">
      <x:c r="A69" s="37"/>
      <x:c r="B69" s="37"/>
      <x:c r="C69" s="37"/>
      <x:c r="D69" s="37"/>
      <x:c r="E69" s="37"/>
      <x:c r="F69" s="37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</x:row>
    <x:row r="70" ht="23" customHeight="1">
      <x:c r="A70" s="37"/>
      <x:c r="B70" s="37"/>
      <x:c r="C70" s="37"/>
      <x:c r="D70" s="37"/>
      <x:c r="E70" s="37"/>
      <x:c r="F70" s="37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</x:row>
    <x:row r="71" ht="23" customHeight="1">
      <x:c r="A71" s="37"/>
      <x:c r="B71" s="37"/>
      <x:c r="C71" s="37"/>
      <x:c r="D71" s="37"/>
      <x:c r="E71" s="37"/>
      <x:c r="F71" s="37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</x:row>
    <x:row r="72" ht="23" customHeight="1">
      <x:c r="A72" s="37"/>
      <x:c r="B72" s="37"/>
      <x:c r="C72" s="37"/>
      <x:c r="D72" s="37"/>
      <x:c r="E72" s="37"/>
      <x:c r="F72" s="37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</x:row>
    <x:row r="73" ht="23" customHeight="1">
      <x:c r="A73" s="37"/>
      <x:c r="B73" s="37"/>
      <x:c r="C73" s="37"/>
      <x:c r="D73" s="37"/>
      <x:c r="E73" s="37"/>
      <x:c r="F73" s="37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</x:row>
    <x:row r="74" ht="23" customHeight="1">
      <x:c r="A74" s="37"/>
      <x:c r="B74" s="37"/>
      <x:c r="C74" s="37"/>
      <x:c r="D74" s="37"/>
      <x:c r="E74" s="37"/>
      <x:c r="F74" s="37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</x:row>
    <x:row r="75" ht="23" customHeight="1">
      <x:c r="A75" s="37"/>
      <x:c r="B75" s="37"/>
      <x:c r="C75" s="37"/>
      <x:c r="D75" s="37"/>
      <x:c r="E75" s="37"/>
      <x:c r="F75" s="37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</x:row>
    <x:row r="76" ht="22" customHeight="1">
      <x:c r="A76" s="40" t="str">
        <x:f>'月次販売入力'!H6</x:f>
        <x:v>BEV</x:v>
      </x:c>
      <x:c r="B76" s="40"/>
      <x:c r="C76" s="43" t="str">
        <x:f>'月次販売入力'!I6</x:f>
        <x:v>HEV</x:v>
      </x:c>
      <x:c r="D76" s="43"/>
      <x:c r="E76" s="46" t="str">
        <x:f>'月次販売入力'!J6</x:f>
        <x:v>ICE</x:v>
      </x:c>
      <x:c r="F76" s="46"/>
      <x:c r="G76" s="48" t="str">
        <x:f>IF(OR(MONTH(G77)=1,0=0),TEXT(G77,"yyyy"),"")</x:f>
        <x:v>2024</x:v>
      </x:c>
      <x:c r="H76" s="48" t="str">
        <x:f>IF(OR(MONTH(H77)=1,1=0),TEXT(H77,"yyyy"),"")</x:f>
      </x:c>
      <x:c r="I76" s="48" t="str">
        <x:f>IF(OR(MONTH(I77)=1,2=0),TEXT(I77,"yyyy"),"")</x:f>
      </x:c>
      <x:c r="J76" s="48" t="str">
        <x:f>IF(OR(MONTH(J77)=1,3=0),TEXT(J77,"yyyy"),"")</x:f>
      </x:c>
      <x:c r="K76" s="48" t="str">
        <x:f>IF(OR(MONTH(K77)=1,4=0),TEXT(K77,"yyyy"),"")</x:f>
      </x:c>
      <x:c r="L76" s="48" t="str">
        <x:f>IF(OR(MONTH(L77)=1,5=0),TEXT(L77,"yyyy"),"")</x:f>
      </x:c>
      <x:c r="M76" s="48" t="str">
        <x:f>IF(OR(MONTH(M77)=1,6=0),TEXT(M77,"yyyy"),"")</x:f>
      </x:c>
      <x:c r="N76" s="48" t="str">
        <x:f>IF(OR(MONTH(N77)=1,7=0),TEXT(N77,"yyyy"),"")</x:f>
      </x:c>
      <x:c r="O76" s="48" t="str">
        <x:f>IF(OR(MONTH(O77)=1,8=0),TEXT(O77,"yyyy"),"")</x:f>
      </x:c>
      <x:c r="P76" s="48" t="str">
        <x:f>IF(OR(MONTH(P77)=1,9=0),TEXT(P77,"yyyy"),"")</x:f>
      </x:c>
      <x:c r="Q76" s="48" t="str">
        <x:f>IF(OR(MONTH(Q77)=1,10=0),TEXT(Q77,"yyyy"),"")</x:f>
      </x:c>
      <x:c r="R76" s="48" t="str">
        <x:f>IF(OR(MONTH(R77)=1,11=0),TEXT(R77,"yyyy"),"")</x:f>
      </x:c>
      <x:c r="S76" s="48" t="str">
        <x:f>IF(OR(MONTH(S77)=1,12=0),TEXT(S77,"yyyy"),"")</x:f>
        <x:v>2025</x:v>
      </x:c>
      <x:c r="T76" s="48" t="str">
        <x:f>IF(OR(MONTH(T77)=1,13=0),TEXT(T77,"yyyy"),"")</x:f>
      </x:c>
      <x:c r="U76" s="48" t="str">
        <x:f>IF(OR(MONTH(U77)=1,14=0),TEXT(U77,"yyyy"),"")</x:f>
      </x:c>
      <x:c r="V76" s="48" t="str">
        <x:f>IF(OR(MONTH(V77)=1,15=0),TEXT(V77,"yyyy"),"")</x:f>
      </x:c>
      <x:c r="W76" s="48" t="str">
        <x:f>IF(OR(MONTH(W77)=1,16=0),TEXT(W77,"yyyy"),"")</x:f>
      </x:c>
      <x:c r="X76" s="48" t="str">
        <x:f>IF(OR(MONTH(X77)=1,17=0),TEXT(X77,"yyyy"),"")</x:f>
      </x:c>
      <x:c r="Y76" s="48" t="str">
        <x:f>IF(OR(MONTH(Y77)=1,18=0),TEXT(Y77,"yyyy"),"")</x:f>
      </x:c>
      <x:c r="Z76" s="48" t="str">
        <x:f>IF(OR(MONTH(Z77)=1,19=0),TEXT(Z77,"yyyy"),"")</x:f>
      </x:c>
      <x:c r="AA76" s="48" t="str">
        <x:f>IF(OR(MONTH(AA77)=1,20=0),TEXT(AA77,"yyyy"),"")</x:f>
      </x:c>
      <x:c r="AB76" s="48" t="str">
        <x:f>IF(OR(MONTH(AB77)=1,21=0),TEXT(AB77,"yyyy"),"")</x:f>
      </x:c>
      <x:c r="AC76" s="48" t="str">
        <x:f>IF(OR(MONTH(AC77)=1,22=0),TEXT(AC77,"yyyy"),"")</x:f>
      </x:c>
      <x:c r="AD76" s="48" t="str">
        <x:f>IF(OR(MONTH(AD77)=1,23=0),TEXT(AD77,"yyyy"),"")</x:f>
      </x:c>
      <x:c r="AE76" s="48" t="str">
        <x:f>IF(OR(MONTH(AE77)=1,24=0),TEXT(AE77,"yyyy"),"")</x:f>
        <x:v>2026</x:v>
      </x:c>
      <x:c r="AF76" s="48" t="str">
        <x:f>IF(OR(MONTH(AF77)=1,25=0),TEXT(AF77,"yyyy"),"")</x:f>
      </x:c>
      <x:c r="AG76" s="48" t="str">
        <x:f>IF(OR(MONTH(AG77)=1,26=0),TEXT(AG77,"yyyy"),"")</x:f>
      </x:c>
      <x:c r="AH76" s="48" t="str">
        <x:f>IF(OR(MONTH(AH77)=1,27=0),TEXT(AH77,"yyyy"),"")</x:f>
      </x:c>
      <x:c r="AI76" s="48" t="str">
        <x:f>IF(OR(MONTH(AI77)=1,28=0),TEXT(AI77,"yyyy"),"")</x:f>
      </x:c>
      <x:c r="AJ76" s="48" t="str">
        <x:f>IF(OR(MONTH(AJ77)=1,29=0),TEXT(AJ77,"yyyy"),"")</x:f>
      </x:c>
      <x:c r="AK76" s="48" t="str">
        <x:f>IF(OR(MONTH(AK77)=1,30=0),TEXT(AK77,"yyyy"),"")</x:f>
      </x:c>
      <x:c r="AL76" s="48" t="str">
        <x:f>IF(OR(MONTH(AL77)=1,31=0),TEXT(AL77,"yyyy"),"")</x:f>
      </x:c>
      <x:c r="AM76" s="48" t="str">
        <x:f>IF(OR(MONTH(AM77)=1,32=0),TEXT(AM77,"yyyy"),"")</x:f>
      </x:c>
      <x:c r="AN76" s="48" t="str">
        <x:f>IF(OR(MONTH(AN77)=1,33=0),TEXT(AN77,"yyyy"),"")</x:f>
      </x:c>
      <x:c r="AO76" s="48" t="str">
        <x:f>IF(OR(MONTH(AO77)=1,34=0),TEXT(AO77,"yyyy"),"")</x:f>
      </x:c>
      <x:c r="AP76" s="48" t="str">
        <x:f>IF(OR(MONTH(AP77)=1,35=0),TEXT(AP77,"yyyy"),"")</x:f>
      </x:c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</x:row>
    <x:row r="77" ht="35" customHeight="1">
      <x:c r="A77" s="1" t="str">
        <x:v>制度／対象条件は「制度詳細」参照</x:v>
      </x:c>
      <x:c r="B77" s="1"/>
      <x:c r="C77" s="1"/>
      <x:c r="D77" s="1"/>
      <x:c r="E77" s="1"/>
      <x:c r="F77" s="1"/>
      <x:c r="G77" s="52" t="n">
        <x:f>EDATE($E$5,0)</x:f>
        <x:v>45292</x:v>
      </x:c>
      <x:c r="H77" s="52" t="n">
        <x:f>EDATE($E$5,1)</x:f>
        <x:v>45323</x:v>
      </x:c>
      <x:c r="I77" s="52" t="n">
        <x:f>EDATE($E$5,2)</x:f>
        <x:v>45352</x:v>
      </x:c>
      <x:c r="J77" s="52" t="n">
        <x:f>EDATE($E$5,3)</x:f>
        <x:v>45383</x:v>
      </x:c>
      <x:c r="K77" s="52" t="n">
        <x:f>EDATE($E$5,4)</x:f>
        <x:v>45413</x:v>
      </x:c>
      <x:c r="L77" s="52" t="n">
        <x:f>EDATE($E$5,5)</x:f>
        <x:v>45444</x:v>
      </x:c>
      <x:c r="M77" s="52" t="n">
        <x:f>EDATE($E$5,6)</x:f>
        <x:v>45474</x:v>
      </x:c>
      <x:c r="N77" s="52" t="n">
        <x:f>EDATE($E$5,7)</x:f>
        <x:v>45505</x:v>
      </x:c>
      <x:c r="O77" s="52" t="n">
        <x:f>EDATE($E$5,8)</x:f>
        <x:v>45536</x:v>
      </x:c>
      <x:c r="P77" s="52" t="n">
        <x:f>EDATE($E$5,9)</x:f>
        <x:v>45566</x:v>
      </x:c>
      <x:c r="Q77" s="52" t="n">
        <x:f>EDATE($E$5,10)</x:f>
        <x:v>45597</x:v>
      </x:c>
      <x:c r="R77" s="52" t="n">
        <x:f>EDATE($E$5,11)</x:f>
        <x:v>45627</x:v>
      </x:c>
      <x:c r="S77" s="52" t="n">
        <x:f>EDATE($E$5,12)</x:f>
        <x:v>45658</x:v>
      </x:c>
      <x:c r="T77" s="52" t="n">
        <x:f>EDATE($E$5,13)</x:f>
        <x:v>45689</x:v>
      </x:c>
      <x:c r="U77" s="52" t="n">
        <x:f>EDATE($E$5,14)</x:f>
        <x:v>45717</x:v>
      </x:c>
      <x:c r="V77" s="52" t="n">
        <x:f>EDATE($E$5,15)</x:f>
        <x:v>45748</x:v>
      </x:c>
      <x:c r="W77" s="52" t="n">
        <x:f>EDATE($E$5,16)</x:f>
        <x:v>45778</x:v>
      </x:c>
      <x:c r="X77" s="52" t="n">
        <x:f>EDATE($E$5,17)</x:f>
        <x:v>45809</x:v>
      </x:c>
      <x:c r="Y77" s="52" t="n">
        <x:f>EDATE($E$5,18)</x:f>
        <x:v>45839</x:v>
      </x:c>
      <x:c r="Z77" s="52" t="n">
        <x:f>EDATE($E$5,19)</x:f>
        <x:v>45870</x:v>
      </x:c>
      <x:c r="AA77" s="52" t="n">
        <x:f>EDATE($E$5,20)</x:f>
        <x:v>45901</x:v>
      </x:c>
      <x:c r="AB77" s="52" t="n">
        <x:f>EDATE($E$5,21)</x:f>
        <x:v>45931</x:v>
      </x:c>
      <x:c r="AC77" s="52" t="n">
        <x:f>EDATE($E$5,22)</x:f>
        <x:v>45962</x:v>
      </x:c>
      <x:c r="AD77" s="52" t="n">
        <x:f>EDATE($E$5,23)</x:f>
        <x:v>45992</x:v>
      </x:c>
      <x:c r="AE77" s="52" t="n">
        <x:f>EDATE($E$5,24)</x:f>
        <x:v>46023</x:v>
      </x:c>
      <x:c r="AF77" s="52" t="n">
        <x:f>EDATE($E$5,25)</x:f>
        <x:v>46054</x:v>
      </x:c>
      <x:c r="AG77" s="52" t="n">
        <x:f>EDATE($E$5,26)</x:f>
        <x:v>46082</x:v>
      </x:c>
      <x:c r="AH77" s="52" t="n">
        <x:f>EDATE($E$5,27)</x:f>
        <x:v>46113</x:v>
      </x:c>
      <x:c r="AI77" s="52" t="n">
        <x:f>EDATE($E$5,28)</x:f>
        <x:v>46143</x:v>
      </x:c>
      <x:c r="AJ77" s="52" t="n">
        <x:f>EDATE($E$5,29)</x:f>
        <x:v>46174</x:v>
      </x:c>
      <x:c r="AK77" s="52" t="n">
        <x:f>EDATE($E$5,30)</x:f>
        <x:v>46204</x:v>
      </x:c>
      <x:c r="AL77" s="52" t="n">
        <x:f>EDATE($E$5,31)</x:f>
        <x:v>46235</x:v>
      </x:c>
      <x:c r="AM77" s="52" t="n">
        <x:f>EDATE($E$5,32)</x:f>
        <x:v>46266</x:v>
      </x:c>
      <x:c r="AN77" s="52" t="n">
        <x:f>EDATE($E$5,33)</x:f>
        <x:v>46296</x:v>
      </x:c>
      <x:c r="AO77" s="52" t="n">
        <x:f>EDATE($E$5,34)</x:f>
        <x:v>46327</x:v>
      </x:c>
      <x:c r="AP77" s="52" t="n">
        <x:f>EDATE($E$5,35)</x:f>
        <x:v>46357</x:v>
      </x:c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</x:row>
    <x:row r="78" ht="30" customHeight="1">
      <x:c r="A78" s="54" t="str">
        <x:v>MY01 CBU：輸入税・物品税免除</x:v>
      </x:c>
      <x:c r="B78" s="54"/>
      <x:c r="C78" s="54"/>
      <x:c r="D78" s="54"/>
      <x:c r="E78" s="54"/>
      <x:c r="F78" s="54"/>
      <x:c r="G78" s="57" t="str">
        <x:f>IF('制度詳細'!$H$24="",IF('制度詳細'!$J$24="","",IF(AND('制度詳細'!$J$24&gt;=G$77,'制度詳細'!$J$24&lt;=EOMONTH(G$77,0)),"◆","")),IF(MAX('制度詳細'!$H$24,G$77)&lt;=MIN(IF('制度詳細'!$I$24="",EOMONTH(G$77,0),'制度詳細'!$I$24),EOMONTH(G$77,0)),"■",IF(AND('制度詳細'!$J$24&lt;&gt;"",'制度詳細'!$J$24&gt;=G$77,'制度詳細'!$J$24&lt;=EOMONTH(G$77,0)),"◆","")))</x:f>
        <x:v>■</x:v>
      </x:c>
      <x:c r="H78" s="57" t="str">
        <x:f>IF('制度詳細'!$H$24="",IF('制度詳細'!$J$24="","",IF(AND('制度詳細'!$J$24&gt;=H$77,'制度詳細'!$J$24&lt;=EOMONTH(H$77,0)),"◆","")),IF(MAX('制度詳細'!$H$24,H$77)&lt;=MIN(IF('制度詳細'!$I$24="",EOMONTH(H$77,0),'制度詳細'!$I$24),EOMONTH(H$77,0)),"■",IF(AND('制度詳細'!$J$24&lt;&gt;"",'制度詳細'!$J$24&gt;=H$77,'制度詳細'!$J$24&lt;=EOMONTH(H$77,0)),"◆","")))</x:f>
        <x:v>■</x:v>
      </x:c>
      <x:c r="I78" s="57" t="str">
        <x:f>IF('制度詳細'!$H$24="",IF('制度詳細'!$J$24="","",IF(AND('制度詳細'!$J$24&gt;=I$77,'制度詳細'!$J$24&lt;=EOMONTH(I$77,0)),"◆","")),IF(MAX('制度詳細'!$H$24,I$77)&lt;=MIN(IF('制度詳細'!$I$24="",EOMONTH(I$77,0),'制度詳細'!$I$24),EOMONTH(I$77,0)),"■",IF(AND('制度詳細'!$J$24&lt;&gt;"",'制度詳細'!$J$24&gt;=I$77,'制度詳細'!$J$24&lt;=EOMONTH(I$77,0)),"◆","")))</x:f>
        <x:v>■</x:v>
      </x:c>
      <x:c r="J78" s="57" t="str">
        <x:f>IF('制度詳細'!$H$24="",IF('制度詳細'!$J$24="","",IF(AND('制度詳細'!$J$24&gt;=J$77,'制度詳細'!$J$24&lt;=EOMONTH(J$77,0)),"◆","")),IF(MAX('制度詳細'!$H$24,J$77)&lt;=MIN(IF('制度詳細'!$I$24="",EOMONTH(J$77,0),'制度詳細'!$I$24),EOMONTH(J$77,0)),"■",IF(AND('制度詳細'!$J$24&lt;&gt;"",'制度詳細'!$J$24&gt;=J$77,'制度詳細'!$J$24&lt;=EOMONTH(J$77,0)),"◆","")))</x:f>
        <x:v>■</x:v>
      </x:c>
      <x:c r="K78" s="57" t="str">
        <x:f>IF('制度詳細'!$H$24="",IF('制度詳細'!$J$24="","",IF(AND('制度詳細'!$J$24&gt;=K$77,'制度詳細'!$J$24&lt;=EOMONTH(K$77,0)),"◆","")),IF(MAX('制度詳細'!$H$24,K$77)&lt;=MIN(IF('制度詳細'!$I$24="",EOMONTH(K$77,0),'制度詳細'!$I$24),EOMONTH(K$77,0)),"■",IF(AND('制度詳細'!$J$24&lt;&gt;"",'制度詳細'!$J$24&gt;=K$77,'制度詳細'!$J$24&lt;=EOMONTH(K$77,0)),"◆","")))</x:f>
        <x:v>■</x:v>
      </x:c>
      <x:c r="L78" s="57" t="str">
        <x:f>IF('制度詳細'!$H$24="",IF('制度詳細'!$J$24="","",IF(AND('制度詳細'!$J$24&gt;=L$77,'制度詳細'!$J$24&lt;=EOMONTH(L$77,0)),"◆","")),IF(MAX('制度詳細'!$H$24,L$77)&lt;=MIN(IF('制度詳細'!$I$24="",EOMONTH(L$77,0),'制度詳細'!$I$24),EOMONTH(L$77,0)),"■",IF(AND('制度詳細'!$J$24&lt;&gt;"",'制度詳細'!$J$24&gt;=L$77,'制度詳細'!$J$24&lt;=EOMONTH(L$77,0)),"◆","")))</x:f>
        <x:v>■</x:v>
      </x:c>
      <x:c r="M78" s="57" t="str">
        <x:f>IF('制度詳細'!$H$24="",IF('制度詳細'!$J$24="","",IF(AND('制度詳細'!$J$24&gt;=M$77,'制度詳細'!$J$24&lt;=EOMONTH(M$77,0)),"◆","")),IF(MAX('制度詳細'!$H$24,M$77)&lt;=MIN(IF('制度詳細'!$I$24="",EOMONTH(M$77,0),'制度詳細'!$I$24),EOMONTH(M$77,0)),"■",IF(AND('制度詳細'!$J$24&lt;&gt;"",'制度詳細'!$J$24&gt;=M$77,'制度詳細'!$J$24&lt;=EOMONTH(M$77,0)),"◆","")))</x:f>
        <x:v>■</x:v>
      </x:c>
      <x:c r="N78" s="57" t="str">
        <x:f>IF('制度詳細'!$H$24="",IF('制度詳細'!$J$24="","",IF(AND('制度詳細'!$J$24&gt;=N$77,'制度詳細'!$J$24&lt;=EOMONTH(N$77,0)),"◆","")),IF(MAX('制度詳細'!$H$24,N$77)&lt;=MIN(IF('制度詳細'!$I$24="",EOMONTH(N$77,0),'制度詳細'!$I$24),EOMONTH(N$77,0)),"■",IF(AND('制度詳細'!$J$24&lt;&gt;"",'制度詳細'!$J$24&gt;=N$77,'制度詳細'!$J$24&lt;=EOMONTH(N$77,0)),"◆","")))</x:f>
        <x:v>■</x:v>
      </x:c>
      <x:c r="O78" s="57" t="str">
        <x:f>IF('制度詳細'!$H$24="",IF('制度詳細'!$J$24="","",IF(AND('制度詳細'!$J$24&gt;=O$77,'制度詳細'!$J$24&lt;=EOMONTH(O$77,0)),"◆","")),IF(MAX('制度詳細'!$H$24,O$77)&lt;=MIN(IF('制度詳細'!$I$24="",EOMONTH(O$77,0),'制度詳細'!$I$24),EOMONTH(O$77,0)),"■",IF(AND('制度詳細'!$J$24&lt;&gt;"",'制度詳細'!$J$24&gt;=O$77,'制度詳細'!$J$24&lt;=EOMONTH(O$77,0)),"◆","")))</x:f>
        <x:v>■</x:v>
      </x:c>
      <x:c r="P78" s="57" t="str">
        <x:f>IF('制度詳細'!$H$24="",IF('制度詳細'!$J$24="","",IF(AND('制度詳細'!$J$24&gt;=P$77,'制度詳細'!$J$24&lt;=EOMONTH(P$77,0)),"◆","")),IF(MAX('制度詳細'!$H$24,P$77)&lt;=MIN(IF('制度詳細'!$I$24="",EOMONTH(P$77,0),'制度詳細'!$I$24),EOMONTH(P$77,0)),"■",IF(AND('制度詳細'!$J$24&lt;&gt;"",'制度詳細'!$J$24&gt;=P$77,'制度詳細'!$J$24&lt;=EOMONTH(P$77,0)),"◆","")))</x:f>
        <x:v>■</x:v>
      </x:c>
      <x:c r="Q78" s="57" t="str">
        <x:f>IF('制度詳細'!$H$24="",IF('制度詳細'!$J$24="","",IF(AND('制度詳細'!$J$24&gt;=Q$77,'制度詳細'!$J$24&lt;=EOMONTH(Q$77,0)),"◆","")),IF(MAX('制度詳細'!$H$24,Q$77)&lt;=MIN(IF('制度詳細'!$I$24="",EOMONTH(Q$77,0),'制度詳細'!$I$24),EOMONTH(Q$77,0)),"■",IF(AND('制度詳細'!$J$24&lt;&gt;"",'制度詳細'!$J$24&gt;=Q$77,'制度詳細'!$J$24&lt;=EOMONTH(Q$77,0)),"◆","")))</x:f>
        <x:v>■</x:v>
      </x:c>
      <x:c r="R78" s="57" t="str">
        <x:f>IF('制度詳細'!$H$24="",IF('制度詳細'!$J$24="","",IF(AND('制度詳細'!$J$24&gt;=R$77,'制度詳細'!$J$24&lt;=EOMONTH(R$77,0)),"◆","")),IF(MAX('制度詳細'!$H$24,R$77)&lt;=MIN(IF('制度詳細'!$I$24="",EOMONTH(R$77,0),'制度詳細'!$I$24),EOMONTH(R$77,0)),"■",IF(AND('制度詳細'!$J$24&lt;&gt;"",'制度詳細'!$J$24&gt;=R$77,'制度詳細'!$J$24&lt;=EOMONTH(R$77,0)),"◆","")))</x:f>
        <x:v>■</x:v>
      </x:c>
      <x:c r="S78" s="57" t="str">
        <x:f>IF('制度詳細'!$H$24="",IF('制度詳細'!$J$24="","",IF(AND('制度詳細'!$J$24&gt;=S$77,'制度詳細'!$J$24&lt;=EOMONTH(S$77,0)),"◆","")),IF(MAX('制度詳細'!$H$24,S$77)&lt;=MIN(IF('制度詳細'!$I$24="",EOMONTH(S$77,0),'制度詳細'!$I$24),EOMONTH(S$77,0)),"■",IF(AND('制度詳細'!$J$24&lt;&gt;"",'制度詳細'!$J$24&gt;=S$77,'制度詳細'!$J$24&lt;=EOMONTH(S$77,0)),"◆","")))</x:f>
        <x:v>■</x:v>
      </x:c>
      <x:c r="T78" s="57" t="str">
        <x:f>IF('制度詳細'!$H$24="",IF('制度詳細'!$J$24="","",IF(AND('制度詳細'!$J$24&gt;=T$77,'制度詳細'!$J$24&lt;=EOMONTH(T$77,0)),"◆","")),IF(MAX('制度詳細'!$H$24,T$77)&lt;=MIN(IF('制度詳細'!$I$24="",EOMONTH(T$77,0),'制度詳細'!$I$24),EOMONTH(T$77,0)),"■",IF(AND('制度詳細'!$J$24&lt;&gt;"",'制度詳細'!$J$24&gt;=T$77,'制度詳細'!$J$24&lt;=EOMONTH(T$77,0)),"◆","")))</x:f>
        <x:v>■</x:v>
      </x:c>
      <x:c r="U78" s="57" t="str">
        <x:f>IF('制度詳細'!$H$24="",IF('制度詳細'!$J$24="","",IF(AND('制度詳細'!$J$24&gt;=U$77,'制度詳細'!$J$24&lt;=EOMONTH(U$77,0)),"◆","")),IF(MAX('制度詳細'!$H$24,U$77)&lt;=MIN(IF('制度詳細'!$I$24="",EOMONTH(U$77,0),'制度詳細'!$I$24),EOMONTH(U$77,0)),"■",IF(AND('制度詳細'!$J$24&lt;&gt;"",'制度詳細'!$J$24&gt;=U$77,'制度詳細'!$J$24&lt;=EOMONTH(U$77,0)),"◆","")))</x:f>
        <x:v>■</x:v>
      </x:c>
      <x:c r="V78" s="57" t="str">
        <x:f>IF('制度詳細'!$H$24="",IF('制度詳細'!$J$24="","",IF(AND('制度詳細'!$J$24&gt;=V$77,'制度詳細'!$J$24&lt;=EOMONTH(V$77,0)),"◆","")),IF(MAX('制度詳細'!$H$24,V$77)&lt;=MIN(IF('制度詳細'!$I$24="",EOMONTH(V$77,0),'制度詳細'!$I$24),EOMONTH(V$77,0)),"■",IF(AND('制度詳細'!$J$24&lt;&gt;"",'制度詳細'!$J$24&gt;=V$77,'制度詳細'!$J$24&lt;=EOMONTH(V$77,0)),"◆","")))</x:f>
        <x:v>■</x:v>
      </x:c>
      <x:c r="W78" s="57" t="str">
        <x:f>IF('制度詳細'!$H$24="",IF('制度詳細'!$J$24="","",IF(AND('制度詳細'!$J$24&gt;=W$77,'制度詳細'!$J$24&lt;=EOMONTH(W$77,0)),"◆","")),IF(MAX('制度詳細'!$H$24,W$77)&lt;=MIN(IF('制度詳細'!$I$24="",EOMONTH(W$77,0),'制度詳細'!$I$24),EOMONTH(W$77,0)),"■",IF(AND('制度詳細'!$J$24&lt;&gt;"",'制度詳細'!$J$24&gt;=W$77,'制度詳細'!$J$24&lt;=EOMONTH(W$77,0)),"◆","")))</x:f>
        <x:v>■</x:v>
      </x:c>
      <x:c r="X78" s="57" t="str">
        <x:f>IF('制度詳細'!$H$24="",IF('制度詳細'!$J$24="","",IF(AND('制度詳細'!$J$24&gt;=X$77,'制度詳細'!$J$24&lt;=EOMONTH(X$77,0)),"◆","")),IF(MAX('制度詳細'!$H$24,X$77)&lt;=MIN(IF('制度詳細'!$I$24="",EOMONTH(X$77,0),'制度詳細'!$I$24),EOMONTH(X$77,0)),"■",IF(AND('制度詳細'!$J$24&lt;&gt;"",'制度詳細'!$J$24&gt;=X$77,'制度詳細'!$J$24&lt;=EOMONTH(X$77,0)),"◆","")))</x:f>
        <x:v>■</x:v>
      </x:c>
      <x:c r="Y78" s="57" t="str">
        <x:f>IF('制度詳細'!$H$24="",IF('制度詳細'!$J$24="","",IF(AND('制度詳細'!$J$24&gt;=Y$77,'制度詳細'!$J$24&lt;=EOMONTH(Y$77,0)),"◆","")),IF(MAX('制度詳細'!$H$24,Y$77)&lt;=MIN(IF('制度詳細'!$I$24="",EOMONTH(Y$77,0),'制度詳細'!$I$24),EOMONTH(Y$77,0)),"■",IF(AND('制度詳細'!$J$24&lt;&gt;"",'制度詳細'!$J$24&gt;=Y$77,'制度詳細'!$J$24&lt;=EOMONTH(Y$77,0)),"◆","")))</x:f>
        <x:v>■</x:v>
      </x:c>
      <x:c r="Z78" s="57" t="str">
        <x:f>IF('制度詳細'!$H$24="",IF('制度詳細'!$J$24="","",IF(AND('制度詳細'!$J$24&gt;=Z$77,'制度詳細'!$J$24&lt;=EOMONTH(Z$77,0)),"◆","")),IF(MAX('制度詳細'!$H$24,Z$77)&lt;=MIN(IF('制度詳細'!$I$24="",EOMONTH(Z$77,0),'制度詳細'!$I$24),EOMONTH(Z$77,0)),"■",IF(AND('制度詳細'!$J$24&lt;&gt;"",'制度詳細'!$J$24&gt;=Z$77,'制度詳細'!$J$24&lt;=EOMONTH(Z$77,0)),"◆","")))</x:f>
        <x:v>■</x:v>
      </x:c>
      <x:c r="AA78" s="57" t="str">
        <x:f>IF('制度詳細'!$H$24="",IF('制度詳細'!$J$24="","",IF(AND('制度詳細'!$J$24&gt;=AA$77,'制度詳細'!$J$24&lt;=EOMONTH(AA$77,0)),"◆","")),IF(MAX('制度詳細'!$H$24,AA$77)&lt;=MIN(IF('制度詳細'!$I$24="",EOMONTH(AA$77,0),'制度詳細'!$I$24),EOMONTH(AA$77,0)),"■",IF(AND('制度詳細'!$J$24&lt;&gt;"",'制度詳細'!$J$24&gt;=AA$77,'制度詳細'!$J$24&lt;=EOMONTH(AA$77,0)),"◆","")))</x:f>
        <x:v>■</x:v>
      </x:c>
      <x:c r="AB78" s="57" t="str">
        <x:f>IF('制度詳細'!$H$24="",IF('制度詳細'!$J$24="","",IF(AND('制度詳細'!$J$24&gt;=AB$77,'制度詳細'!$J$24&lt;=EOMONTH(AB$77,0)),"◆","")),IF(MAX('制度詳細'!$H$24,AB$77)&lt;=MIN(IF('制度詳細'!$I$24="",EOMONTH(AB$77,0),'制度詳細'!$I$24),EOMONTH(AB$77,0)),"■",IF(AND('制度詳細'!$J$24&lt;&gt;"",'制度詳細'!$J$24&gt;=AB$77,'制度詳細'!$J$24&lt;=EOMONTH(AB$77,0)),"◆","")))</x:f>
        <x:v>■</x:v>
      </x:c>
      <x:c r="AC78" s="57" t="str">
        <x:f>IF('制度詳細'!$H$24="",IF('制度詳細'!$J$24="","",IF(AND('制度詳細'!$J$24&gt;=AC$77,'制度詳細'!$J$24&lt;=EOMONTH(AC$77,0)),"◆","")),IF(MAX('制度詳細'!$H$24,AC$77)&lt;=MIN(IF('制度詳細'!$I$24="",EOMONTH(AC$77,0),'制度詳細'!$I$24),EOMONTH(AC$77,0)),"■",IF(AND('制度詳細'!$J$24&lt;&gt;"",'制度詳細'!$J$24&gt;=AC$77,'制度詳細'!$J$24&lt;=EOMONTH(AC$77,0)),"◆","")))</x:f>
        <x:v>■</x:v>
      </x:c>
      <x:c r="AD78" s="57" t="str">
        <x:f>IF('制度詳細'!$H$24="",IF('制度詳細'!$J$24="","",IF(AND('制度詳細'!$J$24&gt;=AD$77,'制度詳細'!$J$24&lt;=EOMONTH(AD$77,0)),"◆","")),IF(MAX('制度詳細'!$H$24,AD$77)&lt;=MIN(IF('制度詳細'!$I$24="",EOMONTH(AD$77,0),'制度詳細'!$I$24),EOMONTH(AD$77,0)),"■",IF(AND('制度詳細'!$J$24&lt;&gt;"",'制度詳細'!$J$24&gt;=AD$77,'制度詳細'!$J$24&lt;=EOMONTH(AD$77,0)),"◆","")))</x:f>
        <x:v>■</x:v>
      </x:c>
      <x:c r="AE78" s="57" t="str">
        <x:f>IF('制度詳細'!$H$24="",IF('制度詳細'!$J$24="","",IF(AND('制度詳細'!$J$24&gt;=AE$77,'制度詳細'!$J$24&lt;=EOMONTH(AE$77,0)),"◆","")),IF(MAX('制度詳細'!$H$24,AE$77)&lt;=MIN(IF('制度詳細'!$I$24="",EOMONTH(AE$77,0),'制度詳細'!$I$24),EOMONTH(AE$77,0)),"■",IF(AND('制度詳細'!$J$24&lt;&gt;"",'制度詳細'!$J$24&gt;=AE$77,'制度詳細'!$J$24&lt;=EOMONTH(AE$77,0)),"◆","")))</x:f>
      </x:c>
      <x:c r="AF78" s="57" t="str">
        <x:f>IF('制度詳細'!$H$24="",IF('制度詳細'!$J$24="","",IF(AND('制度詳細'!$J$24&gt;=AF$77,'制度詳細'!$J$24&lt;=EOMONTH(AF$77,0)),"◆","")),IF(MAX('制度詳細'!$H$24,AF$77)&lt;=MIN(IF('制度詳細'!$I$24="",EOMONTH(AF$77,0),'制度詳細'!$I$24),EOMONTH(AF$77,0)),"■",IF(AND('制度詳細'!$J$24&lt;&gt;"",'制度詳細'!$J$24&gt;=AF$77,'制度詳細'!$J$24&lt;=EOMONTH(AF$77,0)),"◆","")))</x:f>
      </x:c>
      <x:c r="AG78" s="57" t="str">
        <x:f>IF('制度詳細'!$H$24="",IF('制度詳細'!$J$24="","",IF(AND('制度詳細'!$J$24&gt;=AG$77,'制度詳細'!$J$24&lt;=EOMONTH(AG$77,0)),"◆","")),IF(MAX('制度詳細'!$H$24,AG$77)&lt;=MIN(IF('制度詳細'!$I$24="",EOMONTH(AG$77,0),'制度詳細'!$I$24),EOMONTH(AG$77,0)),"■",IF(AND('制度詳細'!$J$24&lt;&gt;"",'制度詳細'!$J$24&gt;=AG$77,'制度詳細'!$J$24&lt;=EOMONTH(AG$77,0)),"◆","")))</x:f>
      </x:c>
      <x:c r="AH78" s="57" t="str">
        <x:f>IF('制度詳細'!$H$24="",IF('制度詳細'!$J$24="","",IF(AND('制度詳細'!$J$24&gt;=AH$77,'制度詳細'!$J$24&lt;=EOMONTH(AH$77,0)),"◆","")),IF(MAX('制度詳細'!$H$24,AH$77)&lt;=MIN(IF('制度詳細'!$I$24="",EOMONTH(AH$77,0),'制度詳細'!$I$24),EOMONTH(AH$77,0)),"■",IF(AND('制度詳細'!$J$24&lt;&gt;"",'制度詳細'!$J$24&gt;=AH$77,'制度詳細'!$J$24&lt;=EOMONTH(AH$77,0)),"◆","")))</x:f>
      </x:c>
      <x:c r="AI78" s="57" t="str">
        <x:f>IF('制度詳細'!$H$24="",IF('制度詳細'!$J$24="","",IF(AND('制度詳細'!$J$24&gt;=AI$77,'制度詳細'!$J$24&lt;=EOMONTH(AI$77,0)),"◆","")),IF(MAX('制度詳細'!$H$24,AI$77)&lt;=MIN(IF('制度詳細'!$I$24="",EOMONTH(AI$77,0),'制度詳細'!$I$24),EOMONTH(AI$77,0)),"■",IF(AND('制度詳細'!$J$24&lt;&gt;"",'制度詳細'!$J$24&gt;=AI$77,'制度詳細'!$J$24&lt;=EOMONTH(AI$77,0)),"◆","")))</x:f>
      </x:c>
      <x:c r="AJ78" s="57" t="str">
        <x:f>IF('制度詳細'!$H$24="",IF('制度詳細'!$J$24="","",IF(AND('制度詳細'!$J$24&gt;=AJ$77,'制度詳細'!$J$24&lt;=EOMONTH(AJ$77,0)),"◆","")),IF(MAX('制度詳細'!$H$24,AJ$77)&lt;=MIN(IF('制度詳細'!$I$24="",EOMONTH(AJ$77,0),'制度詳細'!$I$24),EOMONTH(AJ$77,0)),"■",IF(AND('制度詳細'!$J$24&lt;&gt;"",'制度詳細'!$J$24&gt;=AJ$77,'制度詳細'!$J$24&lt;=EOMONTH(AJ$77,0)),"◆","")))</x:f>
      </x:c>
      <x:c r="AK78" s="57" t="str">
        <x:f>IF('制度詳細'!$H$24="",IF('制度詳細'!$J$24="","",IF(AND('制度詳細'!$J$24&gt;=AK$77,'制度詳細'!$J$24&lt;=EOMONTH(AK$77,0)),"◆","")),IF(MAX('制度詳細'!$H$24,AK$77)&lt;=MIN(IF('制度詳細'!$I$24="",EOMONTH(AK$77,0),'制度詳細'!$I$24),EOMONTH(AK$77,0)),"■",IF(AND('制度詳細'!$J$24&lt;&gt;"",'制度詳細'!$J$24&gt;=AK$77,'制度詳細'!$J$24&lt;=EOMONTH(AK$77,0)),"◆","")))</x:f>
      </x:c>
      <x:c r="AL78" s="57" t="str">
        <x:f>IF('制度詳細'!$H$24="",IF('制度詳細'!$J$24="","",IF(AND('制度詳細'!$J$24&gt;=AL$77,'制度詳細'!$J$24&lt;=EOMONTH(AL$77,0)),"◆","")),IF(MAX('制度詳細'!$H$24,AL$77)&lt;=MIN(IF('制度詳細'!$I$24="",EOMONTH(AL$77,0),'制度詳細'!$I$24),EOMONTH(AL$77,0)),"■",IF(AND('制度詳細'!$J$24&lt;&gt;"",'制度詳細'!$J$24&gt;=AL$77,'制度詳細'!$J$24&lt;=EOMONTH(AL$77,0)),"◆","")))</x:f>
      </x:c>
      <x:c r="AM78" s="57" t="str">
        <x:f>IF('制度詳細'!$H$24="",IF('制度詳細'!$J$24="","",IF(AND('制度詳細'!$J$24&gt;=AM$77,'制度詳細'!$J$24&lt;=EOMONTH(AM$77,0)),"◆","")),IF(MAX('制度詳細'!$H$24,AM$77)&lt;=MIN(IF('制度詳細'!$I$24="",EOMONTH(AM$77,0),'制度詳細'!$I$24),EOMONTH(AM$77,0)),"■",IF(AND('制度詳細'!$J$24&lt;&gt;"",'制度詳細'!$J$24&gt;=AM$77,'制度詳細'!$J$24&lt;=EOMONTH(AM$77,0)),"◆","")))</x:f>
      </x:c>
      <x:c r="AN78" s="57" t="str">
        <x:f>IF('制度詳細'!$H$24="",IF('制度詳細'!$J$24="","",IF(AND('制度詳細'!$J$24&gt;=AN$77,'制度詳細'!$J$24&lt;=EOMONTH(AN$77,0)),"◆","")),IF(MAX('制度詳細'!$H$24,AN$77)&lt;=MIN(IF('制度詳細'!$I$24="",EOMONTH(AN$77,0),'制度詳細'!$I$24),EOMONTH(AN$77,0)),"■",IF(AND('制度詳細'!$J$24&lt;&gt;"",'制度詳細'!$J$24&gt;=AN$77,'制度詳細'!$J$24&lt;=EOMONTH(AN$77,0)),"◆","")))</x:f>
      </x:c>
      <x:c r="AO78" s="57" t="str">
        <x:f>IF('制度詳細'!$H$24="",IF('制度詳細'!$J$24="","",IF(AND('制度詳細'!$J$24&gt;=AO$77,'制度詳細'!$J$24&lt;=EOMONTH(AO$77,0)),"◆","")),IF(MAX('制度詳細'!$H$24,AO$77)&lt;=MIN(IF('制度詳細'!$I$24="",EOMONTH(AO$77,0),'制度詳細'!$I$24),EOMONTH(AO$77,0)),"■",IF(AND('制度詳細'!$J$24&lt;&gt;"",'制度詳細'!$J$24&gt;=AO$77,'制度詳細'!$J$24&lt;=EOMONTH(AO$77,0)),"◆","")))</x:f>
      </x:c>
      <x:c r="AP78" s="57" t="str">
        <x:f>IF('制度詳細'!$H$24="",IF('制度詳細'!$J$24="","",IF(AND('制度詳細'!$J$24&gt;=AP$77,'制度詳細'!$J$24&lt;=EOMONTH(AP$77,0)),"◆","")),IF(MAX('制度詳細'!$H$24,AP$77)&lt;=MIN(IF('制度詳細'!$I$24="",EOMONTH(AP$77,0),'制度詳細'!$I$24),EOMONTH(AP$77,0)),"■",IF(AND('制度詳細'!$J$24&lt;&gt;"",'制度詳細'!$J$24&gt;=AP$77,'制度詳細'!$J$24&lt;=EOMONTH(AP$77,0)),"◆","")))</x:f>
      </x:c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</x:row>
    <x:row r="79" ht="30" customHeight="1">
      <x:c r="A79" s="59" t="str">
        <x:v>MY02 CKD：部品税・車両税免除</x:v>
      </x:c>
      <x:c r="B79" s="59"/>
      <x:c r="C79" s="59"/>
      <x:c r="D79" s="59"/>
      <x:c r="E79" s="59"/>
      <x:c r="F79" s="59"/>
      <x:c r="G79" s="57" t="str">
        <x:f>IF('制度詳細'!$H$25="",IF('制度詳細'!$J$25="","",IF(AND('制度詳細'!$J$25&gt;=G$77,'制度詳細'!$J$25&lt;=EOMONTH(G$77,0)),"◆","")),IF(MAX('制度詳細'!$H$25,G$77)&lt;=MIN(IF('制度詳細'!$I$25="",EOMONTH(G$77,0),'制度詳細'!$I$25),EOMONTH(G$77,0)),"■",IF(AND('制度詳細'!$J$25&lt;&gt;"",'制度詳細'!$J$25&gt;=G$77,'制度詳細'!$J$25&lt;=EOMONTH(G$77,0)),"◆","")))</x:f>
        <x:v>■</x:v>
      </x:c>
      <x:c r="H79" s="57" t="str">
        <x:f>IF('制度詳細'!$H$25="",IF('制度詳細'!$J$25="","",IF(AND('制度詳細'!$J$25&gt;=H$77,'制度詳細'!$J$25&lt;=EOMONTH(H$77,0)),"◆","")),IF(MAX('制度詳細'!$H$25,H$77)&lt;=MIN(IF('制度詳細'!$I$25="",EOMONTH(H$77,0),'制度詳細'!$I$25),EOMONTH(H$77,0)),"■",IF(AND('制度詳細'!$J$25&lt;&gt;"",'制度詳細'!$J$25&gt;=H$77,'制度詳細'!$J$25&lt;=EOMONTH(H$77,0)),"◆","")))</x:f>
        <x:v>■</x:v>
      </x:c>
      <x:c r="I79" s="57" t="str">
        <x:f>IF('制度詳細'!$H$25="",IF('制度詳細'!$J$25="","",IF(AND('制度詳細'!$J$25&gt;=I$77,'制度詳細'!$J$25&lt;=EOMONTH(I$77,0)),"◆","")),IF(MAX('制度詳細'!$H$25,I$77)&lt;=MIN(IF('制度詳細'!$I$25="",EOMONTH(I$77,0),'制度詳細'!$I$25),EOMONTH(I$77,0)),"■",IF(AND('制度詳細'!$J$25&lt;&gt;"",'制度詳細'!$J$25&gt;=I$77,'制度詳細'!$J$25&lt;=EOMONTH(I$77,0)),"◆","")))</x:f>
        <x:v>■</x:v>
      </x:c>
      <x:c r="J79" s="57" t="str">
        <x:f>IF('制度詳細'!$H$25="",IF('制度詳細'!$J$25="","",IF(AND('制度詳細'!$J$25&gt;=J$77,'制度詳細'!$J$25&lt;=EOMONTH(J$77,0)),"◆","")),IF(MAX('制度詳細'!$H$25,J$77)&lt;=MIN(IF('制度詳細'!$I$25="",EOMONTH(J$77,0),'制度詳細'!$I$25),EOMONTH(J$77,0)),"■",IF(AND('制度詳細'!$J$25&lt;&gt;"",'制度詳細'!$J$25&gt;=J$77,'制度詳細'!$J$25&lt;=EOMONTH(J$77,0)),"◆","")))</x:f>
        <x:v>■</x:v>
      </x:c>
      <x:c r="K79" s="57" t="str">
        <x:f>IF('制度詳細'!$H$25="",IF('制度詳細'!$J$25="","",IF(AND('制度詳細'!$J$25&gt;=K$77,'制度詳細'!$J$25&lt;=EOMONTH(K$77,0)),"◆","")),IF(MAX('制度詳細'!$H$25,K$77)&lt;=MIN(IF('制度詳細'!$I$25="",EOMONTH(K$77,0),'制度詳細'!$I$25),EOMONTH(K$77,0)),"■",IF(AND('制度詳細'!$J$25&lt;&gt;"",'制度詳細'!$J$25&gt;=K$77,'制度詳細'!$J$25&lt;=EOMONTH(K$77,0)),"◆","")))</x:f>
        <x:v>■</x:v>
      </x:c>
      <x:c r="L79" s="57" t="str">
        <x:f>IF('制度詳細'!$H$25="",IF('制度詳細'!$J$25="","",IF(AND('制度詳細'!$J$25&gt;=L$77,'制度詳細'!$J$25&lt;=EOMONTH(L$77,0)),"◆","")),IF(MAX('制度詳細'!$H$25,L$77)&lt;=MIN(IF('制度詳細'!$I$25="",EOMONTH(L$77,0),'制度詳細'!$I$25),EOMONTH(L$77,0)),"■",IF(AND('制度詳細'!$J$25&lt;&gt;"",'制度詳細'!$J$25&gt;=L$77,'制度詳細'!$J$25&lt;=EOMONTH(L$77,0)),"◆","")))</x:f>
        <x:v>■</x:v>
      </x:c>
      <x:c r="M79" s="57" t="str">
        <x:f>IF('制度詳細'!$H$25="",IF('制度詳細'!$J$25="","",IF(AND('制度詳細'!$J$25&gt;=M$77,'制度詳細'!$J$25&lt;=EOMONTH(M$77,0)),"◆","")),IF(MAX('制度詳細'!$H$25,M$77)&lt;=MIN(IF('制度詳細'!$I$25="",EOMONTH(M$77,0),'制度詳細'!$I$25),EOMONTH(M$77,0)),"■",IF(AND('制度詳細'!$J$25&lt;&gt;"",'制度詳細'!$J$25&gt;=M$77,'制度詳細'!$J$25&lt;=EOMONTH(M$77,0)),"◆","")))</x:f>
        <x:v>■</x:v>
      </x:c>
      <x:c r="N79" s="57" t="str">
        <x:f>IF('制度詳細'!$H$25="",IF('制度詳細'!$J$25="","",IF(AND('制度詳細'!$J$25&gt;=N$77,'制度詳細'!$J$25&lt;=EOMONTH(N$77,0)),"◆","")),IF(MAX('制度詳細'!$H$25,N$77)&lt;=MIN(IF('制度詳細'!$I$25="",EOMONTH(N$77,0),'制度詳細'!$I$25),EOMONTH(N$77,0)),"■",IF(AND('制度詳細'!$J$25&lt;&gt;"",'制度詳細'!$J$25&gt;=N$77,'制度詳細'!$J$25&lt;=EOMONTH(N$77,0)),"◆","")))</x:f>
        <x:v>■</x:v>
      </x:c>
      <x:c r="O79" s="57" t="str">
        <x:f>IF('制度詳細'!$H$25="",IF('制度詳細'!$J$25="","",IF(AND('制度詳細'!$J$25&gt;=O$77,'制度詳細'!$J$25&lt;=EOMONTH(O$77,0)),"◆","")),IF(MAX('制度詳細'!$H$25,O$77)&lt;=MIN(IF('制度詳細'!$I$25="",EOMONTH(O$77,0),'制度詳細'!$I$25),EOMONTH(O$77,0)),"■",IF(AND('制度詳細'!$J$25&lt;&gt;"",'制度詳細'!$J$25&gt;=O$77,'制度詳細'!$J$25&lt;=EOMONTH(O$77,0)),"◆","")))</x:f>
        <x:v>■</x:v>
      </x:c>
      <x:c r="P79" s="57" t="str">
        <x:f>IF('制度詳細'!$H$25="",IF('制度詳細'!$J$25="","",IF(AND('制度詳細'!$J$25&gt;=P$77,'制度詳細'!$J$25&lt;=EOMONTH(P$77,0)),"◆","")),IF(MAX('制度詳細'!$H$25,P$77)&lt;=MIN(IF('制度詳細'!$I$25="",EOMONTH(P$77,0),'制度詳細'!$I$25),EOMONTH(P$77,0)),"■",IF(AND('制度詳細'!$J$25&lt;&gt;"",'制度詳細'!$J$25&gt;=P$77,'制度詳細'!$J$25&lt;=EOMONTH(P$77,0)),"◆","")))</x:f>
        <x:v>■</x:v>
      </x:c>
      <x:c r="Q79" s="57" t="str">
        <x:f>IF('制度詳細'!$H$25="",IF('制度詳細'!$J$25="","",IF(AND('制度詳細'!$J$25&gt;=Q$77,'制度詳細'!$J$25&lt;=EOMONTH(Q$77,0)),"◆","")),IF(MAX('制度詳細'!$H$25,Q$77)&lt;=MIN(IF('制度詳細'!$I$25="",EOMONTH(Q$77,0),'制度詳細'!$I$25),EOMONTH(Q$77,0)),"■",IF(AND('制度詳細'!$J$25&lt;&gt;"",'制度詳細'!$J$25&gt;=Q$77,'制度詳細'!$J$25&lt;=EOMONTH(Q$77,0)),"◆","")))</x:f>
        <x:v>■</x:v>
      </x:c>
      <x:c r="R79" s="57" t="str">
        <x:f>IF('制度詳細'!$H$25="",IF('制度詳細'!$J$25="","",IF(AND('制度詳細'!$J$25&gt;=R$77,'制度詳細'!$J$25&lt;=EOMONTH(R$77,0)),"◆","")),IF(MAX('制度詳細'!$H$25,R$77)&lt;=MIN(IF('制度詳細'!$I$25="",EOMONTH(R$77,0),'制度詳細'!$I$25),EOMONTH(R$77,0)),"■",IF(AND('制度詳細'!$J$25&lt;&gt;"",'制度詳細'!$J$25&gt;=R$77,'制度詳細'!$J$25&lt;=EOMONTH(R$77,0)),"◆","")))</x:f>
        <x:v>■</x:v>
      </x:c>
      <x:c r="S79" s="57" t="str">
        <x:f>IF('制度詳細'!$H$25="",IF('制度詳細'!$J$25="","",IF(AND('制度詳細'!$J$25&gt;=S$77,'制度詳細'!$J$25&lt;=EOMONTH(S$77,0)),"◆","")),IF(MAX('制度詳細'!$H$25,S$77)&lt;=MIN(IF('制度詳細'!$I$25="",EOMONTH(S$77,0),'制度詳細'!$I$25),EOMONTH(S$77,0)),"■",IF(AND('制度詳細'!$J$25&lt;&gt;"",'制度詳細'!$J$25&gt;=S$77,'制度詳細'!$J$25&lt;=EOMONTH(S$77,0)),"◆","")))</x:f>
        <x:v>■</x:v>
      </x:c>
      <x:c r="T79" s="57" t="str">
        <x:f>IF('制度詳細'!$H$25="",IF('制度詳細'!$J$25="","",IF(AND('制度詳細'!$J$25&gt;=T$77,'制度詳細'!$J$25&lt;=EOMONTH(T$77,0)),"◆","")),IF(MAX('制度詳細'!$H$25,T$77)&lt;=MIN(IF('制度詳細'!$I$25="",EOMONTH(T$77,0),'制度詳細'!$I$25),EOMONTH(T$77,0)),"■",IF(AND('制度詳細'!$J$25&lt;&gt;"",'制度詳細'!$J$25&gt;=T$77,'制度詳細'!$J$25&lt;=EOMONTH(T$77,0)),"◆","")))</x:f>
        <x:v>■</x:v>
      </x:c>
      <x:c r="U79" s="57" t="str">
        <x:f>IF('制度詳細'!$H$25="",IF('制度詳細'!$J$25="","",IF(AND('制度詳細'!$J$25&gt;=U$77,'制度詳細'!$J$25&lt;=EOMONTH(U$77,0)),"◆","")),IF(MAX('制度詳細'!$H$25,U$77)&lt;=MIN(IF('制度詳細'!$I$25="",EOMONTH(U$77,0),'制度詳細'!$I$25),EOMONTH(U$77,0)),"■",IF(AND('制度詳細'!$J$25&lt;&gt;"",'制度詳細'!$J$25&gt;=U$77,'制度詳細'!$J$25&lt;=EOMONTH(U$77,0)),"◆","")))</x:f>
        <x:v>■</x:v>
      </x:c>
      <x:c r="V79" s="57" t="str">
        <x:f>IF('制度詳細'!$H$25="",IF('制度詳細'!$J$25="","",IF(AND('制度詳細'!$J$25&gt;=V$77,'制度詳細'!$J$25&lt;=EOMONTH(V$77,0)),"◆","")),IF(MAX('制度詳細'!$H$25,V$77)&lt;=MIN(IF('制度詳細'!$I$25="",EOMONTH(V$77,0),'制度詳細'!$I$25),EOMONTH(V$77,0)),"■",IF(AND('制度詳細'!$J$25&lt;&gt;"",'制度詳細'!$J$25&gt;=V$77,'制度詳細'!$J$25&lt;=EOMONTH(V$77,0)),"◆","")))</x:f>
        <x:v>■</x:v>
      </x:c>
      <x:c r="W79" s="57" t="str">
        <x:f>IF('制度詳細'!$H$25="",IF('制度詳細'!$J$25="","",IF(AND('制度詳細'!$J$25&gt;=W$77,'制度詳細'!$J$25&lt;=EOMONTH(W$77,0)),"◆","")),IF(MAX('制度詳細'!$H$25,W$77)&lt;=MIN(IF('制度詳細'!$I$25="",EOMONTH(W$77,0),'制度詳細'!$I$25),EOMONTH(W$77,0)),"■",IF(AND('制度詳細'!$J$25&lt;&gt;"",'制度詳細'!$J$25&gt;=W$77,'制度詳細'!$J$25&lt;=EOMONTH(W$77,0)),"◆","")))</x:f>
        <x:v>■</x:v>
      </x:c>
      <x:c r="X79" s="57" t="str">
        <x:f>IF('制度詳細'!$H$25="",IF('制度詳細'!$J$25="","",IF(AND('制度詳細'!$J$25&gt;=X$77,'制度詳細'!$J$25&lt;=EOMONTH(X$77,0)),"◆","")),IF(MAX('制度詳細'!$H$25,X$77)&lt;=MIN(IF('制度詳細'!$I$25="",EOMONTH(X$77,0),'制度詳細'!$I$25),EOMONTH(X$77,0)),"■",IF(AND('制度詳細'!$J$25&lt;&gt;"",'制度詳細'!$J$25&gt;=X$77,'制度詳細'!$J$25&lt;=EOMONTH(X$77,0)),"◆","")))</x:f>
        <x:v>■</x:v>
      </x:c>
      <x:c r="Y79" s="57" t="str">
        <x:f>IF('制度詳細'!$H$25="",IF('制度詳細'!$J$25="","",IF(AND('制度詳細'!$J$25&gt;=Y$77,'制度詳細'!$J$25&lt;=EOMONTH(Y$77,0)),"◆","")),IF(MAX('制度詳細'!$H$25,Y$77)&lt;=MIN(IF('制度詳細'!$I$25="",EOMONTH(Y$77,0),'制度詳細'!$I$25),EOMONTH(Y$77,0)),"■",IF(AND('制度詳細'!$J$25&lt;&gt;"",'制度詳細'!$J$25&gt;=Y$77,'制度詳細'!$J$25&lt;=EOMONTH(Y$77,0)),"◆","")))</x:f>
        <x:v>■</x:v>
      </x:c>
      <x:c r="Z79" s="57" t="str">
        <x:f>IF('制度詳細'!$H$25="",IF('制度詳細'!$J$25="","",IF(AND('制度詳細'!$J$25&gt;=Z$77,'制度詳細'!$J$25&lt;=EOMONTH(Z$77,0)),"◆","")),IF(MAX('制度詳細'!$H$25,Z$77)&lt;=MIN(IF('制度詳細'!$I$25="",EOMONTH(Z$77,0),'制度詳細'!$I$25),EOMONTH(Z$77,0)),"■",IF(AND('制度詳細'!$J$25&lt;&gt;"",'制度詳細'!$J$25&gt;=Z$77,'制度詳細'!$J$25&lt;=EOMONTH(Z$77,0)),"◆","")))</x:f>
        <x:v>■</x:v>
      </x:c>
      <x:c r="AA79" s="57" t="str">
        <x:f>IF('制度詳細'!$H$25="",IF('制度詳細'!$J$25="","",IF(AND('制度詳細'!$J$25&gt;=AA$77,'制度詳細'!$J$25&lt;=EOMONTH(AA$77,0)),"◆","")),IF(MAX('制度詳細'!$H$25,AA$77)&lt;=MIN(IF('制度詳細'!$I$25="",EOMONTH(AA$77,0),'制度詳細'!$I$25),EOMONTH(AA$77,0)),"■",IF(AND('制度詳細'!$J$25&lt;&gt;"",'制度詳細'!$J$25&gt;=AA$77,'制度詳細'!$J$25&lt;=EOMONTH(AA$77,0)),"◆","")))</x:f>
        <x:v>■</x:v>
      </x:c>
      <x:c r="AB79" s="57" t="str">
        <x:f>IF('制度詳細'!$H$25="",IF('制度詳細'!$J$25="","",IF(AND('制度詳細'!$J$25&gt;=AB$77,'制度詳細'!$J$25&lt;=EOMONTH(AB$77,0)),"◆","")),IF(MAX('制度詳細'!$H$25,AB$77)&lt;=MIN(IF('制度詳細'!$I$25="",EOMONTH(AB$77,0),'制度詳細'!$I$25),EOMONTH(AB$77,0)),"■",IF(AND('制度詳細'!$J$25&lt;&gt;"",'制度詳細'!$J$25&gt;=AB$77,'制度詳細'!$J$25&lt;=EOMONTH(AB$77,0)),"◆","")))</x:f>
        <x:v>■</x:v>
      </x:c>
      <x:c r="AC79" s="57" t="str">
        <x:f>IF('制度詳細'!$H$25="",IF('制度詳細'!$J$25="","",IF(AND('制度詳細'!$J$25&gt;=AC$77,'制度詳細'!$J$25&lt;=EOMONTH(AC$77,0)),"◆","")),IF(MAX('制度詳細'!$H$25,AC$77)&lt;=MIN(IF('制度詳細'!$I$25="",EOMONTH(AC$77,0),'制度詳細'!$I$25),EOMONTH(AC$77,0)),"■",IF(AND('制度詳細'!$J$25&lt;&gt;"",'制度詳細'!$J$25&gt;=AC$77,'制度詳細'!$J$25&lt;=EOMONTH(AC$77,0)),"◆","")))</x:f>
        <x:v>■</x:v>
      </x:c>
      <x:c r="AD79" s="57" t="str">
        <x:f>IF('制度詳細'!$H$25="",IF('制度詳細'!$J$25="","",IF(AND('制度詳細'!$J$25&gt;=AD$77,'制度詳細'!$J$25&lt;=EOMONTH(AD$77,0)),"◆","")),IF(MAX('制度詳細'!$H$25,AD$77)&lt;=MIN(IF('制度詳細'!$I$25="",EOMONTH(AD$77,0),'制度詳細'!$I$25),EOMONTH(AD$77,0)),"■",IF(AND('制度詳細'!$J$25&lt;&gt;"",'制度詳細'!$J$25&gt;=AD$77,'制度詳細'!$J$25&lt;=EOMONTH(AD$77,0)),"◆","")))</x:f>
        <x:v>■</x:v>
      </x:c>
      <x:c r="AE79" s="57" t="str">
        <x:f>IF('制度詳細'!$H$25="",IF('制度詳細'!$J$25="","",IF(AND('制度詳細'!$J$25&gt;=AE$77,'制度詳細'!$J$25&lt;=EOMONTH(AE$77,0)),"◆","")),IF(MAX('制度詳細'!$H$25,AE$77)&lt;=MIN(IF('制度詳細'!$I$25="",EOMONTH(AE$77,0),'制度詳細'!$I$25),EOMONTH(AE$77,0)),"■",IF(AND('制度詳細'!$J$25&lt;&gt;"",'制度詳細'!$J$25&gt;=AE$77,'制度詳細'!$J$25&lt;=EOMONTH(AE$77,0)),"◆","")))</x:f>
        <x:v>■</x:v>
      </x:c>
      <x:c r="AF79" s="57" t="str">
        <x:f>IF('制度詳細'!$H$25="",IF('制度詳細'!$J$25="","",IF(AND('制度詳細'!$J$25&gt;=AF$77,'制度詳細'!$J$25&lt;=EOMONTH(AF$77,0)),"◆","")),IF(MAX('制度詳細'!$H$25,AF$77)&lt;=MIN(IF('制度詳細'!$I$25="",EOMONTH(AF$77,0),'制度詳細'!$I$25),EOMONTH(AF$77,0)),"■",IF(AND('制度詳細'!$J$25&lt;&gt;"",'制度詳細'!$J$25&gt;=AF$77,'制度詳細'!$J$25&lt;=EOMONTH(AF$77,0)),"◆","")))</x:f>
        <x:v>■</x:v>
      </x:c>
      <x:c r="AG79" s="57" t="str">
        <x:f>IF('制度詳細'!$H$25="",IF('制度詳細'!$J$25="","",IF(AND('制度詳細'!$J$25&gt;=AG$77,'制度詳細'!$J$25&lt;=EOMONTH(AG$77,0)),"◆","")),IF(MAX('制度詳細'!$H$25,AG$77)&lt;=MIN(IF('制度詳細'!$I$25="",EOMONTH(AG$77,0),'制度詳細'!$I$25),EOMONTH(AG$77,0)),"■",IF(AND('制度詳細'!$J$25&lt;&gt;"",'制度詳細'!$J$25&gt;=AG$77,'制度詳細'!$J$25&lt;=EOMONTH(AG$77,0)),"◆","")))</x:f>
        <x:v>■</x:v>
      </x:c>
      <x:c r="AH79" s="57" t="str">
        <x:f>IF('制度詳細'!$H$25="",IF('制度詳細'!$J$25="","",IF(AND('制度詳細'!$J$25&gt;=AH$77,'制度詳細'!$J$25&lt;=EOMONTH(AH$77,0)),"◆","")),IF(MAX('制度詳細'!$H$25,AH$77)&lt;=MIN(IF('制度詳細'!$I$25="",EOMONTH(AH$77,0),'制度詳細'!$I$25),EOMONTH(AH$77,0)),"■",IF(AND('制度詳細'!$J$25&lt;&gt;"",'制度詳細'!$J$25&gt;=AH$77,'制度詳細'!$J$25&lt;=EOMONTH(AH$77,0)),"◆","")))</x:f>
        <x:v>■</x:v>
      </x:c>
      <x:c r="AI79" s="57" t="str">
        <x:f>IF('制度詳細'!$H$25="",IF('制度詳細'!$J$25="","",IF(AND('制度詳細'!$J$25&gt;=AI$77,'制度詳細'!$J$25&lt;=EOMONTH(AI$77,0)),"◆","")),IF(MAX('制度詳細'!$H$25,AI$77)&lt;=MIN(IF('制度詳細'!$I$25="",EOMONTH(AI$77,0),'制度詳細'!$I$25),EOMONTH(AI$77,0)),"■",IF(AND('制度詳細'!$J$25&lt;&gt;"",'制度詳細'!$J$25&gt;=AI$77,'制度詳細'!$J$25&lt;=EOMONTH(AI$77,0)),"◆","")))</x:f>
        <x:v>■</x:v>
      </x:c>
      <x:c r="AJ79" s="57" t="str">
        <x:f>IF('制度詳細'!$H$25="",IF('制度詳細'!$J$25="","",IF(AND('制度詳細'!$J$25&gt;=AJ$77,'制度詳細'!$J$25&lt;=EOMONTH(AJ$77,0)),"◆","")),IF(MAX('制度詳細'!$H$25,AJ$77)&lt;=MIN(IF('制度詳細'!$I$25="",EOMONTH(AJ$77,0),'制度詳細'!$I$25),EOMONTH(AJ$77,0)),"■",IF(AND('制度詳細'!$J$25&lt;&gt;"",'制度詳細'!$J$25&gt;=AJ$77,'制度詳細'!$J$25&lt;=EOMONTH(AJ$77,0)),"◆","")))</x:f>
        <x:v>■</x:v>
      </x:c>
      <x:c r="AK79" s="57" t="str">
        <x:f>IF('制度詳細'!$H$25="",IF('制度詳細'!$J$25="","",IF(AND('制度詳細'!$J$25&gt;=AK$77,'制度詳細'!$J$25&lt;=EOMONTH(AK$77,0)),"◆","")),IF(MAX('制度詳細'!$H$25,AK$77)&lt;=MIN(IF('制度詳細'!$I$25="",EOMONTH(AK$77,0),'制度詳細'!$I$25),EOMONTH(AK$77,0)),"■",IF(AND('制度詳細'!$J$25&lt;&gt;"",'制度詳細'!$J$25&gt;=AK$77,'制度詳細'!$J$25&lt;=EOMONTH(AK$77,0)),"◆","")))</x:f>
        <x:v>■</x:v>
      </x:c>
      <x:c r="AL79" s="57" t="str">
        <x:f>IF('制度詳細'!$H$25="",IF('制度詳細'!$J$25="","",IF(AND('制度詳細'!$J$25&gt;=AL$77,'制度詳細'!$J$25&lt;=EOMONTH(AL$77,0)),"◆","")),IF(MAX('制度詳細'!$H$25,AL$77)&lt;=MIN(IF('制度詳細'!$I$25="",EOMONTH(AL$77,0),'制度詳細'!$I$25),EOMONTH(AL$77,0)),"■",IF(AND('制度詳細'!$J$25&lt;&gt;"",'制度詳細'!$J$25&gt;=AL$77,'制度詳細'!$J$25&lt;=EOMONTH(AL$77,0)),"◆","")))</x:f>
        <x:v>■</x:v>
      </x:c>
      <x:c r="AM79" s="57" t="str">
        <x:f>IF('制度詳細'!$H$25="",IF('制度詳細'!$J$25="","",IF(AND('制度詳細'!$J$25&gt;=AM$77,'制度詳細'!$J$25&lt;=EOMONTH(AM$77,0)),"◆","")),IF(MAX('制度詳細'!$H$25,AM$77)&lt;=MIN(IF('制度詳細'!$I$25="",EOMONTH(AM$77,0),'制度詳細'!$I$25),EOMONTH(AM$77,0)),"■",IF(AND('制度詳細'!$J$25&lt;&gt;"",'制度詳細'!$J$25&gt;=AM$77,'制度詳細'!$J$25&lt;=EOMONTH(AM$77,0)),"◆","")))</x:f>
        <x:v>■</x:v>
      </x:c>
      <x:c r="AN79" s="57" t="str">
        <x:f>IF('制度詳細'!$H$25="",IF('制度詳細'!$J$25="","",IF(AND('制度詳細'!$J$25&gt;=AN$77,'制度詳細'!$J$25&lt;=EOMONTH(AN$77,0)),"◆","")),IF(MAX('制度詳細'!$H$25,AN$77)&lt;=MIN(IF('制度詳細'!$I$25="",EOMONTH(AN$77,0),'制度詳細'!$I$25),EOMONTH(AN$77,0)),"■",IF(AND('制度詳細'!$J$25&lt;&gt;"",'制度詳細'!$J$25&gt;=AN$77,'制度詳細'!$J$25&lt;=EOMONTH(AN$77,0)),"◆","")))</x:f>
        <x:v>■</x:v>
      </x:c>
      <x:c r="AO79" s="57" t="str">
        <x:f>IF('制度詳細'!$H$25="",IF('制度詳細'!$J$25="","",IF(AND('制度詳細'!$J$25&gt;=AO$77,'制度詳細'!$J$25&lt;=EOMONTH(AO$77,0)),"◆","")),IF(MAX('制度詳細'!$H$25,AO$77)&lt;=MIN(IF('制度詳細'!$I$25="",EOMONTH(AO$77,0),'制度詳細'!$I$25),EOMONTH(AO$77,0)),"■",IF(AND('制度詳細'!$J$25&lt;&gt;"",'制度詳細'!$J$25&gt;=AO$77,'制度詳細'!$J$25&lt;=EOMONTH(AO$77,0)),"◆","")))</x:f>
        <x:v>■</x:v>
      </x:c>
      <x:c r="AP79" s="57" t="str">
        <x:f>IF('制度詳細'!$H$25="",IF('制度詳細'!$J$25="","",IF(AND('制度詳細'!$J$25&gt;=AP$77,'制度詳細'!$J$25&lt;=EOMONTH(AP$77,0)),"◆","")),IF(MAX('制度詳細'!$H$25,AP$77)&lt;=MIN(IF('制度詳細'!$I$25="",EOMONTH(AP$77,0),'制度詳細'!$I$25),EOMONTH(AP$77,0)),"■",IF(AND('制度詳細'!$J$25&lt;&gt;"",'制度詳細'!$J$25&gt;=AP$77,'制度詳細'!$J$25&lt;=EOMONTH(AP$77,0)),"◆","")))</x:f>
        <x:v>■</x:v>
      </x:c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</x:row>
    <x:row r="80" ht="30" customHeight="1">
      <x:c r="A80" s="54" t="str">
        <x:v>MY03 CBU特別AP枠の終了</x:v>
      </x:c>
      <x:c r="B80" s="54"/>
      <x:c r="C80" s="54"/>
      <x:c r="D80" s="54"/>
      <x:c r="E80" s="54"/>
      <x:c r="F80" s="54"/>
      <x:c r="G80" s="57" t="str">
        <x:f>IF('制度詳細'!$H$26="",IF('制度詳細'!$J$26="","",IF(AND('制度詳細'!$J$26&gt;=G$77,'制度詳細'!$J$26&lt;=EOMONTH(G$77,0)),"◆","")),IF(MAX('制度詳細'!$H$26,G$77)&lt;=MIN(IF('制度詳細'!$I$26="",EOMONTH(G$77,0),'制度詳細'!$I$26),EOMONTH(G$77,0)),"■",IF(AND('制度詳細'!$J$26&lt;&gt;"",'制度詳細'!$J$26&gt;=G$77,'制度詳細'!$J$26&lt;=EOMONTH(G$77,0)),"◆","")))</x:f>
      </x:c>
      <x:c r="H80" s="57" t="str">
        <x:f>IF('制度詳細'!$H$26="",IF('制度詳細'!$J$26="","",IF(AND('制度詳細'!$J$26&gt;=H$77,'制度詳細'!$J$26&lt;=EOMONTH(H$77,0)),"◆","")),IF(MAX('制度詳細'!$H$26,H$77)&lt;=MIN(IF('制度詳細'!$I$26="",EOMONTH(H$77,0),'制度詳細'!$I$26),EOMONTH(H$77,0)),"■",IF(AND('制度詳細'!$J$26&lt;&gt;"",'制度詳細'!$J$26&gt;=H$77,'制度詳細'!$J$26&lt;=EOMONTH(H$77,0)),"◆","")))</x:f>
      </x:c>
      <x:c r="I80" s="57" t="str">
        <x:f>IF('制度詳細'!$H$26="",IF('制度詳細'!$J$26="","",IF(AND('制度詳細'!$J$26&gt;=I$77,'制度詳細'!$J$26&lt;=EOMONTH(I$77,0)),"◆","")),IF(MAX('制度詳細'!$H$26,I$77)&lt;=MIN(IF('制度詳細'!$I$26="",EOMONTH(I$77,0),'制度詳細'!$I$26),EOMONTH(I$77,0)),"■",IF(AND('制度詳細'!$J$26&lt;&gt;"",'制度詳細'!$J$26&gt;=I$77,'制度詳細'!$J$26&lt;=EOMONTH(I$77,0)),"◆","")))</x:f>
      </x:c>
      <x:c r="J80" s="57" t="str">
        <x:f>IF('制度詳細'!$H$26="",IF('制度詳細'!$J$26="","",IF(AND('制度詳細'!$J$26&gt;=J$77,'制度詳細'!$J$26&lt;=EOMONTH(J$77,0)),"◆","")),IF(MAX('制度詳細'!$H$26,J$77)&lt;=MIN(IF('制度詳細'!$I$26="",EOMONTH(J$77,0),'制度詳細'!$I$26),EOMONTH(J$77,0)),"■",IF(AND('制度詳細'!$J$26&lt;&gt;"",'制度詳細'!$J$26&gt;=J$77,'制度詳細'!$J$26&lt;=EOMONTH(J$77,0)),"◆","")))</x:f>
      </x:c>
      <x:c r="K80" s="57" t="str">
        <x:f>IF('制度詳細'!$H$26="",IF('制度詳細'!$J$26="","",IF(AND('制度詳細'!$J$26&gt;=K$77,'制度詳細'!$J$26&lt;=EOMONTH(K$77,0)),"◆","")),IF(MAX('制度詳細'!$H$26,K$77)&lt;=MIN(IF('制度詳細'!$I$26="",EOMONTH(K$77,0),'制度詳細'!$I$26),EOMONTH(K$77,0)),"■",IF(AND('制度詳細'!$J$26&lt;&gt;"",'制度詳細'!$J$26&gt;=K$77,'制度詳細'!$J$26&lt;=EOMONTH(K$77,0)),"◆","")))</x:f>
      </x:c>
      <x:c r="L80" s="57" t="str">
        <x:f>IF('制度詳細'!$H$26="",IF('制度詳細'!$J$26="","",IF(AND('制度詳細'!$J$26&gt;=L$77,'制度詳細'!$J$26&lt;=EOMONTH(L$77,0)),"◆","")),IF(MAX('制度詳細'!$H$26,L$77)&lt;=MIN(IF('制度詳細'!$I$26="",EOMONTH(L$77,0),'制度詳細'!$I$26),EOMONTH(L$77,0)),"■",IF(AND('制度詳細'!$J$26&lt;&gt;"",'制度詳細'!$J$26&gt;=L$77,'制度詳細'!$J$26&lt;=EOMONTH(L$77,0)),"◆","")))</x:f>
      </x:c>
      <x:c r="M80" s="57" t="str">
        <x:f>IF('制度詳細'!$H$26="",IF('制度詳細'!$J$26="","",IF(AND('制度詳細'!$J$26&gt;=M$77,'制度詳細'!$J$26&lt;=EOMONTH(M$77,0)),"◆","")),IF(MAX('制度詳細'!$H$26,M$77)&lt;=MIN(IF('制度詳細'!$I$26="",EOMONTH(M$77,0),'制度詳細'!$I$26),EOMONTH(M$77,0)),"■",IF(AND('制度詳細'!$J$26&lt;&gt;"",'制度詳細'!$J$26&gt;=M$77,'制度詳細'!$J$26&lt;=EOMONTH(M$77,0)),"◆","")))</x:f>
      </x:c>
      <x:c r="N80" s="57" t="str">
        <x:f>IF('制度詳細'!$H$26="",IF('制度詳細'!$J$26="","",IF(AND('制度詳細'!$J$26&gt;=N$77,'制度詳細'!$J$26&lt;=EOMONTH(N$77,0)),"◆","")),IF(MAX('制度詳細'!$H$26,N$77)&lt;=MIN(IF('制度詳細'!$I$26="",EOMONTH(N$77,0),'制度詳細'!$I$26),EOMONTH(N$77,0)),"■",IF(AND('制度詳細'!$J$26&lt;&gt;"",'制度詳細'!$J$26&gt;=N$77,'制度詳細'!$J$26&lt;=EOMONTH(N$77,0)),"◆","")))</x:f>
      </x:c>
      <x:c r="O80" s="57" t="str">
        <x:f>IF('制度詳細'!$H$26="",IF('制度詳細'!$J$26="","",IF(AND('制度詳細'!$J$26&gt;=O$77,'制度詳細'!$J$26&lt;=EOMONTH(O$77,0)),"◆","")),IF(MAX('制度詳細'!$H$26,O$77)&lt;=MIN(IF('制度詳細'!$I$26="",EOMONTH(O$77,0),'制度詳細'!$I$26),EOMONTH(O$77,0)),"■",IF(AND('制度詳細'!$J$26&lt;&gt;"",'制度詳細'!$J$26&gt;=O$77,'制度詳細'!$J$26&lt;=EOMONTH(O$77,0)),"◆","")))</x:f>
      </x:c>
      <x:c r="P80" s="57" t="str">
        <x:f>IF('制度詳細'!$H$26="",IF('制度詳細'!$J$26="","",IF(AND('制度詳細'!$J$26&gt;=P$77,'制度詳細'!$J$26&lt;=EOMONTH(P$77,0)),"◆","")),IF(MAX('制度詳細'!$H$26,P$77)&lt;=MIN(IF('制度詳細'!$I$26="",EOMONTH(P$77,0),'制度詳細'!$I$26),EOMONTH(P$77,0)),"■",IF(AND('制度詳細'!$J$26&lt;&gt;"",'制度詳細'!$J$26&gt;=P$77,'制度詳細'!$J$26&lt;=EOMONTH(P$77,0)),"◆","")))</x:f>
      </x:c>
      <x:c r="Q80" s="57" t="str">
        <x:f>IF('制度詳細'!$H$26="",IF('制度詳細'!$J$26="","",IF(AND('制度詳細'!$J$26&gt;=Q$77,'制度詳細'!$J$26&lt;=EOMONTH(Q$77,0)),"◆","")),IF(MAX('制度詳細'!$H$26,Q$77)&lt;=MIN(IF('制度詳細'!$I$26="",EOMONTH(Q$77,0),'制度詳細'!$I$26),EOMONTH(Q$77,0)),"■",IF(AND('制度詳細'!$J$26&lt;&gt;"",'制度詳細'!$J$26&gt;=Q$77,'制度詳細'!$J$26&lt;=EOMONTH(Q$77,0)),"◆","")))</x:f>
      </x:c>
      <x:c r="R80" s="57" t="str">
        <x:f>IF('制度詳細'!$H$26="",IF('制度詳細'!$J$26="","",IF(AND('制度詳細'!$J$26&gt;=R$77,'制度詳細'!$J$26&lt;=EOMONTH(R$77,0)),"◆","")),IF(MAX('制度詳細'!$H$26,R$77)&lt;=MIN(IF('制度詳細'!$I$26="",EOMONTH(R$77,0),'制度詳細'!$I$26),EOMONTH(R$77,0)),"■",IF(AND('制度詳細'!$J$26&lt;&gt;"",'制度詳細'!$J$26&gt;=R$77,'制度詳細'!$J$26&lt;=EOMONTH(R$77,0)),"◆","")))</x:f>
      </x:c>
      <x:c r="S80" s="57" t="str">
        <x:f>IF('制度詳細'!$H$26="",IF('制度詳細'!$J$26="","",IF(AND('制度詳細'!$J$26&gt;=S$77,'制度詳細'!$J$26&lt;=EOMONTH(S$77,0)),"◆","")),IF(MAX('制度詳細'!$H$26,S$77)&lt;=MIN(IF('制度詳細'!$I$26="",EOMONTH(S$77,0),'制度詳細'!$I$26),EOMONTH(S$77,0)),"■",IF(AND('制度詳細'!$J$26&lt;&gt;"",'制度詳細'!$J$26&gt;=S$77,'制度詳細'!$J$26&lt;=EOMONTH(S$77,0)),"◆","")))</x:f>
      </x:c>
      <x:c r="T80" s="57" t="str">
        <x:f>IF('制度詳細'!$H$26="",IF('制度詳細'!$J$26="","",IF(AND('制度詳細'!$J$26&gt;=T$77,'制度詳細'!$J$26&lt;=EOMONTH(T$77,0)),"◆","")),IF(MAX('制度詳細'!$H$26,T$77)&lt;=MIN(IF('制度詳細'!$I$26="",EOMONTH(T$77,0),'制度詳細'!$I$26),EOMONTH(T$77,0)),"■",IF(AND('制度詳細'!$J$26&lt;&gt;"",'制度詳細'!$J$26&gt;=T$77,'制度詳細'!$J$26&lt;=EOMONTH(T$77,0)),"◆","")))</x:f>
      </x:c>
      <x:c r="U80" s="57" t="str">
        <x:f>IF('制度詳細'!$H$26="",IF('制度詳細'!$J$26="","",IF(AND('制度詳細'!$J$26&gt;=U$77,'制度詳細'!$J$26&lt;=EOMONTH(U$77,0)),"◆","")),IF(MAX('制度詳細'!$H$26,U$77)&lt;=MIN(IF('制度詳細'!$I$26="",EOMONTH(U$77,0),'制度詳細'!$I$26),EOMONTH(U$77,0)),"■",IF(AND('制度詳細'!$J$26&lt;&gt;"",'制度詳細'!$J$26&gt;=U$77,'制度詳細'!$J$26&lt;=EOMONTH(U$77,0)),"◆","")))</x:f>
      </x:c>
      <x:c r="V80" s="57" t="str">
        <x:f>IF('制度詳細'!$H$26="",IF('制度詳細'!$J$26="","",IF(AND('制度詳細'!$J$26&gt;=V$77,'制度詳細'!$J$26&lt;=EOMONTH(V$77,0)),"◆","")),IF(MAX('制度詳細'!$H$26,V$77)&lt;=MIN(IF('制度詳細'!$I$26="",EOMONTH(V$77,0),'制度詳細'!$I$26),EOMONTH(V$77,0)),"■",IF(AND('制度詳細'!$J$26&lt;&gt;"",'制度詳細'!$J$26&gt;=V$77,'制度詳細'!$J$26&lt;=EOMONTH(V$77,0)),"◆","")))</x:f>
      </x:c>
      <x:c r="W80" s="57" t="str">
        <x:f>IF('制度詳細'!$H$26="",IF('制度詳細'!$J$26="","",IF(AND('制度詳細'!$J$26&gt;=W$77,'制度詳細'!$J$26&lt;=EOMONTH(W$77,0)),"◆","")),IF(MAX('制度詳細'!$H$26,W$77)&lt;=MIN(IF('制度詳細'!$I$26="",EOMONTH(W$77,0),'制度詳細'!$I$26),EOMONTH(W$77,0)),"■",IF(AND('制度詳細'!$J$26&lt;&gt;"",'制度詳細'!$J$26&gt;=W$77,'制度詳細'!$J$26&lt;=EOMONTH(W$77,0)),"◆","")))</x:f>
      </x:c>
      <x:c r="X80" s="57" t="str">
        <x:f>IF('制度詳細'!$H$26="",IF('制度詳細'!$J$26="","",IF(AND('制度詳細'!$J$26&gt;=X$77,'制度詳細'!$J$26&lt;=EOMONTH(X$77,0)),"◆","")),IF(MAX('制度詳細'!$H$26,X$77)&lt;=MIN(IF('制度詳細'!$I$26="",EOMONTH(X$77,0),'制度詳細'!$I$26),EOMONTH(X$77,0)),"■",IF(AND('制度詳細'!$J$26&lt;&gt;"",'制度詳細'!$J$26&gt;=X$77,'制度詳細'!$J$26&lt;=EOMONTH(X$77,0)),"◆","")))</x:f>
      </x:c>
      <x:c r="Y80" s="57" t="str">
        <x:f>IF('制度詳細'!$H$26="",IF('制度詳細'!$J$26="","",IF(AND('制度詳細'!$J$26&gt;=Y$77,'制度詳細'!$J$26&lt;=EOMONTH(Y$77,0)),"◆","")),IF(MAX('制度詳細'!$H$26,Y$77)&lt;=MIN(IF('制度詳細'!$I$26="",EOMONTH(Y$77,0),'制度詳細'!$I$26),EOMONTH(Y$77,0)),"■",IF(AND('制度詳細'!$J$26&lt;&gt;"",'制度詳細'!$J$26&gt;=Y$77,'制度詳細'!$J$26&lt;=EOMONTH(Y$77,0)),"◆","")))</x:f>
      </x:c>
      <x:c r="Z80" s="57" t="str">
        <x:f>IF('制度詳細'!$H$26="",IF('制度詳細'!$J$26="","",IF(AND('制度詳細'!$J$26&gt;=Z$77,'制度詳細'!$J$26&lt;=EOMONTH(Z$77,0)),"◆","")),IF(MAX('制度詳細'!$H$26,Z$77)&lt;=MIN(IF('制度詳細'!$I$26="",EOMONTH(Z$77,0),'制度詳細'!$I$26),EOMONTH(Z$77,0)),"■",IF(AND('制度詳細'!$J$26&lt;&gt;"",'制度詳細'!$J$26&gt;=Z$77,'制度詳細'!$J$26&lt;=EOMONTH(Z$77,0)),"◆","")))</x:f>
      </x:c>
      <x:c r="AA80" s="57" t="str">
        <x:f>IF('制度詳細'!$H$26="",IF('制度詳細'!$J$26="","",IF(AND('制度詳細'!$J$26&gt;=AA$77,'制度詳細'!$J$26&lt;=EOMONTH(AA$77,0)),"◆","")),IF(MAX('制度詳細'!$H$26,AA$77)&lt;=MIN(IF('制度詳細'!$I$26="",EOMONTH(AA$77,0),'制度詳細'!$I$26),EOMONTH(AA$77,0)),"■",IF(AND('制度詳細'!$J$26&lt;&gt;"",'制度詳細'!$J$26&gt;=AA$77,'制度詳細'!$J$26&lt;=EOMONTH(AA$77,0)),"◆","")))</x:f>
      </x:c>
      <x:c r="AB80" s="57" t="str">
        <x:f>IF('制度詳細'!$H$26="",IF('制度詳細'!$J$26="","",IF(AND('制度詳細'!$J$26&gt;=AB$77,'制度詳細'!$J$26&lt;=EOMONTH(AB$77,0)),"◆","")),IF(MAX('制度詳細'!$H$26,AB$77)&lt;=MIN(IF('制度詳細'!$I$26="",EOMONTH(AB$77,0),'制度詳細'!$I$26),EOMONTH(AB$77,0)),"■",IF(AND('制度詳細'!$J$26&lt;&gt;"",'制度詳細'!$J$26&gt;=AB$77,'制度詳細'!$J$26&lt;=EOMONTH(AB$77,0)),"◆","")))</x:f>
      </x:c>
      <x:c r="AC80" s="57" t="str">
        <x:f>IF('制度詳細'!$H$26="",IF('制度詳細'!$J$26="","",IF(AND('制度詳細'!$J$26&gt;=AC$77,'制度詳細'!$J$26&lt;=EOMONTH(AC$77,0)),"◆","")),IF(MAX('制度詳細'!$H$26,AC$77)&lt;=MIN(IF('制度詳細'!$I$26="",EOMONTH(AC$77,0),'制度詳細'!$I$26),EOMONTH(AC$77,0)),"■",IF(AND('制度詳細'!$J$26&lt;&gt;"",'制度詳細'!$J$26&gt;=AC$77,'制度詳細'!$J$26&lt;=EOMONTH(AC$77,0)),"◆","")))</x:f>
      </x:c>
      <x:c r="AD80" s="57" t="str">
        <x:f>IF('制度詳細'!$H$26="",IF('制度詳細'!$J$26="","",IF(AND('制度詳細'!$J$26&gt;=AD$77,'制度詳細'!$J$26&lt;=EOMONTH(AD$77,0)),"◆","")),IF(MAX('制度詳細'!$H$26,AD$77)&lt;=MIN(IF('制度詳細'!$I$26="",EOMONTH(AD$77,0),'制度詳細'!$I$26),EOMONTH(AD$77,0)),"■",IF(AND('制度詳細'!$J$26&lt;&gt;"",'制度詳細'!$J$26&gt;=AD$77,'制度詳細'!$J$26&lt;=EOMONTH(AD$77,0)),"◆","")))</x:f>
        <x:v>■</x:v>
      </x:c>
      <x:c r="AE80" s="57" t="str">
        <x:f>IF('制度詳細'!$H$26="",IF('制度詳細'!$J$26="","",IF(AND('制度詳細'!$J$26&gt;=AE$77,'制度詳細'!$J$26&lt;=EOMONTH(AE$77,0)),"◆","")),IF(MAX('制度詳細'!$H$26,AE$77)&lt;=MIN(IF('制度詳細'!$I$26="",EOMONTH(AE$77,0),'制度詳細'!$I$26),EOMONTH(AE$77,0)),"■",IF(AND('制度詳細'!$J$26&lt;&gt;"",'制度詳細'!$J$26&gt;=AE$77,'制度詳細'!$J$26&lt;=EOMONTH(AE$77,0)),"◆","")))</x:f>
      </x:c>
      <x:c r="AF80" s="57" t="str">
        <x:f>IF('制度詳細'!$H$26="",IF('制度詳細'!$J$26="","",IF(AND('制度詳細'!$J$26&gt;=AF$77,'制度詳細'!$J$26&lt;=EOMONTH(AF$77,0)),"◆","")),IF(MAX('制度詳細'!$H$26,AF$77)&lt;=MIN(IF('制度詳細'!$I$26="",EOMONTH(AF$77,0),'制度詳細'!$I$26),EOMONTH(AF$77,0)),"■",IF(AND('制度詳細'!$J$26&lt;&gt;"",'制度詳細'!$J$26&gt;=AF$77,'制度詳細'!$J$26&lt;=EOMONTH(AF$77,0)),"◆","")))</x:f>
      </x:c>
      <x:c r="AG80" s="57" t="str">
        <x:f>IF('制度詳細'!$H$26="",IF('制度詳細'!$J$26="","",IF(AND('制度詳細'!$J$26&gt;=AG$77,'制度詳細'!$J$26&lt;=EOMONTH(AG$77,0)),"◆","")),IF(MAX('制度詳細'!$H$26,AG$77)&lt;=MIN(IF('制度詳細'!$I$26="",EOMONTH(AG$77,0),'制度詳細'!$I$26),EOMONTH(AG$77,0)),"■",IF(AND('制度詳細'!$J$26&lt;&gt;"",'制度詳細'!$J$26&gt;=AG$77,'制度詳細'!$J$26&lt;=EOMONTH(AG$77,0)),"◆","")))</x:f>
      </x:c>
      <x:c r="AH80" s="57" t="str">
        <x:f>IF('制度詳細'!$H$26="",IF('制度詳細'!$J$26="","",IF(AND('制度詳細'!$J$26&gt;=AH$77,'制度詳細'!$J$26&lt;=EOMONTH(AH$77,0)),"◆","")),IF(MAX('制度詳細'!$H$26,AH$77)&lt;=MIN(IF('制度詳細'!$I$26="",EOMONTH(AH$77,0),'制度詳細'!$I$26),EOMONTH(AH$77,0)),"■",IF(AND('制度詳細'!$J$26&lt;&gt;"",'制度詳細'!$J$26&gt;=AH$77,'制度詳細'!$J$26&lt;=EOMONTH(AH$77,0)),"◆","")))</x:f>
      </x:c>
      <x:c r="AI80" s="57" t="str">
        <x:f>IF('制度詳細'!$H$26="",IF('制度詳細'!$J$26="","",IF(AND('制度詳細'!$J$26&gt;=AI$77,'制度詳細'!$J$26&lt;=EOMONTH(AI$77,0)),"◆","")),IF(MAX('制度詳細'!$H$26,AI$77)&lt;=MIN(IF('制度詳細'!$I$26="",EOMONTH(AI$77,0),'制度詳細'!$I$26),EOMONTH(AI$77,0)),"■",IF(AND('制度詳細'!$J$26&lt;&gt;"",'制度詳細'!$J$26&gt;=AI$77,'制度詳細'!$J$26&lt;=EOMONTH(AI$77,0)),"◆","")))</x:f>
        <x:v>◆</x:v>
      </x:c>
      <x:c r="AJ80" s="57" t="str">
        <x:f>IF('制度詳細'!$H$26="",IF('制度詳細'!$J$26="","",IF(AND('制度詳細'!$J$26&gt;=AJ$77,'制度詳細'!$J$26&lt;=EOMONTH(AJ$77,0)),"◆","")),IF(MAX('制度詳細'!$H$26,AJ$77)&lt;=MIN(IF('制度詳細'!$I$26="",EOMONTH(AJ$77,0),'制度詳細'!$I$26),EOMONTH(AJ$77,0)),"■",IF(AND('制度詳細'!$J$26&lt;&gt;"",'制度詳細'!$J$26&gt;=AJ$77,'制度詳細'!$J$26&lt;=EOMONTH(AJ$77,0)),"◆","")))</x:f>
      </x:c>
      <x:c r="AK80" s="57" t="str">
        <x:f>IF('制度詳細'!$H$26="",IF('制度詳細'!$J$26="","",IF(AND('制度詳細'!$J$26&gt;=AK$77,'制度詳細'!$J$26&lt;=EOMONTH(AK$77,0)),"◆","")),IF(MAX('制度詳細'!$H$26,AK$77)&lt;=MIN(IF('制度詳細'!$I$26="",EOMONTH(AK$77,0),'制度詳細'!$I$26),EOMONTH(AK$77,0)),"■",IF(AND('制度詳細'!$J$26&lt;&gt;"",'制度詳細'!$J$26&gt;=AK$77,'制度詳細'!$J$26&lt;=EOMONTH(AK$77,0)),"◆","")))</x:f>
      </x:c>
      <x:c r="AL80" s="57" t="str">
        <x:f>IF('制度詳細'!$H$26="",IF('制度詳細'!$J$26="","",IF(AND('制度詳細'!$J$26&gt;=AL$77,'制度詳細'!$J$26&lt;=EOMONTH(AL$77,0)),"◆","")),IF(MAX('制度詳細'!$H$26,AL$77)&lt;=MIN(IF('制度詳細'!$I$26="",EOMONTH(AL$77,0),'制度詳細'!$I$26),EOMONTH(AL$77,0)),"■",IF(AND('制度詳細'!$J$26&lt;&gt;"",'制度詳細'!$J$26&gt;=AL$77,'制度詳細'!$J$26&lt;=EOMONTH(AL$77,0)),"◆","")))</x:f>
      </x:c>
      <x:c r="AM80" s="57" t="str">
        <x:f>IF('制度詳細'!$H$26="",IF('制度詳細'!$J$26="","",IF(AND('制度詳細'!$J$26&gt;=AM$77,'制度詳細'!$J$26&lt;=EOMONTH(AM$77,0)),"◆","")),IF(MAX('制度詳細'!$H$26,AM$77)&lt;=MIN(IF('制度詳細'!$I$26="",EOMONTH(AM$77,0),'制度詳細'!$I$26),EOMONTH(AM$77,0)),"■",IF(AND('制度詳細'!$J$26&lt;&gt;"",'制度詳細'!$J$26&gt;=AM$77,'制度詳細'!$J$26&lt;=EOMONTH(AM$77,0)),"◆","")))</x:f>
      </x:c>
      <x:c r="AN80" s="57" t="str">
        <x:f>IF('制度詳細'!$H$26="",IF('制度詳細'!$J$26="","",IF(AND('制度詳細'!$J$26&gt;=AN$77,'制度詳細'!$J$26&lt;=EOMONTH(AN$77,0)),"◆","")),IF(MAX('制度詳細'!$H$26,AN$77)&lt;=MIN(IF('制度詳細'!$I$26="",EOMONTH(AN$77,0),'制度詳細'!$I$26),EOMONTH(AN$77,0)),"■",IF(AND('制度詳細'!$J$26&lt;&gt;"",'制度詳細'!$J$26&gt;=AN$77,'制度詳細'!$J$26&lt;=EOMONTH(AN$77,0)),"◆","")))</x:f>
      </x:c>
      <x:c r="AO80" s="57" t="str">
        <x:f>IF('制度詳細'!$H$26="",IF('制度詳細'!$J$26="","",IF(AND('制度詳細'!$J$26&gt;=AO$77,'制度詳細'!$J$26&lt;=EOMONTH(AO$77,0)),"◆","")),IF(MAX('制度詳細'!$H$26,AO$77)&lt;=MIN(IF('制度詳細'!$I$26="",EOMONTH(AO$77,0),'制度詳細'!$I$26),EOMONTH(AO$77,0)),"■",IF(AND('制度詳細'!$J$26&lt;&gt;"",'制度詳細'!$J$26&gt;=AO$77,'制度詳細'!$J$26&lt;=EOMONTH(AO$77,0)),"◆","")))</x:f>
      </x:c>
      <x:c r="AP80" s="57" t="str">
        <x:f>IF('制度詳細'!$H$26="",IF('制度詳細'!$J$26="","",IF(AND('制度詳細'!$J$26&gt;=AP$77,'制度詳細'!$J$26&lt;=EOMONTH(AP$77,0)),"◆","")),IF(MAX('制度詳細'!$H$26,AP$77)&lt;=MIN(IF('制度詳細'!$I$26="",EOMONTH(AP$77,0),'制度詳細'!$I$26),EOMONTH(AP$77,0)),"■",IF(AND('制度詳細'!$J$26&lt;&gt;"",'制度詳細'!$J$26&gt;=AP$77,'制度詳細'!$J$26&lt;=EOMONTH(AP$77,0)),"◆","")))</x:f>
      </x:c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</x:row>
    <x:row r="81" ht="30" customHeight="1">
      <x:c r="A81" s="59" t="str">
        <x:v>MY04 新規CBU：CIF・出力の下限</x:v>
      </x:c>
      <x:c r="B81" s="59"/>
      <x:c r="C81" s="59"/>
      <x:c r="D81" s="59"/>
      <x:c r="E81" s="59"/>
      <x:c r="F81" s="59"/>
      <x:c r="G81" s="57" t="str">
        <x:f>IF('制度詳細'!$H$27="",IF('制度詳細'!$J$27="","",IF(AND('制度詳細'!$J$27&gt;=G$77,'制度詳細'!$J$27&lt;=EOMONTH(G$77,0)),"◆","")),IF(MAX('制度詳細'!$H$27,G$77)&lt;=MIN(IF('制度詳細'!$I$27="",EOMONTH(G$77,0),'制度詳細'!$I$27),EOMONTH(G$77,0)),"■",IF(AND('制度詳細'!$J$27&lt;&gt;"",'制度詳細'!$J$27&gt;=G$77,'制度詳細'!$J$27&lt;=EOMONTH(G$77,0)),"◆","")))</x:f>
      </x:c>
      <x:c r="H81" s="57" t="str">
        <x:f>IF('制度詳細'!$H$27="",IF('制度詳細'!$J$27="","",IF(AND('制度詳細'!$J$27&gt;=H$77,'制度詳細'!$J$27&lt;=EOMONTH(H$77,0)),"◆","")),IF(MAX('制度詳細'!$H$27,H$77)&lt;=MIN(IF('制度詳細'!$I$27="",EOMONTH(H$77,0),'制度詳細'!$I$27),EOMONTH(H$77,0)),"■",IF(AND('制度詳細'!$J$27&lt;&gt;"",'制度詳細'!$J$27&gt;=H$77,'制度詳細'!$J$27&lt;=EOMONTH(H$77,0)),"◆","")))</x:f>
      </x:c>
      <x:c r="I81" s="57" t="str">
        <x:f>IF('制度詳細'!$H$27="",IF('制度詳細'!$J$27="","",IF(AND('制度詳細'!$J$27&gt;=I$77,'制度詳細'!$J$27&lt;=EOMONTH(I$77,0)),"◆","")),IF(MAX('制度詳細'!$H$27,I$77)&lt;=MIN(IF('制度詳細'!$I$27="",EOMONTH(I$77,0),'制度詳細'!$I$27),EOMONTH(I$77,0)),"■",IF(AND('制度詳細'!$J$27&lt;&gt;"",'制度詳細'!$J$27&gt;=I$77,'制度詳細'!$J$27&lt;=EOMONTH(I$77,0)),"◆","")))</x:f>
      </x:c>
      <x:c r="J81" s="57" t="str">
        <x:f>IF('制度詳細'!$H$27="",IF('制度詳細'!$J$27="","",IF(AND('制度詳細'!$J$27&gt;=J$77,'制度詳細'!$J$27&lt;=EOMONTH(J$77,0)),"◆","")),IF(MAX('制度詳細'!$H$27,J$77)&lt;=MIN(IF('制度詳細'!$I$27="",EOMONTH(J$77,0),'制度詳細'!$I$27),EOMONTH(J$77,0)),"■",IF(AND('制度詳細'!$J$27&lt;&gt;"",'制度詳細'!$J$27&gt;=J$77,'制度詳細'!$J$27&lt;=EOMONTH(J$77,0)),"◆","")))</x:f>
      </x:c>
      <x:c r="K81" s="57" t="str">
        <x:f>IF('制度詳細'!$H$27="",IF('制度詳細'!$J$27="","",IF(AND('制度詳細'!$J$27&gt;=K$77,'制度詳細'!$J$27&lt;=EOMONTH(K$77,0)),"◆","")),IF(MAX('制度詳細'!$H$27,K$77)&lt;=MIN(IF('制度詳細'!$I$27="",EOMONTH(K$77,0),'制度詳細'!$I$27),EOMONTH(K$77,0)),"■",IF(AND('制度詳細'!$J$27&lt;&gt;"",'制度詳細'!$J$27&gt;=K$77,'制度詳細'!$J$27&lt;=EOMONTH(K$77,0)),"◆","")))</x:f>
      </x:c>
      <x:c r="L81" s="57" t="str">
        <x:f>IF('制度詳細'!$H$27="",IF('制度詳細'!$J$27="","",IF(AND('制度詳細'!$J$27&gt;=L$77,'制度詳細'!$J$27&lt;=EOMONTH(L$77,0)),"◆","")),IF(MAX('制度詳細'!$H$27,L$77)&lt;=MIN(IF('制度詳細'!$I$27="",EOMONTH(L$77,0),'制度詳細'!$I$27),EOMONTH(L$77,0)),"■",IF(AND('制度詳細'!$J$27&lt;&gt;"",'制度詳細'!$J$27&gt;=L$77,'制度詳細'!$J$27&lt;=EOMONTH(L$77,0)),"◆","")))</x:f>
      </x:c>
      <x:c r="M81" s="57" t="str">
        <x:f>IF('制度詳細'!$H$27="",IF('制度詳細'!$J$27="","",IF(AND('制度詳細'!$J$27&gt;=M$77,'制度詳細'!$J$27&lt;=EOMONTH(M$77,0)),"◆","")),IF(MAX('制度詳細'!$H$27,M$77)&lt;=MIN(IF('制度詳細'!$I$27="",EOMONTH(M$77,0),'制度詳細'!$I$27),EOMONTH(M$77,0)),"■",IF(AND('制度詳細'!$J$27&lt;&gt;"",'制度詳細'!$J$27&gt;=M$77,'制度詳細'!$J$27&lt;=EOMONTH(M$77,0)),"◆","")))</x:f>
      </x:c>
      <x:c r="N81" s="57" t="str">
        <x:f>IF('制度詳細'!$H$27="",IF('制度詳細'!$J$27="","",IF(AND('制度詳細'!$J$27&gt;=N$77,'制度詳細'!$J$27&lt;=EOMONTH(N$77,0)),"◆","")),IF(MAX('制度詳細'!$H$27,N$77)&lt;=MIN(IF('制度詳細'!$I$27="",EOMONTH(N$77,0),'制度詳細'!$I$27),EOMONTH(N$77,0)),"■",IF(AND('制度詳細'!$J$27&lt;&gt;"",'制度詳細'!$J$27&gt;=N$77,'制度詳細'!$J$27&lt;=EOMONTH(N$77,0)),"◆","")))</x:f>
      </x:c>
      <x:c r="O81" s="57" t="str">
        <x:f>IF('制度詳細'!$H$27="",IF('制度詳細'!$J$27="","",IF(AND('制度詳細'!$J$27&gt;=O$77,'制度詳細'!$J$27&lt;=EOMONTH(O$77,0)),"◆","")),IF(MAX('制度詳細'!$H$27,O$77)&lt;=MIN(IF('制度詳細'!$I$27="",EOMONTH(O$77,0),'制度詳細'!$I$27),EOMONTH(O$77,0)),"■",IF(AND('制度詳細'!$J$27&lt;&gt;"",'制度詳細'!$J$27&gt;=O$77,'制度詳細'!$J$27&lt;=EOMONTH(O$77,0)),"◆","")))</x:f>
      </x:c>
      <x:c r="P81" s="57" t="str">
        <x:f>IF('制度詳細'!$H$27="",IF('制度詳細'!$J$27="","",IF(AND('制度詳細'!$J$27&gt;=P$77,'制度詳細'!$J$27&lt;=EOMONTH(P$77,0)),"◆","")),IF(MAX('制度詳細'!$H$27,P$77)&lt;=MIN(IF('制度詳細'!$I$27="",EOMONTH(P$77,0),'制度詳細'!$I$27),EOMONTH(P$77,0)),"■",IF(AND('制度詳細'!$J$27&lt;&gt;"",'制度詳細'!$J$27&gt;=P$77,'制度詳細'!$J$27&lt;=EOMONTH(P$77,0)),"◆","")))</x:f>
      </x:c>
      <x:c r="Q81" s="57" t="str">
        <x:f>IF('制度詳細'!$H$27="",IF('制度詳細'!$J$27="","",IF(AND('制度詳細'!$J$27&gt;=Q$77,'制度詳細'!$J$27&lt;=EOMONTH(Q$77,0)),"◆","")),IF(MAX('制度詳細'!$H$27,Q$77)&lt;=MIN(IF('制度詳細'!$I$27="",EOMONTH(Q$77,0),'制度詳細'!$I$27),EOMONTH(Q$77,0)),"■",IF(AND('制度詳細'!$J$27&lt;&gt;"",'制度詳細'!$J$27&gt;=Q$77,'制度詳細'!$J$27&lt;=EOMONTH(Q$77,0)),"◆","")))</x:f>
      </x:c>
      <x:c r="R81" s="57" t="str">
        <x:f>IF('制度詳細'!$H$27="",IF('制度詳細'!$J$27="","",IF(AND('制度詳細'!$J$27&gt;=R$77,'制度詳細'!$J$27&lt;=EOMONTH(R$77,0)),"◆","")),IF(MAX('制度詳細'!$H$27,R$77)&lt;=MIN(IF('制度詳細'!$I$27="",EOMONTH(R$77,0),'制度詳細'!$I$27),EOMONTH(R$77,0)),"■",IF(AND('制度詳細'!$J$27&lt;&gt;"",'制度詳細'!$J$27&gt;=R$77,'制度詳細'!$J$27&lt;=EOMONTH(R$77,0)),"◆","")))</x:f>
      </x:c>
      <x:c r="S81" s="57" t="str">
        <x:f>IF('制度詳細'!$H$27="",IF('制度詳細'!$J$27="","",IF(AND('制度詳細'!$J$27&gt;=S$77,'制度詳細'!$J$27&lt;=EOMONTH(S$77,0)),"◆","")),IF(MAX('制度詳細'!$H$27,S$77)&lt;=MIN(IF('制度詳細'!$I$27="",EOMONTH(S$77,0),'制度詳細'!$I$27),EOMONTH(S$77,0)),"■",IF(AND('制度詳細'!$J$27&lt;&gt;"",'制度詳細'!$J$27&gt;=S$77,'制度詳細'!$J$27&lt;=EOMONTH(S$77,0)),"◆","")))</x:f>
      </x:c>
      <x:c r="T81" s="57" t="str">
        <x:f>IF('制度詳細'!$H$27="",IF('制度詳細'!$J$27="","",IF(AND('制度詳細'!$J$27&gt;=T$77,'制度詳細'!$J$27&lt;=EOMONTH(T$77,0)),"◆","")),IF(MAX('制度詳細'!$H$27,T$77)&lt;=MIN(IF('制度詳細'!$I$27="",EOMONTH(T$77,0),'制度詳細'!$I$27),EOMONTH(T$77,0)),"■",IF(AND('制度詳細'!$J$27&lt;&gt;"",'制度詳細'!$J$27&gt;=T$77,'制度詳細'!$J$27&lt;=EOMONTH(T$77,0)),"◆","")))</x:f>
      </x:c>
      <x:c r="U81" s="57" t="str">
        <x:f>IF('制度詳細'!$H$27="",IF('制度詳細'!$J$27="","",IF(AND('制度詳細'!$J$27&gt;=U$77,'制度詳細'!$J$27&lt;=EOMONTH(U$77,0)),"◆","")),IF(MAX('制度詳細'!$H$27,U$77)&lt;=MIN(IF('制度詳細'!$I$27="",EOMONTH(U$77,0),'制度詳細'!$I$27),EOMONTH(U$77,0)),"■",IF(AND('制度詳細'!$J$27&lt;&gt;"",'制度詳細'!$J$27&gt;=U$77,'制度詳細'!$J$27&lt;=EOMONTH(U$77,0)),"◆","")))</x:f>
      </x:c>
      <x:c r="V81" s="57" t="str">
        <x:f>IF('制度詳細'!$H$27="",IF('制度詳細'!$J$27="","",IF(AND('制度詳細'!$J$27&gt;=V$77,'制度詳細'!$J$27&lt;=EOMONTH(V$77,0)),"◆","")),IF(MAX('制度詳細'!$H$27,V$77)&lt;=MIN(IF('制度詳細'!$I$27="",EOMONTH(V$77,0),'制度詳細'!$I$27),EOMONTH(V$77,0)),"■",IF(AND('制度詳細'!$J$27&lt;&gt;"",'制度詳細'!$J$27&gt;=V$77,'制度詳細'!$J$27&lt;=EOMONTH(V$77,0)),"◆","")))</x:f>
      </x:c>
      <x:c r="W81" s="57" t="str">
        <x:f>IF('制度詳細'!$H$27="",IF('制度詳細'!$J$27="","",IF(AND('制度詳細'!$J$27&gt;=W$77,'制度詳細'!$J$27&lt;=EOMONTH(W$77,0)),"◆","")),IF(MAX('制度詳細'!$H$27,W$77)&lt;=MIN(IF('制度詳細'!$I$27="",EOMONTH(W$77,0),'制度詳細'!$I$27),EOMONTH(W$77,0)),"■",IF(AND('制度詳細'!$J$27&lt;&gt;"",'制度詳細'!$J$27&gt;=W$77,'制度詳細'!$J$27&lt;=EOMONTH(W$77,0)),"◆","")))</x:f>
      </x:c>
      <x:c r="X81" s="57" t="str">
        <x:f>IF('制度詳細'!$H$27="",IF('制度詳細'!$J$27="","",IF(AND('制度詳細'!$J$27&gt;=X$77,'制度詳細'!$J$27&lt;=EOMONTH(X$77,0)),"◆","")),IF(MAX('制度詳細'!$H$27,X$77)&lt;=MIN(IF('制度詳細'!$I$27="",EOMONTH(X$77,0),'制度詳細'!$I$27),EOMONTH(X$77,0)),"■",IF(AND('制度詳細'!$J$27&lt;&gt;"",'制度詳細'!$J$27&gt;=X$77,'制度詳細'!$J$27&lt;=EOMONTH(X$77,0)),"◆","")))</x:f>
      </x:c>
      <x:c r="Y81" s="57" t="str">
        <x:f>IF('制度詳細'!$H$27="",IF('制度詳細'!$J$27="","",IF(AND('制度詳細'!$J$27&gt;=Y$77,'制度詳細'!$J$27&lt;=EOMONTH(Y$77,0)),"◆","")),IF(MAX('制度詳細'!$H$27,Y$77)&lt;=MIN(IF('制度詳細'!$I$27="",EOMONTH(Y$77,0),'制度詳細'!$I$27),EOMONTH(Y$77,0)),"■",IF(AND('制度詳細'!$J$27&lt;&gt;"",'制度詳細'!$J$27&gt;=Y$77,'制度詳細'!$J$27&lt;=EOMONTH(Y$77,0)),"◆","")))</x:f>
      </x:c>
      <x:c r="Z81" s="57" t="str">
        <x:f>IF('制度詳細'!$H$27="",IF('制度詳細'!$J$27="","",IF(AND('制度詳細'!$J$27&gt;=Z$77,'制度詳細'!$J$27&lt;=EOMONTH(Z$77,0)),"◆","")),IF(MAX('制度詳細'!$H$27,Z$77)&lt;=MIN(IF('制度詳細'!$I$27="",EOMONTH(Z$77,0),'制度詳細'!$I$27),EOMONTH(Z$77,0)),"■",IF(AND('制度詳細'!$J$27&lt;&gt;"",'制度詳細'!$J$27&gt;=Z$77,'制度詳細'!$J$27&lt;=EOMONTH(Z$77,0)),"◆","")))</x:f>
      </x:c>
      <x:c r="AA81" s="57" t="str">
        <x:f>IF('制度詳細'!$H$27="",IF('制度詳細'!$J$27="","",IF(AND('制度詳細'!$J$27&gt;=AA$77,'制度詳細'!$J$27&lt;=EOMONTH(AA$77,0)),"◆","")),IF(MAX('制度詳細'!$H$27,AA$77)&lt;=MIN(IF('制度詳細'!$I$27="",EOMONTH(AA$77,0),'制度詳細'!$I$27),EOMONTH(AA$77,0)),"■",IF(AND('制度詳細'!$J$27&lt;&gt;"",'制度詳細'!$J$27&gt;=AA$77,'制度詳細'!$J$27&lt;=EOMONTH(AA$77,0)),"◆","")))</x:f>
      </x:c>
      <x:c r="AB81" s="57" t="str">
        <x:f>IF('制度詳細'!$H$27="",IF('制度詳細'!$J$27="","",IF(AND('制度詳細'!$J$27&gt;=AB$77,'制度詳細'!$J$27&lt;=EOMONTH(AB$77,0)),"◆","")),IF(MAX('制度詳細'!$H$27,AB$77)&lt;=MIN(IF('制度詳細'!$I$27="",EOMONTH(AB$77,0),'制度詳細'!$I$27),EOMONTH(AB$77,0)),"■",IF(AND('制度詳細'!$J$27&lt;&gt;"",'制度詳細'!$J$27&gt;=AB$77,'制度詳細'!$J$27&lt;=EOMONTH(AB$77,0)),"◆","")))</x:f>
      </x:c>
      <x:c r="AC81" s="57" t="str">
        <x:f>IF('制度詳細'!$H$27="",IF('制度詳細'!$J$27="","",IF(AND('制度詳細'!$J$27&gt;=AC$77,'制度詳細'!$J$27&lt;=EOMONTH(AC$77,0)),"◆","")),IF(MAX('制度詳細'!$H$27,AC$77)&lt;=MIN(IF('制度詳細'!$I$27="",EOMONTH(AC$77,0),'制度詳細'!$I$27),EOMONTH(AC$77,0)),"■",IF(AND('制度詳細'!$J$27&lt;&gt;"",'制度詳細'!$J$27&gt;=AC$77,'制度詳細'!$J$27&lt;=EOMONTH(AC$77,0)),"◆","")))</x:f>
      </x:c>
      <x:c r="AD81" s="57" t="str">
        <x:f>IF('制度詳細'!$H$27="",IF('制度詳細'!$J$27="","",IF(AND('制度詳細'!$J$27&gt;=AD$77,'制度詳細'!$J$27&lt;=EOMONTH(AD$77,0)),"◆","")),IF(MAX('制度詳細'!$H$27,AD$77)&lt;=MIN(IF('制度詳細'!$I$27="",EOMONTH(AD$77,0),'制度詳細'!$I$27),EOMONTH(AD$77,0)),"■",IF(AND('制度詳細'!$J$27&lt;&gt;"",'制度詳細'!$J$27&gt;=AD$77,'制度詳細'!$J$27&lt;=EOMONTH(AD$77,0)),"◆","")))</x:f>
      </x:c>
      <x:c r="AE81" s="57" t="str">
        <x:f>IF('制度詳細'!$H$27="",IF('制度詳細'!$J$27="","",IF(AND('制度詳細'!$J$27&gt;=AE$77,'制度詳細'!$J$27&lt;=EOMONTH(AE$77,0)),"◆","")),IF(MAX('制度詳細'!$H$27,AE$77)&lt;=MIN(IF('制度詳細'!$I$27="",EOMONTH(AE$77,0),'制度詳細'!$I$27),EOMONTH(AE$77,0)),"■",IF(AND('制度詳細'!$J$27&lt;&gt;"",'制度詳細'!$J$27&gt;=AE$77,'制度詳細'!$J$27&lt;=EOMONTH(AE$77,0)),"◆","")))</x:f>
      </x:c>
      <x:c r="AF81" s="57" t="str">
        <x:f>IF('制度詳細'!$H$27="",IF('制度詳細'!$J$27="","",IF(AND('制度詳細'!$J$27&gt;=AF$77,'制度詳細'!$J$27&lt;=EOMONTH(AF$77,0)),"◆","")),IF(MAX('制度詳細'!$H$27,AF$77)&lt;=MIN(IF('制度詳細'!$I$27="",EOMONTH(AF$77,0),'制度詳細'!$I$27),EOMONTH(AF$77,0)),"■",IF(AND('制度詳細'!$J$27&lt;&gt;"",'制度詳細'!$J$27&gt;=AF$77,'制度詳細'!$J$27&lt;=EOMONTH(AF$77,0)),"◆","")))</x:f>
      </x:c>
      <x:c r="AG81" s="57" t="str">
        <x:f>IF('制度詳細'!$H$27="",IF('制度詳細'!$J$27="","",IF(AND('制度詳細'!$J$27&gt;=AG$77,'制度詳細'!$J$27&lt;=EOMONTH(AG$77,0)),"◆","")),IF(MAX('制度詳細'!$H$27,AG$77)&lt;=MIN(IF('制度詳細'!$I$27="",EOMONTH(AG$77,0),'制度詳細'!$I$27),EOMONTH(AG$77,0)),"■",IF(AND('制度詳細'!$J$27&lt;&gt;"",'制度詳細'!$J$27&gt;=AG$77,'制度詳細'!$J$27&lt;=EOMONTH(AG$77,0)),"◆","")))</x:f>
      </x:c>
      <x:c r="AH81" s="57" t="str">
        <x:f>IF('制度詳細'!$H$27="",IF('制度詳細'!$J$27="","",IF(AND('制度詳細'!$J$27&gt;=AH$77,'制度詳細'!$J$27&lt;=EOMONTH(AH$77,0)),"◆","")),IF(MAX('制度詳細'!$H$27,AH$77)&lt;=MIN(IF('制度詳細'!$I$27="",EOMONTH(AH$77,0),'制度詳細'!$I$27),EOMONTH(AH$77,0)),"■",IF(AND('制度詳細'!$J$27&lt;&gt;"",'制度詳細'!$J$27&gt;=AH$77,'制度詳細'!$J$27&lt;=EOMONTH(AH$77,0)),"◆","")))</x:f>
      </x:c>
      <x:c r="AI81" s="57" t="str">
        <x:f>IF('制度詳細'!$H$27="",IF('制度詳細'!$J$27="","",IF(AND('制度詳細'!$J$27&gt;=AI$77,'制度詳細'!$J$27&lt;=EOMONTH(AI$77,0)),"◆","")),IF(MAX('制度詳細'!$H$27,AI$77)&lt;=MIN(IF('制度詳細'!$I$27="",EOMONTH(AI$77,0),'制度詳細'!$I$27),EOMONTH(AI$77,0)),"■",IF(AND('制度詳細'!$J$27&lt;&gt;"",'制度詳細'!$J$27&gt;=AI$77,'制度詳細'!$J$27&lt;=EOMONTH(AI$77,0)),"◆","")))</x:f>
        <x:v>◆</x:v>
      </x:c>
      <x:c r="AJ81" s="57" t="str">
        <x:f>IF('制度詳細'!$H$27="",IF('制度詳細'!$J$27="","",IF(AND('制度詳細'!$J$27&gt;=AJ$77,'制度詳細'!$J$27&lt;=EOMONTH(AJ$77,0)),"◆","")),IF(MAX('制度詳細'!$H$27,AJ$77)&lt;=MIN(IF('制度詳細'!$I$27="",EOMONTH(AJ$77,0),'制度詳細'!$I$27),EOMONTH(AJ$77,0)),"■",IF(AND('制度詳細'!$J$27&lt;&gt;"",'制度詳細'!$J$27&gt;=AJ$77,'制度詳細'!$J$27&lt;=EOMONTH(AJ$77,0)),"◆","")))</x:f>
      </x:c>
      <x:c r="AK81" s="57" t="str">
        <x:f>IF('制度詳細'!$H$27="",IF('制度詳細'!$J$27="","",IF(AND('制度詳細'!$J$27&gt;=AK$77,'制度詳細'!$J$27&lt;=EOMONTH(AK$77,0)),"◆","")),IF(MAX('制度詳細'!$H$27,AK$77)&lt;=MIN(IF('制度詳細'!$I$27="",EOMONTH(AK$77,0),'制度詳細'!$I$27),EOMONTH(AK$77,0)),"■",IF(AND('制度詳細'!$J$27&lt;&gt;"",'制度詳細'!$J$27&gt;=AK$77,'制度詳細'!$J$27&lt;=EOMONTH(AK$77,0)),"◆","")))</x:f>
        <x:v>■</x:v>
      </x:c>
      <x:c r="AL81" s="57" t="str">
        <x:f>IF('制度詳細'!$H$27="",IF('制度詳細'!$J$27="","",IF(AND('制度詳細'!$J$27&gt;=AL$77,'制度詳細'!$J$27&lt;=EOMONTH(AL$77,0)),"◆","")),IF(MAX('制度詳細'!$H$27,AL$77)&lt;=MIN(IF('制度詳細'!$I$27="",EOMONTH(AL$77,0),'制度詳細'!$I$27),EOMONTH(AL$77,0)),"■",IF(AND('制度詳細'!$J$27&lt;&gt;"",'制度詳細'!$J$27&gt;=AL$77,'制度詳細'!$J$27&lt;=EOMONTH(AL$77,0)),"◆","")))</x:f>
        <x:v>■</x:v>
      </x:c>
      <x:c r="AM81" s="57" t="str">
        <x:f>IF('制度詳細'!$H$27="",IF('制度詳細'!$J$27="","",IF(AND('制度詳細'!$J$27&gt;=AM$77,'制度詳細'!$J$27&lt;=EOMONTH(AM$77,0)),"◆","")),IF(MAX('制度詳細'!$H$27,AM$77)&lt;=MIN(IF('制度詳細'!$I$27="",EOMONTH(AM$77,0),'制度詳細'!$I$27),EOMONTH(AM$77,0)),"■",IF(AND('制度詳細'!$J$27&lt;&gt;"",'制度詳細'!$J$27&gt;=AM$77,'制度詳細'!$J$27&lt;=EOMONTH(AM$77,0)),"◆","")))</x:f>
        <x:v>■</x:v>
      </x:c>
      <x:c r="AN81" s="57" t="str">
        <x:f>IF('制度詳細'!$H$27="",IF('制度詳細'!$J$27="","",IF(AND('制度詳細'!$J$27&gt;=AN$77,'制度詳細'!$J$27&lt;=EOMONTH(AN$77,0)),"◆","")),IF(MAX('制度詳細'!$H$27,AN$77)&lt;=MIN(IF('制度詳細'!$I$27="",EOMONTH(AN$77,0),'制度詳細'!$I$27),EOMONTH(AN$77,0)),"■",IF(AND('制度詳細'!$J$27&lt;&gt;"",'制度詳細'!$J$27&gt;=AN$77,'制度詳細'!$J$27&lt;=EOMONTH(AN$77,0)),"◆","")))</x:f>
        <x:v>■</x:v>
      </x:c>
      <x:c r="AO81" s="57" t="str">
        <x:f>IF('制度詳細'!$H$27="",IF('制度詳細'!$J$27="","",IF(AND('制度詳細'!$J$27&gt;=AO$77,'制度詳細'!$J$27&lt;=EOMONTH(AO$77,0)),"◆","")),IF(MAX('制度詳細'!$H$27,AO$77)&lt;=MIN(IF('制度詳細'!$I$27="",EOMONTH(AO$77,0),'制度詳細'!$I$27),EOMONTH(AO$77,0)),"■",IF(AND('制度詳細'!$J$27&lt;&gt;"",'制度詳細'!$J$27&gt;=AO$77,'制度詳細'!$J$27&lt;=EOMONTH(AO$77,0)),"◆","")))</x:f>
        <x:v>■</x:v>
      </x:c>
      <x:c r="AP81" s="57" t="str">
        <x:f>IF('制度詳細'!$H$27="",IF('制度詳細'!$J$27="","",IF(AND('制度詳細'!$J$27&gt;=AP$77,'制度詳細'!$J$27&lt;=EOMONTH(AP$77,0)),"◆","")),IF(MAX('制度詳細'!$H$27,AP$77)&lt;=MIN(IF('制度詳細'!$I$27="",EOMONTH(AP$77,0),'制度詳細'!$I$27),EOMONTH(AP$77,0)),"■",IF(AND('制度詳細'!$J$27&lt;&gt;"",'制度詳細'!$J$27&gt;=AP$77,'制度詳細'!$J$27&lt;=EOMONTH(AP$77,0)),"◆","")))</x:f>
        <x:v>■</x:v>
      </x:c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</x:row>
    <x:row r="82" ht="30" customHeight="1">
      <x:c r="A82" s="54" t="str">
        <x:v>MY05 AP MRA EV：CKD前の試験輸入</x:v>
      </x:c>
      <x:c r="B82" s="54"/>
      <x:c r="C82" s="54"/>
      <x:c r="D82" s="54"/>
      <x:c r="E82" s="54"/>
      <x:c r="F82" s="54"/>
      <x:c r="G82" s="57" t="str">
        <x:f>IF('制度詳細'!$H$28="",IF('制度詳細'!$J$28="","",IF(AND('制度詳細'!$J$28&gt;=G$77,'制度詳細'!$J$28&lt;=EOMONTH(G$77,0)),"◆","")),IF(MAX('制度詳細'!$H$28,G$77)&lt;=MIN(IF('制度詳細'!$I$28="",EOMONTH(G$77,0),'制度詳細'!$I$28),EOMONTH(G$77,0)),"■",IF(AND('制度詳細'!$J$28&lt;&gt;"",'制度詳細'!$J$28&gt;=G$77,'制度詳細'!$J$28&lt;=EOMONTH(G$77,0)),"◆","")))</x:f>
      </x:c>
      <x:c r="H82" s="57" t="str">
        <x:f>IF('制度詳細'!$H$28="",IF('制度詳細'!$J$28="","",IF(AND('制度詳細'!$J$28&gt;=H$77,'制度詳細'!$J$28&lt;=EOMONTH(H$77,0)),"◆","")),IF(MAX('制度詳細'!$H$28,H$77)&lt;=MIN(IF('制度詳細'!$I$28="",EOMONTH(H$77,0),'制度詳細'!$I$28),EOMONTH(H$77,0)),"■",IF(AND('制度詳細'!$J$28&lt;&gt;"",'制度詳細'!$J$28&gt;=H$77,'制度詳細'!$J$28&lt;=EOMONTH(H$77,0)),"◆","")))</x:f>
      </x:c>
      <x:c r="I82" s="57" t="str">
        <x:f>IF('制度詳細'!$H$28="",IF('制度詳細'!$J$28="","",IF(AND('制度詳細'!$J$28&gt;=I$77,'制度詳細'!$J$28&lt;=EOMONTH(I$77,0)),"◆","")),IF(MAX('制度詳細'!$H$28,I$77)&lt;=MIN(IF('制度詳細'!$I$28="",EOMONTH(I$77,0),'制度詳細'!$I$28),EOMONTH(I$77,0)),"■",IF(AND('制度詳細'!$J$28&lt;&gt;"",'制度詳細'!$J$28&gt;=I$77,'制度詳細'!$J$28&lt;=EOMONTH(I$77,0)),"◆","")))</x:f>
      </x:c>
      <x:c r="J82" s="57" t="str">
        <x:f>IF('制度詳細'!$H$28="",IF('制度詳細'!$J$28="","",IF(AND('制度詳細'!$J$28&gt;=J$77,'制度詳細'!$J$28&lt;=EOMONTH(J$77,0)),"◆","")),IF(MAX('制度詳細'!$H$28,J$77)&lt;=MIN(IF('制度詳細'!$I$28="",EOMONTH(J$77,0),'制度詳細'!$I$28),EOMONTH(J$77,0)),"■",IF(AND('制度詳細'!$J$28&lt;&gt;"",'制度詳細'!$J$28&gt;=J$77,'制度詳細'!$J$28&lt;=EOMONTH(J$77,0)),"◆","")))</x:f>
      </x:c>
      <x:c r="K82" s="57" t="str">
        <x:f>IF('制度詳細'!$H$28="",IF('制度詳細'!$J$28="","",IF(AND('制度詳細'!$J$28&gt;=K$77,'制度詳細'!$J$28&lt;=EOMONTH(K$77,0)),"◆","")),IF(MAX('制度詳細'!$H$28,K$77)&lt;=MIN(IF('制度詳細'!$I$28="",EOMONTH(K$77,0),'制度詳細'!$I$28),EOMONTH(K$77,0)),"■",IF(AND('制度詳細'!$J$28&lt;&gt;"",'制度詳細'!$J$28&gt;=K$77,'制度詳細'!$J$28&lt;=EOMONTH(K$77,0)),"◆","")))</x:f>
      </x:c>
      <x:c r="L82" s="57" t="str">
        <x:f>IF('制度詳細'!$H$28="",IF('制度詳細'!$J$28="","",IF(AND('制度詳細'!$J$28&gt;=L$77,'制度詳細'!$J$28&lt;=EOMONTH(L$77,0)),"◆","")),IF(MAX('制度詳細'!$H$28,L$77)&lt;=MIN(IF('制度詳細'!$I$28="",EOMONTH(L$77,0),'制度詳細'!$I$28),EOMONTH(L$77,0)),"■",IF(AND('制度詳細'!$J$28&lt;&gt;"",'制度詳細'!$J$28&gt;=L$77,'制度詳細'!$J$28&lt;=EOMONTH(L$77,0)),"◆","")))</x:f>
      </x:c>
      <x:c r="M82" s="57" t="str">
        <x:f>IF('制度詳細'!$H$28="",IF('制度詳細'!$J$28="","",IF(AND('制度詳細'!$J$28&gt;=M$77,'制度詳細'!$J$28&lt;=EOMONTH(M$77,0)),"◆","")),IF(MAX('制度詳細'!$H$28,M$77)&lt;=MIN(IF('制度詳細'!$I$28="",EOMONTH(M$77,0),'制度詳細'!$I$28),EOMONTH(M$77,0)),"■",IF(AND('制度詳細'!$J$28&lt;&gt;"",'制度詳細'!$J$28&gt;=M$77,'制度詳細'!$J$28&lt;=EOMONTH(M$77,0)),"◆","")))</x:f>
      </x:c>
      <x:c r="N82" s="57" t="str">
        <x:f>IF('制度詳細'!$H$28="",IF('制度詳細'!$J$28="","",IF(AND('制度詳細'!$J$28&gt;=N$77,'制度詳細'!$J$28&lt;=EOMONTH(N$77,0)),"◆","")),IF(MAX('制度詳細'!$H$28,N$77)&lt;=MIN(IF('制度詳細'!$I$28="",EOMONTH(N$77,0),'制度詳細'!$I$28),EOMONTH(N$77,0)),"■",IF(AND('制度詳細'!$J$28&lt;&gt;"",'制度詳細'!$J$28&gt;=N$77,'制度詳細'!$J$28&lt;=EOMONTH(N$77,0)),"◆","")))</x:f>
      </x:c>
      <x:c r="O82" s="57" t="str">
        <x:f>IF('制度詳細'!$H$28="",IF('制度詳細'!$J$28="","",IF(AND('制度詳細'!$J$28&gt;=O$77,'制度詳細'!$J$28&lt;=EOMONTH(O$77,0)),"◆","")),IF(MAX('制度詳細'!$H$28,O$77)&lt;=MIN(IF('制度詳細'!$I$28="",EOMONTH(O$77,0),'制度詳細'!$I$28),EOMONTH(O$77,0)),"■",IF(AND('制度詳細'!$J$28&lt;&gt;"",'制度詳細'!$J$28&gt;=O$77,'制度詳細'!$J$28&lt;=EOMONTH(O$77,0)),"◆","")))</x:f>
      </x:c>
      <x:c r="P82" s="57" t="str">
        <x:f>IF('制度詳細'!$H$28="",IF('制度詳細'!$J$28="","",IF(AND('制度詳細'!$J$28&gt;=P$77,'制度詳細'!$J$28&lt;=EOMONTH(P$77,0)),"◆","")),IF(MAX('制度詳細'!$H$28,P$77)&lt;=MIN(IF('制度詳細'!$I$28="",EOMONTH(P$77,0),'制度詳細'!$I$28),EOMONTH(P$77,0)),"■",IF(AND('制度詳細'!$J$28&lt;&gt;"",'制度詳細'!$J$28&gt;=P$77,'制度詳細'!$J$28&lt;=EOMONTH(P$77,0)),"◆","")))</x:f>
      </x:c>
      <x:c r="Q82" s="57" t="str">
        <x:f>IF('制度詳細'!$H$28="",IF('制度詳細'!$J$28="","",IF(AND('制度詳細'!$J$28&gt;=Q$77,'制度詳細'!$J$28&lt;=EOMONTH(Q$77,0)),"◆","")),IF(MAX('制度詳細'!$H$28,Q$77)&lt;=MIN(IF('制度詳細'!$I$28="",EOMONTH(Q$77,0),'制度詳細'!$I$28),EOMONTH(Q$77,0)),"■",IF(AND('制度詳細'!$J$28&lt;&gt;"",'制度詳細'!$J$28&gt;=Q$77,'制度詳細'!$J$28&lt;=EOMONTH(Q$77,0)),"◆","")))</x:f>
      </x:c>
      <x:c r="R82" s="57" t="str">
        <x:f>IF('制度詳細'!$H$28="",IF('制度詳細'!$J$28="","",IF(AND('制度詳細'!$J$28&gt;=R$77,'制度詳細'!$J$28&lt;=EOMONTH(R$77,0)),"◆","")),IF(MAX('制度詳細'!$H$28,R$77)&lt;=MIN(IF('制度詳細'!$I$28="",EOMONTH(R$77,0),'制度詳細'!$I$28),EOMONTH(R$77,0)),"■",IF(AND('制度詳細'!$J$28&lt;&gt;"",'制度詳細'!$J$28&gt;=R$77,'制度詳細'!$J$28&lt;=EOMONTH(R$77,0)),"◆","")))</x:f>
      </x:c>
      <x:c r="S82" s="57" t="str">
        <x:f>IF('制度詳細'!$H$28="",IF('制度詳細'!$J$28="","",IF(AND('制度詳細'!$J$28&gt;=S$77,'制度詳細'!$J$28&lt;=EOMONTH(S$77,0)),"◆","")),IF(MAX('制度詳細'!$H$28,S$77)&lt;=MIN(IF('制度詳細'!$I$28="",EOMONTH(S$77,0),'制度詳細'!$I$28),EOMONTH(S$77,0)),"■",IF(AND('制度詳細'!$J$28&lt;&gt;"",'制度詳細'!$J$28&gt;=S$77,'制度詳細'!$J$28&lt;=EOMONTH(S$77,0)),"◆","")))</x:f>
      </x:c>
      <x:c r="T82" s="57" t="str">
        <x:f>IF('制度詳細'!$H$28="",IF('制度詳細'!$J$28="","",IF(AND('制度詳細'!$J$28&gt;=T$77,'制度詳細'!$J$28&lt;=EOMONTH(T$77,0)),"◆","")),IF(MAX('制度詳細'!$H$28,T$77)&lt;=MIN(IF('制度詳細'!$I$28="",EOMONTH(T$77,0),'制度詳細'!$I$28),EOMONTH(T$77,0)),"■",IF(AND('制度詳細'!$J$28&lt;&gt;"",'制度詳細'!$J$28&gt;=T$77,'制度詳細'!$J$28&lt;=EOMONTH(T$77,0)),"◆","")))</x:f>
      </x:c>
      <x:c r="U82" s="57" t="str">
        <x:f>IF('制度詳細'!$H$28="",IF('制度詳細'!$J$28="","",IF(AND('制度詳細'!$J$28&gt;=U$77,'制度詳細'!$J$28&lt;=EOMONTH(U$77,0)),"◆","")),IF(MAX('制度詳細'!$H$28,U$77)&lt;=MIN(IF('制度詳細'!$I$28="",EOMONTH(U$77,0),'制度詳細'!$I$28),EOMONTH(U$77,0)),"■",IF(AND('制度詳細'!$J$28&lt;&gt;"",'制度詳細'!$J$28&gt;=U$77,'制度詳細'!$J$28&lt;=EOMONTH(U$77,0)),"◆","")))</x:f>
      </x:c>
      <x:c r="V82" s="57" t="str">
        <x:f>IF('制度詳細'!$H$28="",IF('制度詳細'!$J$28="","",IF(AND('制度詳細'!$J$28&gt;=V$77,'制度詳細'!$J$28&lt;=EOMONTH(V$77,0)),"◆","")),IF(MAX('制度詳細'!$H$28,V$77)&lt;=MIN(IF('制度詳細'!$I$28="",EOMONTH(V$77,0),'制度詳細'!$I$28),EOMONTH(V$77,0)),"■",IF(AND('制度詳細'!$J$28&lt;&gt;"",'制度詳細'!$J$28&gt;=V$77,'制度詳細'!$J$28&lt;=EOMONTH(V$77,0)),"◆","")))</x:f>
      </x:c>
      <x:c r="W82" s="57" t="str">
        <x:f>IF('制度詳細'!$H$28="",IF('制度詳細'!$J$28="","",IF(AND('制度詳細'!$J$28&gt;=W$77,'制度詳細'!$J$28&lt;=EOMONTH(W$77,0)),"◆","")),IF(MAX('制度詳細'!$H$28,W$77)&lt;=MIN(IF('制度詳細'!$I$28="",EOMONTH(W$77,0),'制度詳細'!$I$28),EOMONTH(W$77,0)),"■",IF(AND('制度詳細'!$J$28&lt;&gt;"",'制度詳細'!$J$28&gt;=W$77,'制度詳細'!$J$28&lt;=EOMONTH(W$77,0)),"◆","")))</x:f>
      </x:c>
      <x:c r="X82" s="57" t="str">
        <x:f>IF('制度詳細'!$H$28="",IF('制度詳細'!$J$28="","",IF(AND('制度詳細'!$J$28&gt;=X$77,'制度詳細'!$J$28&lt;=EOMONTH(X$77,0)),"◆","")),IF(MAX('制度詳細'!$H$28,X$77)&lt;=MIN(IF('制度詳細'!$I$28="",EOMONTH(X$77,0),'制度詳細'!$I$28),EOMONTH(X$77,0)),"■",IF(AND('制度詳細'!$J$28&lt;&gt;"",'制度詳細'!$J$28&gt;=X$77,'制度詳細'!$J$28&lt;=EOMONTH(X$77,0)),"◆","")))</x:f>
      </x:c>
      <x:c r="Y82" s="57" t="str">
        <x:f>IF('制度詳細'!$H$28="",IF('制度詳細'!$J$28="","",IF(AND('制度詳細'!$J$28&gt;=Y$77,'制度詳細'!$J$28&lt;=EOMONTH(Y$77,0)),"◆","")),IF(MAX('制度詳細'!$H$28,Y$77)&lt;=MIN(IF('制度詳細'!$I$28="",EOMONTH(Y$77,0),'制度詳細'!$I$28),EOMONTH(Y$77,0)),"■",IF(AND('制度詳細'!$J$28&lt;&gt;"",'制度詳細'!$J$28&gt;=Y$77,'制度詳細'!$J$28&lt;=EOMONTH(Y$77,0)),"◆","")))</x:f>
      </x:c>
      <x:c r="Z82" s="57" t="str">
        <x:f>IF('制度詳細'!$H$28="",IF('制度詳細'!$J$28="","",IF(AND('制度詳細'!$J$28&gt;=Z$77,'制度詳細'!$J$28&lt;=EOMONTH(Z$77,0)),"◆","")),IF(MAX('制度詳細'!$H$28,Z$77)&lt;=MIN(IF('制度詳細'!$I$28="",EOMONTH(Z$77,0),'制度詳細'!$I$28),EOMONTH(Z$77,0)),"■",IF(AND('制度詳細'!$J$28&lt;&gt;"",'制度詳細'!$J$28&gt;=Z$77,'制度詳細'!$J$28&lt;=EOMONTH(Z$77,0)),"◆","")))</x:f>
      </x:c>
      <x:c r="AA82" s="57" t="str">
        <x:f>IF('制度詳細'!$H$28="",IF('制度詳細'!$J$28="","",IF(AND('制度詳細'!$J$28&gt;=AA$77,'制度詳細'!$J$28&lt;=EOMONTH(AA$77,0)),"◆","")),IF(MAX('制度詳細'!$H$28,AA$77)&lt;=MIN(IF('制度詳細'!$I$28="",EOMONTH(AA$77,0),'制度詳細'!$I$28),EOMONTH(AA$77,0)),"■",IF(AND('制度詳細'!$J$28&lt;&gt;"",'制度詳細'!$J$28&gt;=AA$77,'制度詳細'!$J$28&lt;=EOMONTH(AA$77,0)),"◆","")))</x:f>
      </x:c>
      <x:c r="AB82" s="57" t="str">
        <x:f>IF('制度詳細'!$H$28="",IF('制度詳細'!$J$28="","",IF(AND('制度詳細'!$J$28&gt;=AB$77,'制度詳細'!$J$28&lt;=EOMONTH(AB$77,0)),"◆","")),IF(MAX('制度詳細'!$H$28,AB$77)&lt;=MIN(IF('制度詳細'!$I$28="",EOMONTH(AB$77,0),'制度詳細'!$I$28),EOMONTH(AB$77,0)),"■",IF(AND('制度詳細'!$J$28&lt;&gt;"",'制度詳細'!$J$28&gt;=AB$77,'制度詳細'!$J$28&lt;=EOMONTH(AB$77,0)),"◆","")))</x:f>
      </x:c>
      <x:c r="AC82" s="57" t="str">
        <x:f>IF('制度詳細'!$H$28="",IF('制度詳細'!$J$28="","",IF(AND('制度詳細'!$J$28&gt;=AC$77,'制度詳細'!$J$28&lt;=EOMONTH(AC$77,0)),"◆","")),IF(MAX('制度詳細'!$H$28,AC$77)&lt;=MIN(IF('制度詳細'!$I$28="",EOMONTH(AC$77,0),'制度詳細'!$I$28),EOMONTH(AC$77,0)),"■",IF(AND('制度詳細'!$J$28&lt;&gt;"",'制度詳細'!$J$28&gt;=AC$77,'制度詳細'!$J$28&lt;=EOMONTH(AC$77,0)),"◆","")))</x:f>
      </x:c>
      <x:c r="AD82" s="57" t="str">
        <x:f>IF('制度詳細'!$H$28="",IF('制度詳細'!$J$28="","",IF(AND('制度詳細'!$J$28&gt;=AD$77,'制度詳細'!$J$28&lt;=EOMONTH(AD$77,0)),"◆","")),IF(MAX('制度詳細'!$H$28,AD$77)&lt;=MIN(IF('制度詳細'!$I$28="",EOMONTH(AD$77,0),'制度詳細'!$I$28),EOMONTH(AD$77,0)),"■",IF(AND('制度詳細'!$J$28&lt;&gt;"",'制度詳細'!$J$28&gt;=AD$77,'制度詳細'!$J$28&lt;=EOMONTH(AD$77,0)),"◆","")))</x:f>
      </x:c>
      <x:c r="AE82" s="57" t="str">
        <x:f>IF('制度詳細'!$H$28="",IF('制度詳細'!$J$28="","",IF(AND('制度詳細'!$J$28&gt;=AE$77,'制度詳細'!$J$28&lt;=EOMONTH(AE$77,0)),"◆","")),IF(MAX('制度詳細'!$H$28,AE$77)&lt;=MIN(IF('制度詳細'!$I$28="",EOMONTH(AE$77,0),'制度詳細'!$I$28),EOMONTH(AE$77,0)),"■",IF(AND('制度詳細'!$J$28&lt;&gt;"",'制度詳細'!$J$28&gt;=AE$77,'制度詳細'!$J$28&lt;=EOMONTH(AE$77,0)),"◆","")))</x:f>
        <x:v>■</x:v>
      </x:c>
      <x:c r="AF82" s="57" t="str">
        <x:f>IF('制度詳細'!$H$28="",IF('制度詳細'!$J$28="","",IF(AND('制度詳細'!$J$28&gt;=AF$77,'制度詳細'!$J$28&lt;=EOMONTH(AF$77,0)),"◆","")),IF(MAX('制度詳細'!$H$28,AF$77)&lt;=MIN(IF('制度詳細'!$I$28="",EOMONTH(AF$77,0),'制度詳細'!$I$28),EOMONTH(AF$77,0)),"■",IF(AND('制度詳細'!$J$28&lt;&gt;"",'制度詳細'!$J$28&gt;=AF$77,'制度詳細'!$J$28&lt;=EOMONTH(AF$77,0)),"◆","")))</x:f>
        <x:v>■</x:v>
      </x:c>
      <x:c r="AG82" s="57" t="str">
        <x:f>IF('制度詳細'!$H$28="",IF('制度詳細'!$J$28="","",IF(AND('制度詳細'!$J$28&gt;=AG$77,'制度詳細'!$J$28&lt;=EOMONTH(AG$77,0)),"◆","")),IF(MAX('制度詳細'!$H$28,AG$77)&lt;=MIN(IF('制度詳細'!$I$28="",EOMONTH(AG$77,0),'制度詳細'!$I$28),EOMONTH(AG$77,0)),"■",IF(AND('制度詳細'!$J$28&lt;&gt;"",'制度詳細'!$J$28&gt;=AG$77,'制度詳細'!$J$28&lt;=EOMONTH(AG$77,0)),"◆","")))</x:f>
        <x:v>■</x:v>
      </x:c>
      <x:c r="AH82" s="57" t="str">
        <x:f>IF('制度詳細'!$H$28="",IF('制度詳細'!$J$28="","",IF(AND('制度詳細'!$J$28&gt;=AH$77,'制度詳細'!$J$28&lt;=EOMONTH(AH$77,0)),"◆","")),IF(MAX('制度詳細'!$H$28,AH$77)&lt;=MIN(IF('制度詳細'!$I$28="",EOMONTH(AH$77,0),'制度詳細'!$I$28),EOMONTH(AH$77,0)),"■",IF(AND('制度詳細'!$J$28&lt;&gt;"",'制度詳細'!$J$28&gt;=AH$77,'制度詳細'!$J$28&lt;=EOMONTH(AH$77,0)),"◆","")))</x:f>
        <x:v>■</x:v>
      </x:c>
      <x:c r="AI82" s="57" t="str">
        <x:f>IF('制度詳細'!$H$28="",IF('制度詳細'!$J$28="","",IF(AND('制度詳細'!$J$28&gt;=AI$77,'制度詳細'!$J$28&lt;=EOMONTH(AI$77,0)),"◆","")),IF(MAX('制度詳細'!$H$28,AI$77)&lt;=MIN(IF('制度詳細'!$I$28="",EOMONTH(AI$77,0),'制度詳細'!$I$28),EOMONTH(AI$77,0)),"■",IF(AND('制度詳細'!$J$28&lt;&gt;"",'制度詳細'!$J$28&gt;=AI$77,'制度詳細'!$J$28&lt;=EOMONTH(AI$77,0)),"◆","")))</x:f>
        <x:v>■</x:v>
      </x:c>
      <x:c r="AJ82" s="57" t="str">
        <x:f>IF('制度詳細'!$H$28="",IF('制度詳細'!$J$28="","",IF(AND('制度詳細'!$J$28&gt;=AJ$77,'制度詳細'!$J$28&lt;=EOMONTH(AJ$77,0)),"◆","")),IF(MAX('制度詳細'!$H$28,AJ$77)&lt;=MIN(IF('制度詳細'!$I$28="",EOMONTH(AJ$77,0),'制度詳細'!$I$28),EOMONTH(AJ$77,0)),"■",IF(AND('制度詳細'!$J$28&lt;&gt;"",'制度詳細'!$J$28&gt;=AJ$77,'制度詳細'!$J$28&lt;=EOMONTH(AJ$77,0)),"◆","")))</x:f>
        <x:v>■</x:v>
      </x:c>
      <x:c r="AK82" s="57" t="str">
        <x:f>IF('制度詳細'!$H$28="",IF('制度詳細'!$J$28="","",IF(AND('制度詳細'!$J$28&gt;=AK$77,'制度詳細'!$J$28&lt;=EOMONTH(AK$77,0)),"◆","")),IF(MAX('制度詳細'!$H$28,AK$77)&lt;=MIN(IF('制度詳細'!$I$28="",EOMONTH(AK$77,0),'制度詳細'!$I$28),EOMONTH(AK$77,0)),"■",IF(AND('制度詳細'!$J$28&lt;&gt;"",'制度詳細'!$J$28&gt;=AK$77,'制度詳細'!$J$28&lt;=EOMONTH(AK$77,0)),"◆","")))</x:f>
        <x:v>■</x:v>
      </x:c>
      <x:c r="AL82" s="57" t="str">
        <x:f>IF('制度詳細'!$H$28="",IF('制度詳細'!$J$28="","",IF(AND('制度詳細'!$J$28&gt;=AL$77,'制度詳細'!$J$28&lt;=EOMONTH(AL$77,0)),"◆","")),IF(MAX('制度詳細'!$H$28,AL$77)&lt;=MIN(IF('制度詳細'!$I$28="",EOMONTH(AL$77,0),'制度詳細'!$I$28),EOMONTH(AL$77,0)),"■",IF(AND('制度詳細'!$J$28&lt;&gt;"",'制度詳細'!$J$28&gt;=AL$77,'制度詳細'!$J$28&lt;=EOMONTH(AL$77,0)),"◆","")))</x:f>
        <x:v>■</x:v>
      </x:c>
      <x:c r="AM82" s="57" t="str">
        <x:f>IF('制度詳細'!$H$28="",IF('制度詳細'!$J$28="","",IF(AND('制度詳細'!$J$28&gt;=AM$77,'制度詳細'!$J$28&lt;=EOMONTH(AM$77,0)),"◆","")),IF(MAX('制度詳細'!$H$28,AM$77)&lt;=MIN(IF('制度詳細'!$I$28="",EOMONTH(AM$77,0),'制度詳細'!$I$28),EOMONTH(AM$77,0)),"■",IF(AND('制度詳細'!$J$28&lt;&gt;"",'制度詳細'!$J$28&gt;=AM$77,'制度詳細'!$J$28&lt;=EOMONTH(AM$77,0)),"◆","")))</x:f>
        <x:v>■</x:v>
      </x:c>
      <x:c r="AN82" s="57" t="str">
        <x:f>IF('制度詳細'!$H$28="",IF('制度詳細'!$J$28="","",IF(AND('制度詳細'!$J$28&gt;=AN$77,'制度詳細'!$J$28&lt;=EOMONTH(AN$77,0)),"◆","")),IF(MAX('制度詳細'!$H$28,AN$77)&lt;=MIN(IF('制度詳細'!$I$28="",EOMONTH(AN$77,0),'制度詳細'!$I$28),EOMONTH(AN$77,0)),"■",IF(AND('制度詳細'!$J$28&lt;&gt;"",'制度詳細'!$J$28&gt;=AN$77,'制度詳細'!$J$28&lt;=EOMONTH(AN$77,0)),"◆","")))</x:f>
        <x:v>■</x:v>
      </x:c>
      <x:c r="AO82" s="57" t="str">
        <x:f>IF('制度詳細'!$H$28="",IF('制度詳細'!$J$28="","",IF(AND('制度詳細'!$J$28&gt;=AO$77,'制度詳細'!$J$28&lt;=EOMONTH(AO$77,0)),"◆","")),IF(MAX('制度詳細'!$H$28,AO$77)&lt;=MIN(IF('制度詳細'!$I$28="",EOMONTH(AO$77,0),'制度詳細'!$I$28),EOMONTH(AO$77,0)),"■",IF(AND('制度詳細'!$J$28&lt;&gt;"",'制度詳細'!$J$28&gt;=AO$77,'制度詳細'!$J$28&lt;=EOMONTH(AO$77,0)),"◆","")))</x:f>
        <x:v>■</x:v>
      </x:c>
      <x:c r="AP82" s="57" t="str">
        <x:f>IF('制度詳細'!$H$28="",IF('制度詳細'!$J$28="","",IF(AND('制度詳細'!$J$28&gt;=AP$77,'制度詳細'!$J$28&lt;=EOMONTH(AP$77,0)),"◆","")),IF(MAX('制度詳細'!$H$28,AP$77)&lt;=MIN(IF('制度詳細'!$I$28="",EOMONTH(AP$77,0),'制度詳細'!$I$28),EOMONTH(AP$77,0)),"■",IF(AND('制度詳細'!$J$28&lt;&gt;"",'制度詳細'!$J$28&gt;=AP$77,'制度詳細'!$J$28&lt;=EOMONTH(AP$77,0)),"◆","")))</x:f>
        <x:v>■</x:v>
      </x:c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</x:row>
    <x:row r="85" ht="38" customHeight="1">
      <x:c r="A85" s="4" t="str">
        <x:v>04  ベトナム</x:v>
      </x:c>
      <x:c r="B85" s="4" t="str">
        <x:v>04  ベトナム</x:v>
      </x:c>
      <x:c r="C85" s="4" t="str">
        <x:v>04  ベトナム</x:v>
      </x:c>
      <x:c r="D85" s="4" t="str">
        <x:v>04  ベトナム</x:v>
      </x:c>
      <x:c r="E85" s="4" t="str">
        <x:v>04  ベトナム</x:v>
      </x:c>
      <x:c r="F85" s="4" t="str">
        <x:v>04  ベトナム</x:v>
      </x:c>
      <x:c r="G85" s="4" t="str">
        <x:v>04  ベトナム</x:v>
      </x:c>
      <x:c r="H85" s="4" t="str">
        <x:v>04  ベトナム</x:v>
      </x:c>
      <x:c r="I85" s="4" t="str">
        <x:v>04  ベトナム</x:v>
      </x:c>
      <x:c r="J85" s="4" t="str">
        <x:v>04  ベトナム</x:v>
      </x:c>
      <x:c r="K85" s="4" t="str">
        <x:v>04  ベトナム</x:v>
      </x:c>
      <x:c r="L85" s="4" t="str">
        <x:v>04  ベトナム</x:v>
      </x:c>
      <x:c r="M85" s="4" t="str">
        <x:v>04  ベトナム</x:v>
      </x:c>
      <x:c r="N85" s="4" t="str">
        <x:v>04  ベトナム</x:v>
      </x:c>
      <x:c r="O85" s="4" t="str">
        <x:v>04  ベトナム</x:v>
      </x:c>
      <x:c r="P85" s="4" t="str">
        <x:v>04  ベトナム</x:v>
      </x:c>
      <x:c r="Q85" s="4" t="str">
        <x:v>04  ベトナム</x:v>
      </x:c>
      <x:c r="R85" s="4" t="str">
        <x:v>04  ベトナム</x:v>
      </x:c>
      <x:c r="S85" s="4" t="str">
        <x:v>04  ベトナム</x:v>
      </x:c>
      <x:c r="T85" s="4" t="str">
        <x:v>04  ベトナム</x:v>
      </x:c>
      <x:c r="U85" s="4" t="str">
        <x:v>04  ベトナム</x:v>
      </x:c>
      <x:c r="V85" s="4" t="str">
        <x:v>04  ベトナム</x:v>
      </x:c>
      <x:c r="W85" s="4" t="str">
        <x:v>04  ベトナム</x:v>
      </x:c>
      <x:c r="X85" s="4" t="str">
        <x:v>04  ベトナム</x:v>
      </x:c>
      <x:c r="Y85" s="4" t="str">
        <x:v>04  ベトナム</x:v>
      </x:c>
      <x:c r="Z85" s="4" t="str">
        <x:v>04  ベトナム</x:v>
      </x:c>
      <x:c r="AA85" s="4" t="str">
        <x:v>04  ベトナム</x:v>
      </x:c>
      <x:c r="AB85" s="4" t="str">
        <x:v>04  ベトナム</x:v>
      </x:c>
      <x:c r="AC85" s="4" t="str">
        <x:v>04  ベトナム</x:v>
      </x:c>
      <x:c r="AD85" s="4" t="str">
        <x:v>04  ベトナム</x:v>
      </x:c>
      <x:c r="AE85" s="4" t="str">
        <x:v>04  ベトナム</x:v>
      </x:c>
      <x:c r="AF85" s="4" t="str">
        <x:v>04  ベトナム</x:v>
      </x:c>
      <x:c r="AG85" s="4" t="str">
        <x:v>04  ベトナム</x:v>
      </x:c>
      <x:c r="AH85" s="4" t="str">
        <x:v>04  ベトナム</x:v>
      </x:c>
      <x:c r="AI85" s="4" t="str">
        <x:v>04  ベトナム</x:v>
      </x:c>
      <x:c r="AJ85" s="4" t="str">
        <x:v>04  ベトナム</x:v>
      </x:c>
      <x:c r="AK85" s="4" t="str">
        <x:v>04  ベトナム</x:v>
      </x:c>
      <x:c r="AL85" s="4" t="str">
        <x:v>04  ベトナム</x:v>
      </x:c>
      <x:c r="AM85" s="4" t="str">
        <x:v>04  ベトナム</x:v>
      </x:c>
      <x:c r="AN85" s="4" t="str">
        <x:v>04  ベトナム</x:v>
      </x:c>
      <x:c r="AO85" s="4" t="str">
        <x:v>04  ベトナム</x:v>
      </x:c>
      <x:c r="AP85" s="4" t="str">
        <x:v>04  ベトナム</x:v>
      </x:c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</x:row>
    <x:row r="86" ht="34" customHeight="1">
      <x:c r="A86" s="7" t="str">
        <x:v>販売系列：初期値はBEV/HEV/ICE。販売未入力のため線なし。台数・統計範囲をそろえ、制度の対象条件と照合する。</x:v>
      </x:c>
      <x:c r="B86" s="7" t="str">
        <x:v>販売系列：初期値はBEV/HEV/ICE。販売未入力のため線なし。台数・統計範囲をそろえ、制度の対象条件と照合する。</x:v>
      </x:c>
      <x:c r="C86" s="7" t="str">
        <x:v>販売系列：初期値はBEV/HEV/ICE。販売未入力のため線なし。台数・統計範囲をそろえ、制度の対象条件と照合する。</x:v>
      </x:c>
      <x:c r="D86" s="7" t="str">
        <x:v>販売系列：初期値はBEV/HEV/ICE。販売未入力のため線なし。台数・統計範囲をそろえ、制度の対象条件と照合する。</x:v>
      </x:c>
      <x:c r="E86" s="7" t="str">
        <x:v>販売系列：初期値はBEV/HEV/ICE。販売未入力のため線なし。台数・統計範囲をそろえ、制度の対象条件と照合する。</x:v>
      </x:c>
      <x:c r="F86" s="7" t="str">
        <x:v>販売系列：初期値はBEV/HEV/ICE。販売未入力のため線なし。台数・統計範囲をそろえ、制度の対象条件と照合する。</x:v>
      </x:c>
      <x:c r="G86" s="7" t="str">
        <x:v>販売系列：初期値はBEV/HEV/ICE。販売未入力のため線なし。台数・統計範囲をそろえ、制度の対象条件と照合する。</x:v>
      </x:c>
      <x:c r="H86" s="7" t="str">
        <x:v>販売系列：初期値はBEV/HEV/ICE。販売未入力のため線なし。台数・統計範囲をそろえ、制度の対象条件と照合する。</x:v>
      </x:c>
      <x:c r="I86" s="7" t="str">
        <x:v>販売系列：初期値はBEV/HEV/ICE。販売未入力のため線なし。台数・統計範囲をそろえ、制度の対象条件と照合する。</x:v>
      </x:c>
      <x:c r="J86" s="7" t="str">
        <x:v>販売系列：初期値はBEV/HEV/ICE。販売未入力のため線なし。台数・統計範囲をそろえ、制度の対象条件と照合する。</x:v>
      </x:c>
      <x:c r="K86" s="7" t="str">
        <x:v>販売系列：初期値はBEV/HEV/ICE。販売未入力のため線なし。台数・統計範囲をそろえ、制度の対象条件と照合する。</x:v>
      </x:c>
      <x:c r="L86" s="7" t="str">
        <x:v>販売系列：初期値はBEV/HEV/ICE。販売未入力のため線なし。台数・統計範囲をそろえ、制度の対象条件と照合する。</x:v>
      </x:c>
      <x:c r="M86" s="7" t="str">
        <x:v>販売系列：初期値はBEV/HEV/ICE。販売未入力のため線なし。台数・統計範囲をそろえ、制度の対象条件と照合する。</x:v>
      </x:c>
      <x:c r="N86" s="7" t="str">
        <x:v>販売系列：初期値はBEV/HEV/ICE。販売未入力のため線なし。台数・統計範囲をそろえ、制度の対象条件と照合する。</x:v>
      </x:c>
      <x:c r="O86" s="7" t="str">
        <x:v>販売系列：初期値はBEV/HEV/ICE。販売未入力のため線なし。台数・統計範囲をそろえ、制度の対象条件と照合する。</x:v>
      </x:c>
      <x:c r="P86" s="7" t="str">
        <x:v>販売系列：初期値はBEV/HEV/ICE。販売未入力のため線なし。台数・統計範囲をそろえ、制度の対象条件と照合する。</x:v>
      </x:c>
      <x:c r="Q86" s="7" t="str">
        <x:v>販売系列：初期値はBEV/HEV/ICE。販売未入力のため線なし。台数・統計範囲をそろえ、制度の対象条件と照合する。</x:v>
      </x:c>
      <x:c r="R86" s="7" t="str">
        <x:v>販売系列：初期値はBEV/HEV/ICE。販売未入力のため線なし。台数・統計範囲をそろえ、制度の対象条件と照合する。</x:v>
      </x:c>
      <x:c r="S86" s="7" t="str">
        <x:v>販売系列：初期値はBEV/HEV/ICE。販売未入力のため線なし。台数・統計範囲をそろえ、制度の対象条件と照合する。</x:v>
      </x:c>
      <x:c r="T86" s="7" t="str">
        <x:v>販売系列：初期値はBEV/HEV/ICE。販売未入力のため線なし。台数・統計範囲をそろえ、制度の対象条件と照合する。</x:v>
      </x:c>
      <x:c r="U86" s="7" t="str">
        <x:v>販売系列：初期値はBEV/HEV/ICE。販売未入力のため線なし。台数・統計範囲をそろえ、制度の対象条件と照合する。</x:v>
      </x:c>
      <x:c r="V86" s="7" t="str">
        <x:v>販売系列：初期値はBEV/HEV/ICE。販売未入力のため線なし。台数・統計範囲をそろえ、制度の対象条件と照合する。</x:v>
      </x:c>
      <x:c r="W86" s="7" t="str">
        <x:v>販売系列：初期値はBEV/HEV/ICE。販売未入力のため線なし。台数・統計範囲をそろえ、制度の対象条件と照合する。</x:v>
      </x:c>
      <x:c r="X86" s="7" t="str">
        <x:v>販売系列：初期値はBEV/HEV/ICE。販売未入力のため線なし。台数・統計範囲をそろえ、制度の対象条件と照合する。</x:v>
      </x:c>
      <x:c r="Y86" s="7" t="str">
        <x:v>販売系列：初期値はBEV/HEV/ICE。販売未入力のため線なし。台数・統計範囲をそろえ、制度の対象条件と照合する。</x:v>
      </x:c>
      <x:c r="Z86" s="7" t="str">
        <x:v>販売系列：初期値はBEV/HEV/ICE。販売未入力のため線なし。台数・統計範囲をそろえ、制度の対象条件と照合する。</x:v>
      </x:c>
      <x:c r="AA86" s="7" t="str">
        <x:v>販売系列：初期値はBEV/HEV/ICE。販売未入力のため線なし。台数・統計範囲をそろえ、制度の対象条件と照合する。</x:v>
      </x:c>
      <x:c r="AB86" s="7" t="str">
        <x:v>販売系列：初期値はBEV/HEV/ICE。販売未入力のため線なし。台数・統計範囲をそろえ、制度の対象条件と照合する。</x:v>
      </x:c>
      <x:c r="AC86" s="7" t="str">
        <x:v>販売系列：初期値はBEV/HEV/ICE。販売未入力のため線なし。台数・統計範囲をそろえ、制度の対象条件と照合する。</x:v>
      </x:c>
      <x:c r="AD86" s="7" t="str">
        <x:v>販売系列：初期値はBEV/HEV/ICE。販売未入力のため線なし。台数・統計範囲をそろえ、制度の対象条件と照合する。</x:v>
      </x:c>
      <x:c r="AE86" s="7" t="str">
        <x:v>販売系列：初期値はBEV/HEV/ICE。販売未入力のため線なし。台数・統計範囲をそろえ、制度の対象条件と照合する。</x:v>
      </x:c>
      <x:c r="AF86" s="7" t="str">
        <x:v>販売系列：初期値はBEV/HEV/ICE。販売未入力のため線なし。台数・統計範囲をそろえ、制度の対象条件と照合する。</x:v>
      </x:c>
      <x:c r="AG86" s="7" t="str">
        <x:v>販売系列：初期値はBEV/HEV/ICE。販売未入力のため線なし。台数・統計範囲をそろえ、制度の対象条件と照合する。</x:v>
      </x:c>
      <x:c r="AH86" s="7" t="str">
        <x:v>販売系列：初期値はBEV/HEV/ICE。販売未入力のため線なし。台数・統計範囲をそろえ、制度の対象条件と照合する。</x:v>
      </x:c>
      <x:c r="AI86" s="7" t="str">
        <x:v>販売系列：初期値はBEV/HEV/ICE。販売未入力のため線なし。台数・統計範囲をそろえ、制度の対象条件と照合する。</x:v>
      </x:c>
      <x:c r="AJ86" s="7" t="str">
        <x:v>販売系列：初期値はBEV/HEV/ICE。販売未入力のため線なし。台数・統計範囲をそろえ、制度の対象条件と照合する。</x:v>
      </x:c>
      <x:c r="AK86" s="7" t="str">
        <x:v>販売系列：初期値はBEV/HEV/ICE。販売未入力のため線なし。台数・統計範囲をそろえ、制度の対象条件と照合する。</x:v>
      </x:c>
      <x:c r="AL86" s="7" t="str">
        <x:v>販売系列：初期値はBEV/HEV/ICE。販売未入力のため線なし。台数・統計範囲をそろえ、制度の対象条件と照合する。</x:v>
      </x:c>
      <x:c r="AM86" s="7" t="str">
        <x:v>販売系列：初期値はBEV/HEV/ICE。販売未入力のため線なし。台数・統計範囲をそろえ、制度の対象条件と照合する。</x:v>
      </x:c>
      <x:c r="AN86" s="7" t="str">
        <x:v>販売系列：初期値はBEV/HEV/ICE。販売未入力のため線なし。台数・統計範囲をそろえ、制度の対象条件と照合する。</x:v>
      </x:c>
      <x:c r="AO86" s="7" t="str">
        <x:v>販売系列：初期値はBEV/HEV/ICE。販売未入力のため線なし。台数・統計範囲をそろえ、制度の対象条件と照合する。</x:v>
      </x:c>
      <x:c r="AP86" s="7" t="str">
        <x:v>販売系列：初期値はBEV/HEV/ICE。販売未入力のため線なし。台数・統計範囲をそろえ、制度の対象条件と照合する。</x:v>
      </x:c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</x:row>
    <x:row r="87" ht="23" customHeight="1">
      <x:c r="A87" s="37" t="str">
        <x:v>着目点
登録料0%は2030年まで。
特別消費税は別の制度。
国内車の短期減税は前倒しと反動を確認。</x:v>
      </x:c>
      <x:c r="B87" s="37"/>
      <x:c r="C87" s="37"/>
      <x:c r="D87" s="37"/>
      <x:c r="E87" s="37"/>
      <x:c r="F87" s="37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</x:row>
    <x:row r="88" ht="23" customHeight="1">
      <x:c r="A88" s="37"/>
      <x:c r="B88" s="37"/>
      <x:c r="C88" s="37"/>
      <x:c r="D88" s="37"/>
      <x:c r="E88" s="37"/>
      <x:c r="F88" s="37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</x:row>
    <x:row r="89" ht="23" customHeight="1">
      <x:c r="A89" s="37"/>
      <x:c r="B89" s="37"/>
      <x:c r="C89" s="37"/>
      <x:c r="D89" s="37"/>
      <x:c r="E89" s="37"/>
      <x:c r="F89" s="37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</x:row>
    <x:row r="90" ht="23" customHeight="1">
      <x:c r="A90" s="37"/>
      <x:c r="B90" s="37"/>
      <x:c r="C90" s="37"/>
      <x:c r="D90" s="37"/>
      <x:c r="E90" s="37"/>
      <x:c r="F90" s="37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</x:row>
    <x:row r="91" ht="23" customHeight="1">
      <x:c r="A91" s="37"/>
      <x:c r="B91" s="37"/>
      <x:c r="C91" s="37"/>
      <x:c r="D91" s="37"/>
      <x:c r="E91" s="37"/>
      <x:c r="F91" s="37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</x:row>
    <x:row r="92" ht="23" customHeight="1">
      <x:c r="A92" s="37"/>
      <x:c r="B92" s="37"/>
      <x:c r="C92" s="37"/>
      <x:c r="D92" s="37"/>
      <x:c r="E92" s="37"/>
      <x:c r="F92" s="37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</x:row>
    <x:row r="93" ht="23" customHeight="1">
      <x:c r="A93" s="37"/>
      <x:c r="B93" s="37"/>
      <x:c r="C93" s="37"/>
      <x:c r="D93" s="37"/>
      <x:c r="E93" s="37"/>
      <x:c r="F93" s="37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</x:row>
    <x:row r="94" ht="23" customHeight="1">
      <x:c r="A94" s="37"/>
      <x:c r="B94" s="37"/>
      <x:c r="C94" s="37"/>
      <x:c r="D94" s="37"/>
      <x:c r="E94" s="37"/>
      <x:c r="F94" s="37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</x:row>
    <x:row r="95" ht="23" customHeight="1">
      <x:c r="A95" s="37"/>
      <x:c r="B95" s="37"/>
      <x:c r="C95" s="37"/>
      <x:c r="D95" s="37"/>
      <x:c r="E95" s="37"/>
      <x:c r="F95" s="37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</x:row>
    <x:row r="96" ht="23" customHeight="1">
      <x:c r="A96" s="37"/>
      <x:c r="B96" s="37"/>
      <x:c r="C96" s="37"/>
      <x:c r="D96" s="37"/>
      <x:c r="E96" s="37"/>
      <x:c r="F96" s="37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</x:row>
    <x:row r="97" ht="23" customHeight="1">
      <x:c r="A97" s="37"/>
      <x:c r="B97" s="37"/>
      <x:c r="C97" s="37"/>
      <x:c r="D97" s="37"/>
      <x:c r="E97" s="37"/>
      <x:c r="F97" s="37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</x:row>
    <x:row r="98" ht="23" customHeight="1">
      <x:c r="A98" s="37"/>
      <x:c r="B98" s="37"/>
      <x:c r="C98" s="37"/>
      <x:c r="D98" s="37"/>
      <x:c r="E98" s="37"/>
      <x:c r="F98" s="37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</x:row>
    <x:row r="99" ht="22" customHeight="1">
      <x:c r="A99" s="40" t="str">
        <x:f>'月次販売入力'!K6</x:f>
        <x:v>BEV</x:v>
      </x:c>
      <x:c r="B99" s="40"/>
      <x:c r="C99" s="43" t="str">
        <x:f>'月次販売入力'!L6</x:f>
        <x:v>HEV</x:v>
      </x:c>
      <x:c r="D99" s="43"/>
      <x:c r="E99" s="46" t="str">
        <x:f>'月次販売入力'!M6</x:f>
        <x:v>ICE</x:v>
      </x:c>
      <x:c r="F99" s="46"/>
      <x:c r="G99" s="48" t="str">
        <x:f>IF(OR(MONTH(G100)=1,0=0),TEXT(G100,"yyyy"),"")</x:f>
        <x:v>2024</x:v>
      </x:c>
      <x:c r="H99" s="48" t="str">
        <x:f>IF(OR(MONTH(H100)=1,1=0),TEXT(H100,"yyyy"),"")</x:f>
      </x:c>
      <x:c r="I99" s="48" t="str">
        <x:f>IF(OR(MONTH(I100)=1,2=0),TEXT(I100,"yyyy"),"")</x:f>
      </x:c>
      <x:c r="J99" s="48" t="str">
        <x:f>IF(OR(MONTH(J100)=1,3=0),TEXT(J100,"yyyy"),"")</x:f>
      </x:c>
      <x:c r="K99" s="48" t="str">
        <x:f>IF(OR(MONTH(K100)=1,4=0),TEXT(K100,"yyyy"),"")</x:f>
      </x:c>
      <x:c r="L99" s="48" t="str">
        <x:f>IF(OR(MONTH(L100)=1,5=0),TEXT(L100,"yyyy"),"")</x:f>
      </x:c>
      <x:c r="M99" s="48" t="str">
        <x:f>IF(OR(MONTH(M100)=1,6=0),TEXT(M100,"yyyy"),"")</x:f>
      </x:c>
      <x:c r="N99" s="48" t="str">
        <x:f>IF(OR(MONTH(N100)=1,7=0),TEXT(N100,"yyyy"),"")</x:f>
      </x:c>
      <x:c r="O99" s="48" t="str">
        <x:f>IF(OR(MONTH(O100)=1,8=0),TEXT(O100,"yyyy"),"")</x:f>
      </x:c>
      <x:c r="P99" s="48" t="str">
        <x:f>IF(OR(MONTH(P100)=1,9=0),TEXT(P100,"yyyy"),"")</x:f>
      </x:c>
      <x:c r="Q99" s="48" t="str">
        <x:f>IF(OR(MONTH(Q100)=1,10=0),TEXT(Q100,"yyyy"),"")</x:f>
      </x:c>
      <x:c r="R99" s="48" t="str">
        <x:f>IF(OR(MONTH(R100)=1,11=0),TEXT(R100,"yyyy"),"")</x:f>
      </x:c>
      <x:c r="S99" s="48" t="str">
        <x:f>IF(OR(MONTH(S100)=1,12=0),TEXT(S100,"yyyy"),"")</x:f>
        <x:v>2025</x:v>
      </x:c>
      <x:c r="T99" s="48" t="str">
        <x:f>IF(OR(MONTH(T100)=1,13=0),TEXT(T100,"yyyy"),"")</x:f>
      </x:c>
      <x:c r="U99" s="48" t="str">
        <x:f>IF(OR(MONTH(U100)=1,14=0),TEXT(U100,"yyyy"),"")</x:f>
      </x:c>
      <x:c r="V99" s="48" t="str">
        <x:f>IF(OR(MONTH(V100)=1,15=0),TEXT(V100,"yyyy"),"")</x:f>
      </x:c>
      <x:c r="W99" s="48" t="str">
        <x:f>IF(OR(MONTH(W100)=1,16=0),TEXT(W100,"yyyy"),"")</x:f>
      </x:c>
      <x:c r="X99" s="48" t="str">
        <x:f>IF(OR(MONTH(X100)=1,17=0),TEXT(X100,"yyyy"),"")</x:f>
      </x:c>
      <x:c r="Y99" s="48" t="str">
        <x:f>IF(OR(MONTH(Y100)=1,18=0),TEXT(Y100,"yyyy"),"")</x:f>
      </x:c>
      <x:c r="Z99" s="48" t="str">
        <x:f>IF(OR(MONTH(Z100)=1,19=0),TEXT(Z100,"yyyy"),"")</x:f>
      </x:c>
      <x:c r="AA99" s="48" t="str">
        <x:f>IF(OR(MONTH(AA100)=1,20=0),TEXT(AA100,"yyyy"),"")</x:f>
      </x:c>
      <x:c r="AB99" s="48" t="str">
        <x:f>IF(OR(MONTH(AB100)=1,21=0),TEXT(AB100,"yyyy"),"")</x:f>
      </x:c>
      <x:c r="AC99" s="48" t="str">
        <x:f>IF(OR(MONTH(AC100)=1,22=0),TEXT(AC100,"yyyy"),"")</x:f>
      </x:c>
      <x:c r="AD99" s="48" t="str">
        <x:f>IF(OR(MONTH(AD100)=1,23=0),TEXT(AD100,"yyyy"),"")</x:f>
      </x:c>
      <x:c r="AE99" s="48" t="str">
        <x:f>IF(OR(MONTH(AE100)=1,24=0),TEXT(AE100,"yyyy"),"")</x:f>
        <x:v>2026</x:v>
      </x:c>
      <x:c r="AF99" s="48" t="str">
        <x:f>IF(OR(MONTH(AF100)=1,25=0),TEXT(AF100,"yyyy"),"")</x:f>
      </x:c>
      <x:c r="AG99" s="48" t="str">
        <x:f>IF(OR(MONTH(AG100)=1,26=0),TEXT(AG100,"yyyy"),"")</x:f>
      </x:c>
      <x:c r="AH99" s="48" t="str">
        <x:f>IF(OR(MONTH(AH100)=1,27=0),TEXT(AH100,"yyyy"),"")</x:f>
      </x:c>
      <x:c r="AI99" s="48" t="str">
        <x:f>IF(OR(MONTH(AI100)=1,28=0),TEXT(AI100,"yyyy"),"")</x:f>
      </x:c>
      <x:c r="AJ99" s="48" t="str">
        <x:f>IF(OR(MONTH(AJ100)=1,29=0),TEXT(AJ100,"yyyy"),"")</x:f>
      </x:c>
      <x:c r="AK99" s="48" t="str">
        <x:f>IF(OR(MONTH(AK100)=1,30=0),TEXT(AK100,"yyyy"),"")</x:f>
      </x:c>
      <x:c r="AL99" s="48" t="str">
        <x:f>IF(OR(MONTH(AL100)=1,31=0),TEXT(AL100,"yyyy"),"")</x:f>
      </x:c>
      <x:c r="AM99" s="48" t="str">
        <x:f>IF(OR(MONTH(AM100)=1,32=0),TEXT(AM100,"yyyy"),"")</x:f>
      </x:c>
      <x:c r="AN99" s="48" t="str">
        <x:f>IF(OR(MONTH(AN100)=1,33=0),TEXT(AN100,"yyyy"),"")</x:f>
      </x:c>
      <x:c r="AO99" s="48" t="str">
        <x:f>IF(OR(MONTH(AO100)=1,34=0),TEXT(AO100,"yyyy"),"")</x:f>
      </x:c>
      <x:c r="AP99" s="48" t="str">
        <x:f>IF(OR(MONTH(AP100)=1,35=0),TEXT(AP100,"yyyy"),"")</x:f>
      </x:c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</x:row>
    <x:row r="100" ht="35" customHeight="1">
      <x:c r="A100" s="1" t="str">
        <x:v>制度／対象条件は「制度詳細」参照</x:v>
      </x:c>
      <x:c r="B100" s="1"/>
      <x:c r="C100" s="1"/>
      <x:c r="D100" s="1"/>
      <x:c r="E100" s="1"/>
      <x:c r="F100" s="1"/>
      <x:c r="G100" s="52" t="n">
        <x:f>EDATE($E$5,0)</x:f>
        <x:v>45292</x:v>
      </x:c>
      <x:c r="H100" s="52" t="n">
        <x:f>EDATE($E$5,1)</x:f>
        <x:v>45323</x:v>
      </x:c>
      <x:c r="I100" s="52" t="n">
        <x:f>EDATE($E$5,2)</x:f>
        <x:v>45352</x:v>
      </x:c>
      <x:c r="J100" s="52" t="n">
        <x:f>EDATE($E$5,3)</x:f>
        <x:v>45383</x:v>
      </x:c>
      <x:c r="K100" s="52" t="n">
        <x:f>EDATE($E$5,4)</x:f>
        <x:v>45413</x:v>
      </x:c>
      <x:c r="L100" s="52" t="n">
        <x:f>EDATE($E$5,5)</x:f>
        <x:v>45444</x:v>
      </x:c>
      <x:c r="M100" s="52" t="n">
        <x:f>EDATE($E$5,6)</x:f>
        <x:v>45474</x:v>
      </x:c>
      <x:c r="N100" s="52" t="n">
        <x:f>EDATE($E$5,7)</x:f>
        <x:v>45505</x:v>
      </x:c>
      <x:c r="O100" s="52" t="n">
        <x:f>EDATE($E$5,8)</x:f>
        <x:v>45536</x:v>
      </x:c>
      <x:c r="P100" s="52" t="n">
        <x:f>EDATE($E$5,9)</x:f>
        <x:v>45566</x:v>
      </x:c>
      <x:c r="Q100" s="52" t="n">
        <x:f>EDATE($E$5,10)</x:f>
        <x:v>45597</x:v>
      </x:c>
      <x:c r="R100" s="52" t="n">
        <x:f>EDATE($E$5,11)</x:f>
        <x:v>45627</x:v>
      </x:c>
      <x:c r="S100" s="52" t="n">
        <x:f>EDATE($E$5,12)</x:f>
        <x:v>45658</x:v>
      </x:c>
      <x:c r="T100" s="52" t="n">
        <x:f>EDATE($E$5,13)</x:f>
        <x:v>45689</x:v>
      </x:c>
      <x:c r="U100" s="52" t="n">
        <x:f>EDATE($E$5,14)</x:f>
        <x:v>45717</x:v>
      </x:c>
      <x:c r="V100" s="52" t="n">
        <x:f>EDATE($E$5,15)</x:f>
        <x:v>45748</x:v>
      </x:c>
      <x:c r="W100" s="52" t="n">
        <x:f>EDATE($E$5,16)</x:f>
        <x:v>45778</x:v>
      </x:c>
      <x:c r="X100" s="52" t="n">
        <x:f>EDATE($E$5,17)</x:f>
        <x:v>45809</x:v>
      </x:c>
      <x:c r="Y100" s="52" t="n">
        <x:f>EDATE($E$5,18)</x:f>
        <x:v>45839</x:v>
      </x:c>
      <x:c r="Z100" s="52" t="n">
        <x:f>EDATE($E$5,19)</x:f>
        <x:v>45870</x:v>
      </x:c>
      <x:c r="AA100" s="52" t="n">
        <x:f>EDATE($E$5,20)</x:f>
        <x:v>45901</x:v>
      </x:c>
      <x:c r="AB100" s="52" t="n">
        <x:f>EDATE($E$5,21)</x:f>
        <x:v>45931</x:v>
      </x:c>
      <x:c r="AC100" s="52" t="n">
        <x:f>EDATE($E$5,22)</x:f>
        <x:v>45962</x:v>
      </x:c>
      <x:c r="AD100" s="52" t="n">
        <x:f>EDATE($E$5,23)</x:f>
        <x:v>45992</x:v>
      </x:c>
      <x:c r="AE100" s="52" t="n">
        <x:f>EDATE($E$5,24)</x:f>
        <x:v>46023</x:v>
      </x:c>
      <x:c r="AF100" s="52" t="n">
        <x:f>EDATE($E$5,25)</x:f>
        <x:v>46054</x:v>
      </x:c>
      <x:c r="AG100" s="52" t="n">
        <x:f>EDATE($E$5,26)</x:f>
        <x:v>46082</x:v>
      </x:c>
      <x:c r="AH100" s="52" t="n">
        <x:f>EDATE($E$5,27)</x:f>
        <x:v>46113</x:v>
      </x:c>
      <x:c r="AI100" s="52" t="n">
        <x:f>EDATE($E$5,28)</x:f>
        <x:v>46143</x:v>
      </x:c>
      <x:c r="AJ100" s="52" t="n">
        <x:f>EDATE($E$5,29)</x:f>
        <x:v>46174</x:v>
      </x:c>
      <x:c r="AK100" s="52" t="n">
        <x:f>EDATE($E$5,30)</x:f>
        <x:v>46204</x:v>
      </x:c>
      <x:c r="AL100" s="52" t="n">
        <x:f>EDATE($E$5,31)</x:f>
        <x:v>46235</x:v>
      </x:c>
      <x:c r="AM100" s="52" t="n">
        <x:f>EDATE($E$5,32)</x:f>
        <x:v>46266</x:v>
      </x:c>
      <x:c r="AN100" s="52" t="n">
        <x:f>EDATE($E$5,33)</x:f>
        <x:v>46296</x:v>
      </x:c>
      <x:c r="AO100" s="52" t="n">
        <x:f>EDATE($E$5,34)</x:f>
        <x:v>46327</x:v>
      </x:c>
      <x:c r="AP100" s="52" t="n">
        <x:f>EDATE($E$5,35)</x:f>
        <x:v>46357</x:v>
      </x:c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</x:row>
    <x:row r="101" ht="30" customHeight="1">
      <x:c r="A101" s="54" t="str">
        <x:v>VN01 BEV：登録料0%当初期間</x:v>
      </x:c>
      <x:c r="B101" s="54"/>
      <x:c r="C101" s="54"/>
      <x:c r="D101" s="54"/>
      <x:c r="E101" s="54"/>
      <x:c r="F101" s="54"/>
      <x:c r="G101" s="57" t="str">
        <x:f>IF('制度詳細'!$H$29="",IF('制度詳細'!$J$29="","",IF(AND('制度詳細'!$J$29&gt;=G$100,'制度詳細'!$J$29&lt;=EOMONTH(G$100,0)),"◆","")),IF(MAX('制度詳細'!$H$29,G$100)&lt;=MIN(IF('制度詳細'!$I$29="",EOMONTH(G$100,0),'制度詳細'!$I$29),EOMONTH(G$100,0)),"■",IF(AND('制度詳細'!$J$29&lt;&gt;"",'制度詳細'!$J$29&gt;=G$100,'制度詳細'!$J$29&lt;=EOMONTH(G$100,0)),"◆","")))</x:f>
        <x:v>■</x:v>
      </x:c>
      <x:c r="H101" s="57" t="str">
        <x:f>IF('制度詳細'!$H$29="",IF('制度詳細'!$J$29="","",IF(AND('制度詳細'!$J$29&gt;=H$100,'制度詳細'!$J$29&lt;=EOMONTH(H$100,0)),"◆","")),IF(MAX('制度詳細'!$H$29,H$100)&lt;=MIN(IF('制度詳細'!$I$29="",EOMONTH(H$100,0),'制度詳細'!$I$29),EOMONTH(H$100,0)),"■",IF(AND('制度詳細'!$J$29&lt;&gt;"",'制度詳細'!$J$29&gt;=H$100,'制度詳細'!$J$29&lt;=EOMONTH(H$100,0)),"◆","")))</x:f>
        <x:v>■</x:v>
      </x:c>
      <x:c r="I101" s="57" t="str">
        <x:f>IF('制度詳細'!$H$29="",IF('制度詳細'!$J$29="","",IF(AND('制度詳細'!$J$29&gt;=I$100,'制度詳細'!$J$29&lt;=EOMONTH(I$100,0)),"◆","")),IF(MAX('制度詳細'!$H$29,I$100)&lt;=MIN(IF('制度詳細'!$I$29="",EOMONTH(I$100,0),'制度詳細'!$I$29),EOMONTH(I$100,0)),"■",IF(AND('制度詳細'!$J$29&lt;&gt;"",'制度詳細'!$J$29&gt;=I$100,'制度詳細'!$J$29&lt;=EOMONTH(I$100,0)),"◆","")))</x:f>
        <x:v>■</x:v>
      </x:c>
      <x:c r="J101" s="57" t="str">
        <x:f>IF('制度詳細'!$H$29="",IF('制度詳細'!$J$29="","",IF(AND('制度詳細'!$J$29&gt;=J$100,'制度詳細'!$J$29&lt;=EOMONTH(J$100,0)),"◆","")),IF(MAX('制度詳細'!$H$29,J$100)&lt;=MIN(IF('制度詳細'!$I$29="",EOMONTH(J$100,0),'制度詳細'!$I$29),EOMONTH(J$100,0)),"■",IF(AND('制度詳細'!$J$29&lt;&gt;"",'制度詳細'!$J$29&gt;=J$100,'制度詳細'!$J$29&lt;=EOMONTH(J$100,0)),"◆","")))</x:f>
        <x:v>■</x:v>
      </x:c>
      <x:c r="K101" s="57" t="str">
        <x:f>IF('制度詳細'!$H$29="",IF('制度詳細'!$J$29="","",IF(AND('制度詳細'!$J$29&gt;=K$100,'制度詳細'!$J$29&lt;=EOMONTH(K$100,0)),"◆","")),IF(MAX('制度詳細'!$H$29,K$100)&lt;=MIN(IF('制度詳細'!$I$29="",EOMONTH(K$100,0),'制度詳細'!$I$29),EOMONTH(K$100,0)),"■",IF(AND('制度詳細'!$J$29&lt;&gt;"",'制度詳細'!$J$29&gt;=K$100,'制度詳細'!$J$29&lt;=EOMONTH(K$100,0)),"◆","")))</x:f>
        <x:v>■</x:v>
      </x:c>
      <x:c r="L101" s="57" t="str">
        <x:f>IF('制度詳細'!$H$29="",IF('制度詳細'!$J$29="","",IF(AND('制度詳細'!$J$29&gt;=L$100,'制度詳細'!$J$29&lt;=EOMONTH(L$100,0)),"◆","")),IF(MAX('制度詳細'!$H$29,L$100)&lt;=MIN(IF('制度詳細'!$I$29="",EOMONTH(L$100,0),'制度詳細'!$I$29),EOMONTH(L$100,0)),"■",IF(AND('制度詳細'!$J$29&lt;&gt;"",'制度詳細'!$J$29&gt;=L$100,'制度詳細'!$J$29&lt;=EOMONTH(L$100,0)),"◆","")))</x:f>
        <x:v>■</x:v>
      </x:c>
      <x:c r="M101" s="57" t="str">
        <x:f>IF('制度詳細'!$H$29="",IF('制度詳細'!$J$29="","",IF(AND('制度詳細'!$J$29&gt;=M$100,'制度詳細'!$J$29&lt;=EOMONTH(M$100,0)),"◆","")),IF(MAX('制度詳細'!$H$29,M$100)&lt;=MIN(IF('制度詳細'!$I$29="",EOMONTH(M$100,0),'制度詳細'!$I$29),EOMONTH(M$100,0)),"■",IF(AND('制度詳細'!$J$29&lt;&gt;"",'制度詳細'!$J$29&gt;=M$100,'制度詳細'!$J$29&lt;=EOMONTH(M$100,0)),"◆","")))</x:f>
        <x:v>■</x:v>
      </x:c>
      <x:c r="N101" s="57" t="str">
        <x:f>IF('制度詳細'!$H$29="",IF('制度詳細'!$J$29="","",IF(AND('制度詳細'!$J$29&gt;=N$100,'制度詳細'!$J$29&lt;=EOMONTH(N$100,0)),"◆","")),IF(MAX('制度詳細'!$H$29,N$100)&lt;=MIN(IF('制度詳細'!$I$29="",EOMONTH(N$100,0),'制度詳細'!$I$29),EOMONTH(N$100,0)),"■",IF(AND('制度詳細'!$J$29&lt;&gt;"",'制度詳細'!$J$29&gt;=N$100,'制度詳細'!$J$29&lt;=EOMONTH(N$100,0)),"◆","")))</x:f>
        <x:v>■</x:v>
      </x:c>
      <x:c r="O101" s="57" t="str">
        <x:f>IF('制度詳細'!$H$29="",IF('制度詳細'!$J$29="","",IF(AND('制度詳細'!$J$29&gt;=O$100,'制度詳細'!$J$29&lt;=EOMONTH(O$100,0)),"◆","")),IF(MAX('制度詳細'!$H$29,O$100)&lt;=MIN(IF('制度詳細'!$I$29="",EOMONTH(O$100,0),'制度詳細'!$I$29),EOMONTH(O$100,0)),"■",IF(AND('制度詳細'!$J$29&lt;&gt;"",'制度詳細'!$J$29&gt;=O$100,'制度詳細'!$J$29&lt;=EOMONTH(O$100,0)),"◆","")))</x:f>
        <x:v>■</x:v>
      </x:c>
      <x:c r="P101" s="57" t="str">
        <x:f>IF('制度詳細'!$H$29="",IF('制度詳細'!$J$29="","",IF(AND('制度詳細'!$J$29&gt;=P$100,'制度詳細'!$J$29&lt;=EOMONTH(P$100,0)),"◆","")),IF(MAX('制度詳細'!$H$29,P$100)&lt;=MIN(IF('制度詳細'!$I$29="",EOMONTH(P$100,0),'制度詳細'!$I$29),EOMONTH(P$100,0)),"■",IF(AND('制度詳細'!$J$29&lt;&gt;"",'制度詳細'!$J$29&gt;=P$100,'制度詳細'!$J$29&lt;=EOMONTH(P$100,0)),"◆","")))</x:f>
        <x:v>■</x:v>
      </x:c>
      <x:c r="Q101" s="57" t="str">
        <x:f>IF('制度詳細'!$H$29="",IF('制度詳細'!$J$29="","",IF(AND('制度詳細'!$J$29&gt;=Q$100,'制度詳細'!$J$29&lt;=EOMONTH(Q$100,0)),"◆","")),IF(MAX('制度詳細'!$H$29,Q$100)&lt;=MIN(IF('制度詳細'!$I$29="",EOMONTH(Q$100,0),'制度詳細'!$I$29),EOMONTH(Q$100,0)),"■",IF(AND('制度詳細'!$J$29&lt;&gt;"",'制度詳細'!$J$29&gt;=Q$100,'制度詳細'!$J$29&lt;=EOMONTH(Q$100,0)),"◆","")))</x:f>
        <x:v>■</x:v>
      </x:c>
      <x:c r="R101" s="57" t="str">
        <x:f>IF('制度詳細'!$H$29="",IF('制度詳細'!$J$29="","",IF(AND('制度詳細'!$J$29&gt;=R$100,'制度詳細'!$J$29&lt;=EOMONTH(R$100,0)),"◆","")),IF(MAX('制度詳細'!$H$29,R$100)&lt;=MIN(IF('制度詳細'!$I$29="",EOMONTH(R$100,0),'制度詳細'!$I$29),EOMONTH(R$100,0)),"■",IF(AND('制度詳細'!$J$29&lt;&gt;"",'制度詳細'!$J$29&gt;=R$100,'制度詳細'!$J$29&lt;=EOMONTH(R$100,0)),"◆","")))</x:f>
        <x:v>■</x:v>
      </x:c>
      <x:c r="S101" s="57" t="str">
        <x:f>IF('制度詳細'!$H$29="",IF('制度詳細'!$J$29="","",IF(AND('制度詳細'!$J$29&gt;=S$100,'制度詳細'!$J$29&lt;=EOMONTH(S$100,0)),"◆","")),IF(MAX('制度詳細'!$H$29,S$100)&lt;=MIN(IF('制度詳細'!$I$29="",EOMONTH(S$100,0),'制度詳細'!$I$29),EOMONTH(S$100,0)),"■",IF(AND('制度詳細'!$J$29&lt;&gt;"",'制度詳細'!$J$29&gt;=S$100,'制度詳細'!$J$29&lt;=EOMONTH(S$100,0)),"◆","")))</x:f>
        <x:v>■</x:v>
      </x:c>
      <x:c r="T101" s="57" t="str">
        <x:f>IF('制度詳細'!$H$29="",IF('制度詳細'!$J$29="","",IF(AND('制度詳細'!$J$29&gt;=T$100,'制度詳細'!$J$29&lt;=EOMONTH(T$100,0)),"◆","")),IF(MAX('制度詳細'!$H$29,T$100)&lt;=MIN(IF('制度詳細'!$I$29="",EOMONTH(T$100,0),'制度詳細'!$I$29),EOMONTH(T$100,0)),"■",IF(AND('制度詳細'!$J$29&lt;&gt;"",'制度詳細'!$J$29&gt;=T$100,'制度詳細'!$J$29&lt;=EOMONTH(T$100,0)),"◆","")))</x:f>
        <x:v>■</x:v>
      </x:c>
      <x:c r="U101" s="57" t="str">
        <x:f>IF('制度詳細'!$H$29="",IF('制度詳細'!$J$29="","",IF(AND('制度詳細'!$J$29&gt;=U$100,'制度詳細'!$J$29&lt;=EOMONTH(U$100,0)),"◆","")),IF(MAX('制度詳細'!$H$29,U$100)&lt;=MIN(IF('制度詳細'!$I$29="",EOMONTH(U$100,0),'制度詳細'!$I$29),EOMONTH(U$100,0)),"■",IF(AND('制度詳細'!$J$29&lt;&gt;"",'制度詳細'!$J$29&gt;=U$100,'制度詳細'!$J$29&lt;=EOMONTH(U$100,0)),"◆","")))</x:f>
      </x:c>
      <x:c r="V101" s="57" t="str">
        <x:f>IF('制度詳細'!$H$29="",IF('制度詳細'!$J$29="","",IF(AND('制度詳細'!$J$29&gt;=V$100,'制度詳細'!$J$29&lt;=EOMONTH(V$100,0)),"◆","")),IF(MAX('制度詳細'!$H$29,V$100)&lt;=MIN(IF('制度詳細'!$I$29="",EOMONTH(V$100,0),'制度詳細'!$I$29),EOMONTH(V$100,0)),"■",IF(AND('制度詳細'!$J$29&lt;&gt;"",'制度詳細'!$J$29&gt;=V$100,'制度詳細'!$J$29&lt;=EOMONTH(V$100,0)),"◆","")))</x:f>
      </x:c>
      <x:c r="W101" s="57" t="str">
        <x:f>IF('制度詳細'!$H$29="",IF('制度詳細'!$J$29="","",IF(AND('制度詳細'!$J$29&gt;=W$100,'制度詳細'!$J$29&lt;=EOMONTH(W$100,0)),"◆","")),IF(MAX('制度詳細'!$H$29,W$100)&lt;=MIN(IF('制度詳細'!$I$29="",EOMONTH(W$100,0),'制度詳細'!$I$29),EOMONTH(W$100,0)),"■",IF(AND('制度詳細'!$J$29&lt;&gt;"",'制度詳細'!$J$29&gt;=W$100,'制度詳細'!$J$29&lt;=EOMONTH(W$100,0)),"◆","")))</x:f>
      </x:c>
      <x:c r="X101" s="57" t="str">
        <x:f>IF('制度詳細'!$H$29="",IF('制度詳細'!$J$29="","",IF(AND('制度詳細'!$J$29&gt;=X$100,'制度詳細'!$J$29&lt;=EOMONTH(X$100,0)),"◆","")),IF(MAX('制度詳細'!$H$29,X$100)&lt;=MIN(IF('制度詳細'!$I$29="",EOMONTH(X$100,0),'制度詳細'!$I$29),EOMONTH(X$100,0)),"■",IF(AND('制度詳細'!$J$29&lt;&gt;"",'制度詳細'!$J$29&gt;=X$100,'制度詳細'!$J$29&lt;=EOMONTH(X$100,0)),"◆","")))</x:f>
      </x:c>
      <x:c r="Y101" s="57" t="str">
        <x:f>IF('制度詳細'!$H$29="",IF('制度詳細'!$J$29="","",IF(AND('制度詳細'!$J$29&gt;=Y$100,'制度詳細'!$J$29&lt;=EOMONTH(Y$100,0)),"◆","")),IF(MAX('制度詳細'!$H$29,Y$100)&lt;=MIN(IF('制度詳細'!$I$29="",EOMONTH(Y$100,0),'制度詳細'!$I$29),EOMONTH(Y$100,0)),"■",IF(AND('制度詳細'!$J$29&lt;&gt;"",'制度詳細'!$J$29&gt;=Y$100,'制度詳細'!$J$29&lt;=EOMONTH(Y$100,0)),"◆","")))</x:f>
      </x:c>
      <x:c r="Z101" s="57" t="str">
        <x:f>IF('制度詳細'!$H$29="",IF('制度詳細'!$J$29="","",IF(AND('制度詳細'!$J$29&gt;=Z$100,'制度詳細'!$J$29&lt;=EOMONTH(Z$100,0)),"◆","")),IF(MAX('制度詳細'!$H$29,Z$100)&lt;=MIN(IF('制度詳細'!$I$29="",EOMONTH(Z$100,0),'制度詳細'!$I$29),EOMONTH(Z$100,0)),"■",IF(AND('制度詳細'!$J$29&lt;&gt;"",'制度詳細'!$J$29&gt;=Z$100,'制度詳細'!$J$29&lt;=EOMONTH(Z$100,0)),"◆","")))</x:f>
      </x:c>
      <x:c r="AA101" s="57" t="str">
        <x:f>IF('制度詳細'!$H$29="",IF('制度詳細'!$J$29="","",IF(AND('制度詳細'!$J$29&gt;=AA$100,'制度詳細'!$J$29&lt;=EOMONTH(AA$100,0)),"◆","")),IF(MAX('制度詳細'!$H$29,AA$100)&lt;=MIN(IF('制度詳細'!$I$29="",EOMONTH(AA$100,0),'制度詳細'!$I$29),EOMONTH(AA$100,0)),"■",IF(AND('制度詳細'!$J$29&lt;&gt;"",'制度詳細'!$J$29&gt;=AA$100,'制度詳細'!$J$29&lt;=EOMONTH(AA$100,0)),"◆","")))</x:f>
      </x:c>
      <x:c r="AB101" s="57" t="str">
        <x:f>IF('制度詳細'!$H$29="",IF('制度詳細'!$J$29="","",IF(AND('制度詳細'!$J$29&gt;=AB$100,'制度詳細'!$J$29&lt;=EOMONTH(AB$100,0)),"◆","")),IF(MAX('制度詳細'!$H$29,AB$100)&lt;=MIN(IF('制度詳細'!$I$29="",EOMONTH(AB$100,0),'制度詳細'!$I$29),EOMONTH(AB$100,0)),"■",IF(AND('制度詳細'!$J$29&lt;&gt;"",'制度詳細'!$J$29&gt;=AB$100,'制度詳細'!$J$29&lt;=EOMONTH(AB$100,0)),"◆","")))</x:f>
      </x:c>
      <x:c r="AC101" s="57" t="str">
        <x:f>IF('制度詳細'!$H$29="",IF('制度詳細'!$J$29="","",IF(AND('制度詳細'!$J$29&gt;=AC$100,'制度詳細'!$J$29&lt;=EOMONTH(AC$100,0)),"◆","")),IF(MAX('制度詳細'!$H$29,AC$100)&lt;=MIN(IF('制度詳細'!$I$29="",EOMONTH(AC$100,0),'制度詳細'!$I$29),EOMONTH(AC$100,0)),"■",IF(AND('制度詳細'!$J$29&lt;&gt;"",'制度詳細'!$J$29&gt;=AC$100,'制度詳細'!$J$29&lt;=EOMONTH(AC$100,0)),"◆","")))</x:f>
      </x:c>
      <x:c r="AD101" s="57" t="str">
        <x:f>IF('制度詳細'!$H$29="",IF('制度詳細'!$J$29="","",IF(AND('制度詳細'!$J$29&gt;=AD$100,'制度詳細'!$J$29&lt;=EOMONTH(AD$100,0)),"◆","")),IF(MAX('制度詳細'!$H$29,AD$100)&lt;=MIN(IF('制度詳細'!$I$29="",EOMONTH(AD$100,0),'制度詳細'!$I$29),EOMONTH(AD$100,0)),"■",IF(AND('制度詳細'!$J$29&lt;&gt;"",'制度詳細'!$J$29&gt;=AD$100,'制度詳細'!$J$29&lt;=EOMONTH(AD$100,0)),"◆","")))</x:f>
      </x:c>
      <x:c r="AE101" s="57" t="str">
        <x:f>IF('制度詳細'!$H$29="",IF('制度詳細'!$J$29="","",IF(AND('制度詳細'!$J$29&gt;=AE$100,'制度詳細'!$J$29&lt;=EOMONTH(AE$100,0)),"◆","")),IF(MAX('制度詳細'!$H$29,AE$100)&lt;=MIN(IF('制度詳細'!$I$29="",EOMONTH(AE$100,0),'制度詳細'!$I$29),EOMONTH(AE$100,0)),"■",IF(AND('制度詳細'!$J$29&lt;&gt;"",'制度詳細'!$J$29&gt;=AE$100,'制度詳細'!$J$29&lt;=EOMONTH(AE$100,0)),"◆","")))</x:f>
      </x:c>
      <x:c r="AF101" s="57" t="str">
        <x:f>IF('制度詳細'!$H$29="",IF('制度詳細'!$J$29="","",IF(AND('制度詳細'!$J$29&gt;=AF$100,'制度詳細'!$J$29&lt;=EOMONTH(AF$100,0)),"◆","")),IF(MAX('制度詳細'!$H$29,AF$100)&lt;=MIN(IF('制度詳細'!$I$29="",EOMONTH(AF$100,0),'制度詳細'!$I$29),EOMONTH(AF$100,0)),"■",IF(AND('制度詳細'!$J$29&lt;&gt;"",'制度詳細'!$J$29&gt;=AF$100,'制度詳細'!$J$29&lt;=EOMONTH(AF$100,0)),"◆","")))</x:f>
      </x:c>
      <x:c r="AG101" s="57" t="str">
        <x:f>IF('制度詳細'!$H$29="",IF('制度詳細'!$J$29="","",IF(AND('制度詳細'!$J$29&gt;=AG$100,'制度詳細'!$J$29&lt;=EOMONTH(AG$100,0)),"◆","")),IF(MAX('制度詳細'!$H$29,AG$100)&lt;=MIN(IF('制度詳細'!$I$29="",EOMONTH(AG$100,0),'制度詳細'!$I$29),EOMONTH(AG$100,0)),"■",IF(AND('制度詳細'!$J$29&lt;&gt;"",'制度詳細'!$J$29&gt;=AG$100,'制度詳細'!$J$29&lt;=EOMONTH(AG$100,0)),"◆","")))</x:f>
      </x:c>
      <x:c r="AH101" s="57" t="str">
        <x:f>IF('制度詳細'!$H$29="",IF('制度詳細'!$J$29="","",IF(AND('制度詳細'!$J$29&gt;=AH$100,'制度詳細'!$J$29&lt;=EOMONTH(AH$100,0)),"◆","")),IF(MAX('制度詳細'!$H$29,AH$100)&lt;=MIN(IF('制度詳細'!$I$29="",EOMONTH(AH$100,0),'制度詳細'!$I$29),EOMONTH(AH$100,0)),"■",IF(AND('制度詳細'!$J$29&lt;&gt;"",'制度詳細'!$J$29&gt;=AH$100,'制度詳細'!$J$29&lt;=EOMONTH(AH$100,0)),"◆","")))</x:f>
      </x:c>
      <x:c r="AI101" s="57" t="str">
        <x:f>IF('制度詳細'!$H$29="",IF('制度詳細'!$J$29="","",IF(AND('制度詳細'!$J$29&gt;=AI$100,'制度詳細'!$J$29&lt;=EOMONTH(AI$100,0)),"◆","")),IF(MAX('制度詳細'!$H$29,AI$100)&lt;=MIN(IF('制度詳細'!$I$29="",EOMONTH(AI$100,0),'制度詳細'!$I$29),EOMONTH(AI$100,0)),"■",IF(AND('制度詳細'!$J$29&lt;&gt;"",'制度詳細'!$J$29&gt;=AI$100,'制度詳細'!$J$29&lt;=EOMONTH(AI$100,0)),"◆","")))</x:f>
      </x:c>
      <x:c r="AJ101" s="57" t="str">
        <x:f>IF('制度詳細'!$H$29="",IF('制度詳細'!$J$29="","",IF(AND('制度詳細'!$J$29&gt;=AJ$100,'制度詳細'!$J$29&lt;=EOMONTH(AJ$100,0)),"◆","")),IF(MAX('制度詳細'!$H$29,AJ$100)&lt;=MIN(IF('制度詳細'!$I$29="",EOMONTH(AJ$100,0),'制度詳細'!$I$29),EOMONTH(AJ$100,0)),"■",IF(AND('制度詳細'!$J$29&lt;&gt;"",'制度詳細'!$J$29&gt;=AJ$100,'制度詳細'!$J$29&lt;=EOMONTH(AJ$100,0)),"◆","")))</x:f>
      </x:c>
      <x:c r="AK101" s="57" t="str">
        <x:f>IF('制度詳細'!$H$29="",IF('制度詳細'!$J$29="","",IF(AND('制度詳細'!$J$29&gt;=AK$100,'制度詳細'!$J$29&lt;=EOMONTH(AK$100,0)),"◆","")),IF(MAX('制度詳細'!$H$29,AK$100)&lt;=MIN(IF('制度詳細'!$I$29="",EOMONTH(AK$100,0),'制度詳細'!$I$29),EOMONTH(AK$100,0)),"■",IF(AND('制度詳細'!$J$29&lt;&gt;"",'制度詳細'!$J$29&gt;=AK$100,'制度詳細'!$J$29&lt;=EOMONTH(AK$100,0)),"◆","")))</x:f>
      </x:c>
      <x:c r="AL101" s="57" t="str">
        <x:f>IF('制度詳細'!$H$29="",IF('制度詳細'!$J$29="","",IF(AND('制度詳細'!$J$29&gt;=AL$100,'制度詳細'!$J$29&lt;=EOMONTH(AL$100,0)),"◆","")),IF(MAX('制度詳細'!$H$29,AL$100)&lt;=MIN(IF('制度詳細'!$I$29="",EOMONTH(AL$100,0),'制度詳細'!$I$29),EOMONTH(AL$100,0)),"■",IF(AND('制度詳細'!$J$29&lt;&gt;"",'制度詳細'!$J$29&gt;=AL$100,'制度詳細'!$J$29&lt;=EOMONTH(AL$100,0)),"◆","")))</x:f>
      </x:c>
      <x:c r="AM101" s="57" t="str">
        <x:f>IF('制度詳細'!$H$29="",IF('制度詳細'!$J$29="","",IF(AND('制度詳細'!$J$29&gt;=AM$100,'制度詳細'!$J$29&lt;=EOMONTH(AM$100,0)),"◆","")),IF(MAX('制度詳細'!$H$29,AM$100)&lt;=MIN(IF('制度詳細'!$I$29="",EOMONTH(AM$100,0),'制度詳細'!$I$29),EOMONTH(AM$100,0)),"■",IF(AND('制度詳細'!$J$29&lt;&gt;"",'制度詳細'!$J$29&gt;=AM$100,'制度詳細'!$J$29&lt;=EOMONTH(AM$100,0)),"◆","")))</x:f>
      </x:c>
      <x:c r="AN101" s="57" t="str">
        <x:f>IF('制度詳細'!$H$29="",IF('制度詳細'!$J$29="","",IF(AND('制度詳細'!$J$29&gt;=AN$100,'制度詳細'!$J$29&lt;=EOMONTH(AN$100,0)),"◆","")),IF(MAX('制度詳細'!$H$29,AN$100)&lt;=MIN(IF('制度詳細'!$I$29="",EOMONTH(AN$100,0),'制度詳細'!$I$29),EOMONTH(AN$100,0)),"■",IF(AND('制度詳細'!$J$29&lt;&gt;"",'制度詳細'!$J$29&gt;=AN$100,'制度詳細'!$J$29&lt;=EOMONTH(AN$100,0)),"◆","")))</x:f>
      </x:c>
      <x:c r="AO101" s="57" t="str">
        <x:f>IF('制度詳細'!$H$29="",IF('制度詳細'!$J$29="","",IF(AND('制度詳細'!$J$29&gt;=AO$100,'制度詳細'!$J$29&lt;=EOMONTH(AO$100,0)),"◆","")),IF(MAX('制度詳細'!$H$29,AO$100)&lt;=MIN(IF('制度詳細'!$I$29="",EOMONTH(AO$100,0),'制度詳細'!$I$29),EOMONTH(AO$100,0)),"■",IF(AND('制度詳細'!$J$29&lt;&gt;"",'制度詳細'!$J$29&gt;=AO$100,'制度詳細'!$J$29&lt;=EOMONTH(AO$100,0)),"◆","")))</x:f>
      </x:c>
      <x:c r="AP101" s="57" t="str">
        <x:f>IF('制度詳細'!$H$29="",IF('制度詳細'!$J$29="","",IF(AND('制度詳細'!$J$29&gt;=AP$100,'制度詳細'!$J$29&lt;=EOMONTH(AP$100,0)),"◆","")),IF(MAX('制度詳細'!$H$29,AP$100)&lt;=MIN(IF('制度詳細'!$I$29="",EOMONTH(AP$100,0),'制度詳細'!$I$29),EOMONTH(AP$100,0)),"■",IF(AND('制度詳細'!$J$29&lt;&gt;"",'制度詳細'!$J$29&gt;=AP$100,'制度詳細'!$J$29&lt;=EOMONTH(AP$100,0)),"◆","")))</x:f>
      </x:c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</x:row>
    <x:row r="102" ht="30" customHeight="1">
      <x:c r="A102" s="59" t="str">
        <x:v>VN02 BEV：登録料0%延長</x:v>
      </x:c>
      <x:c r="B102" s="59"/>
      <x:c r="C102" s="59"/>
      <x:c r="D102" s="59"/>
      <x:c r="E102" s="59"/>
      <x:c r="F102" s="59"/>
      <x:c r="G102" s="57" t="str">
        <x:f>IF('制度詳細'!$H$30="",IF('制度詳細'!$J$30="","",IF(AND('制度詳細'!$J$30&gt;=G$100,'制度詳細'!$J$30&lt;=EOMONTH(G$100,0)),"◆","")),IF(MAX('制度詳細'!$H$30,G$100)&lt;=MIN(IF('制度詳細'!$I$30="",EOMONTH(G$100,0),'制度詳細'!$I$30),EOMONTH(G$100,0)),"■",IF(AND('制度詳細'!$J$30&lt;&gt;"",'制度詳細'!$J$30&gt;=G$100,'制度詳細'!$J$30&lt;=EOMONTH(G$100,0)),"◆","")))</x:f>
      </x:c>
      <x:c r="H102" s="57" t="str">
        <x:f>IF('制度詳細'!$H$30="",IF('制度詳細'!$J$30="","",IF(AND('制度詳細'!$J$30&gt;=H$100,'制度詳細'!$J$30&lt;=EOMONTH(H$100,0)),"◆","")),IF(MAX('制度詳細'!$H$30,H$100)&lt;=MIN(IF('制度詳細'!$I$30="",EOMONTH(H$100,0),'制度詳細'!$I$30),EOMONTH(H$100,0)),"■",IF(AND('制度詳細'!$J$30&lt;&gt;"",'制度詳細'!$J$30&gt;=H$100,'制度詳細'!$J$30&lt;=EOMONTH(H$100,0)),"◆","")))</x:f>
      </x:c>
      <x:c r="I102" s="57" t="str">
        <x:f>IF('制度詳細'!$H$30="",IF('制度詳細'!$J$30="","",IF(AND('制度詳細'!$J$30&gt;=I$100,'制度詳細'!$J$30&lt;=EOMONTH(I$100,0)),"◆","")),IF(MAX('制度詳細'!$H$30,I$100)&lt;=MIN(IF('制度詳細'!$I$30="",EOMONTH(I$100,0),'制度詳細'!$I$30),EOMONTH(I$100,0)),"■",IF(AND('制度詳細'!$J$30&lt;&gt;"",'制度詳細'!$J$30&gt;=I$100,'制度詳細'!$J$30&lt;=EOMONTH(I$100,0)),"◆","")))</x:f>
      </x:c>
      <x:c r="J102" s="57" t="str">
        <x:f>IF('制度詳細'!$H$30="",IF('制度詳細'!$J$30="","",IF(AND('制度詳細'!$J$30&gt;=J$100,'制度詳細'!$J$30&lt;=EOMONTH(J$100,0)),"◆","")),IF(MAX('制度詳細'!$H$30,J$100)&lt;=MIN(IF('制度詳細'!$I$30="",EOMONTH(J$100,0),'制度詳細'!$I$30),EOMONTH(J$100,0)),"■",IF(AND('制度詳細'!$J$30&lt;&gt;"",'制度詳細'!$J$30&gt;=J$100,'制度詳細'!$J$30&lt;=EOMONTH(J$100,0)),"◆","")))</x:f>
      </x:c>
      <x:c r="K102" s="57" t="str">
        <x:f>IF('制度詳細'!$H$30="",IF('制度詳細'!$J$30="","",IF(AND('制度詳細'!$J$30&gt;=K$100,'制度詳細'!$J$30&lt;=EOMONTH(K$100,0)),"◆","")),IF(MAX('制度詳細'!$H$30,K$100)&lt;=MIN(IF('制度詳細'!$I$30="",EOMONTH(K$100,0),'制度詳細'!$I$30),EOMONTH(K$100,0)),"■",IF(AND('制度詳細'!$J$30&lt;&gt;"",'制度詳細'!$J$30&gt;=K$100,'制度詳細'!$J$30&lt;=EOMONTH(K$100,0)),"◆","")))</x:f>
      </x:c>
      <x:c r="L102" s="57" t="str">
        <x:f>IF('制度詳細'!$H$30="",IF('制度詳細'!$J$30="","",IF(AND('制度詳細'!$J$30&gt;=L$100,'制度詳細'!$J$30&lt;=EOMONTH(L$100,0)),"◆","")),IF(MAX('制度詳細'!$H$30,L$100)&lt;=MIN(IF('制度詳細'!$I$30="",EOMONTH(L$100,0),'制度詳細'!$I$30),EOMONTH(L$100,0)),"■",IF(AND('制度詳細'!$J$30&lt;&gt;"",'制度詳細'!$J$30&gt;=L$100,'制度詳細'!$J$30&lt;=EOMONTH(L$100,0)),"◆","")))</x:f>
      </x:c>
      <x:c r="M102" s="57" t="str">
        <x:f>IF('制度詳細'!$H$30="",IF('制度詳細'!$J$30="","",IF(AND('制度詳細'!$J$30&gt;=M$100,'制度詳細'!$J$30&lt;=EOMONTH(M$100,0)),"◆","")),IF(MAX('制度詳細'!$H$30,M$100)&lt;=MIN(IF('制度詳細'!$I$30="",EOMONTH(M$100,0),'制度詳細'!$I$30),EOMONTH(M$100,0)),"■",IF(AND('制度詳細'!$J$30&lt;&gt;"",'制度詳細'!$J$30&gt;=M$100,'制度詳細'!$J$30&lt;=EOMONTH(M$100,0)),"◆","")))</x:f>
      </x:c>
      <x:c r="N102" s="57" t="str">
        <x:f>IF('制度詳細'!$H$30="",IF('制度詳細'!$J$30="","",IF(AND('制度詳細'!$J$30&gt;=N$100,'制度詳細'!$J$30&lt;=EOMONTH(N$100,0)),"◆","")),IF(MAX('制度詳細'!$H$30,N$100)&lt;=MIN(IF('制度詳細'!$I$30="",EOMONTH(N$100,0),'制度詳細'!$I$30),EOMONTH(N$100,0)),"■",IF(AND('制度詳細'!$J$30&lt;&gt;"",'制度詳細'!$J$30&gt;=N$100,'制度詳細'!$J$30&lt;=EOMONTH(N$100,0)),"◆","")))</x:f>
      </x:c>
      <x:c r="O102" s="57" t="str">
        <x:f>IF('制度詳細'!$H$30="",IF('制度詳細'!$J$30="","",IF(AND('制度詳細'!$J$30&gt;=O$100,'制度詳細'!$J$30&lt;=EOMONTH(O$100,0)),"◆","")),IF(MAX('制度詳細'!$H$30,O$100)&lt;=MIN(IF('制度詳細'!$I$30="",EOMONTH(O$100,0),'制度詳細'!$I$30),EOMONTH(O$100,0)),"■",IF(AND('制度詳細'!$J$30&lt;&gt;"",'制度詳細'!$J$30&gt;=O$100,'制度詳細'!$J$30&lt;=EOMONTH(O$100,0)),"◆","")))</x:f>
      </x:c>
      <x:c r="P102" s="57" t="str">
        <x:f>IF('制度詳細'!$H$30="",IF('制度詳細'!$J$30="","",IF(AND('制度詳細'!$J$30&gt;=P$100,'制度詳細'!$J$30&lt;=EOMONTH(P$100,0)),"◆","")),IF(MAX('制度詳細'!$H$30,P$100)&lt;=MIN(IF('制度詳細'!$I$30="",EOMONTH(P$100,0),'制度詳細'!$I$30),EOMONTH(P$100,0)),"■",IF(AND('制度詳細'!$J$30&lt;&gt;"",'制度詳細'!$J$30&gt;=P$100,'制度詳細'!$J$30&lt;=EOMONTH(P$100,0)),"◆","")))</x:f>
      </x:c>
      <x:c r="Q102" s="57" t="str">
        <x:f>IF('制度詳細'!$H$30="",IF('制度詳細'!$J$30="","",IF(AND('制度詳細'!$J$30&gt;=Q$100,'制度詳細'!$J$30&lt;=EOMONTH(Q$100,0)),"◆","")),IF(MAX('制度詳細'!$H$30,Q$100)&lt;=MIN(IF('制度詳細'!$I$30="",EOMONTH(Q$100,0),'制度詳細'!$I$30),EOMONTH(Q$100,0)),"■",IF(AND('制度詳細'!$J$30&lt;&gt;"",'制度詳細'!$J$30&gt;=Q$100,'制度詳細'!$J$30&lt;=EOMONTH(Q$100,0)),"◆","")))</x:f>
      </x:c>
      <x:c r="R102" s="57" t="str">
        <x:f>IF('制度詳細'!$H$30="",IF('制度詳細'!$J$30="","",IF(AND('制度詳細'!$J$30&gt;=R$100,'制度詳細'!$J$30&lt;=EOMONTH(R$100,0)),"◆","")),IF(MAX('制度詳細'!$H$30,R$100)&lt;=MIN(IF('制度詳細'!$I$30="",EOMONTH(R$100,0),'制度詳細'!$I$30),EOMONTH(R$100,0)),"■",IF(AND('制度詳細'!$J$30&lt;&gt;"",'制度詳細'!$J$30&gt;=R$100,'制度詳細'!$J$30&lt;=EOMONTH(R$100,0)),"◆","")))</x:f>
      </x:c>
      <x:c r="S102" s="57" t="str">
        <x:f>IF('制度詳細'!$H$30="",IF('制度詳細'!$J$30="","",IF(AND('制度詳細'!$J$30&gt;=S$100,'制度詳細'!$J$30&lt;=EOMONTH(S$100,0)),"◆","")),IF(MAX('制度詳細'!$H$30,S$100)&lt;=MIN(IF('制度詳細'!$I$30="",EOMONTH(S$100,0),'制度詳細'!$I$30),EOMONTH(S$100,0)),"■",IF(AND('制度詳細'!$J$30&lt;&gt;"",'制度詳細'!$J$30&gt;=S$100,'制度詳細'!$J$30&lt;=EOMONTH(S$100,0)),"◆","")))</x:f>
      </x:c>
      <x:c r="T102" s="57" t="str">
        <x:f>IF('制度詳細'!$H$30="",IF('制度詳細'!$J$30="","",IF(AND('制度詳細'!$J$30&gt;=T$100,'制度詳細'!$J$30&lt;=EOMONTH(T$100,0)),"◆","")),IF(MAX('制度詳細'!$H$30,T$100)&lt;=MIN(IF('制度詳細'!$I$30="",EOMONTH(T$100,0),'制度詳細'!$I$30),EOMONTH(T$100,0)),"■",IF(AND('制度詳細'!$J$30&lt;&gt;"",'制度詳細'!$J$30&gt;=T$100,'制度詳細'!$J$30&lt;=EOMONTH(T$100,0)),"◆","")))</x:f>
      </x:c>
      <x:c r="U102" s="57" t="str">
        <x:f>IF('制度詳細'!$H$30="",IF('制度詳細'!$J$30="","",IF(AND('制度詳細'!$J$30&gt;=U$100,'制度詳細'!$J$30&lt;=EOMONTH(U$100,0)),"◆","")),IF(MAX('制度詳細'!$H$30,U$100)&lt;=MIN(IF('制度詳細'!$I$30="",EOMONTH(U$100,0),'制度詳細'!$I$30),EOMONTH(U$100,0)),"■",IF(AND('制度詳細'!$J$30&lt;&gt;"",'制度詳細'!$J$30&gt;=U$100,'制度詳細'!$J$30&lt;=EOMONTH(U$100,0)),"◆","")))</x:f>
        <x:v>■</x:v>
      </x:c>
      <x:c r="V102" s="57" t="str">
        <x:f>IF('制度詳細'!$H$30="",IF('制度詳細'!$J$30="","",IF(AND('制度詳細'!$J$30&gt;=V$100,'制度詳細'!$J$30&lt;=EOMONTH(V$100,0)),"◆","")),IF(MAX('制度詳細'!$H$30,V$100)&lt;=MIN(IF('制度詳細'!$I$30="",EOMONTH(V$100,0),'制度詳細'!$I$30),EOMONTH(V$100,0)),"■",IF(AND('制度詳細'!$J$30&lt;&gt;"",'制度詳細'!$J$30&gt;=V$100,'制度詳細'!$J$30&lt;=EOMONTH(V$100,0)),"◆","")))</x:f>
        <x:v>■</x:v>
      </x:c>
      <x:c r="W102" s="57" t="str">
        <x:f>IF('制度詳細'!$H$30="",IF('制度詳細'!$J$30="","",IF(AND('制度詳細'!$J$30&gt;=W$100,'制度詳細'!$J$30&lt;=EOMONTH(W$100,0)),"◆","")),IF(MAX('制度詳細'!$H$30,W$100)&lt;=MIN(IF('制度詳細'!$I$30="",EOMONTH(W$100,0),'制度詳細'!$I$30),EOMONTH(W$100,0)),"■",IF(AND('制度詳細'!$J$30&lt;&gt;"",'制度詳細'!$J$30&gt;=W$100,'制度詳細'!$J$30&lt;=EOMONTH(W$100,0)),"◆","")))</x:f>
        <x:v>■</x:v>
      </x:c>
      <x:c r="X102" s="57" t="str">
        <x:f>IF('制度詳細'!$H$30="",IF('制度詳細'!$J$30="","",IF(AND('制度詳細'!$J$30&gt;=X$100,'制度詳細'!$J$30&lt;=EOMONTH(X$100,0)),"◆","")),IF(MAX('制度詳細'!$H$30,X$100)&lt;=MIN(IF('制度詳細'!$I$30="",EOMONTH(X$100,0),'制度詳細'!$I$30),EOMONTH(X$100,0)),"■",IF(AND('制度詳細'!$J$30&lt;&gt;"",'制度詳細'!$J$30&gt;=X$100,'制度詳細'!$J$30&lt;=EOMONTH(X$100,0)),"◆","")))</x:f>
        <x:v>■</x:v>
      </x:c>
      <x:c r="Y102" s="57" t="str">
        <x:f>IF('制度詳細'!$H$30="",IF('制度詳細'!$J$30="","",IF(AND('制度詳細'!$J$30&gt;=Y$100,'制度詳細'!$J$30&lt;=EOMONTH(Y$100,0)),"◆","")),IF(MAX('制度詳細'!$H$30,Y$100)&lt;=MIN(IF('制度詳細'!$I$30="",EOMONTH(Y$100,0),'制度詳細'!$I$30),EOMONTH(Y$100,0)),"■",IF(AND('制度詳細'!$J$30&lt;&gt;"",'制度詳細'!$J$30&gt;=Y$100,'制度詳細'!$J$30&lt;=EOMONTH(Y$100,0)),"◆","")))</x:f>
        <x:v>■</x:v>
      </x:c>
      <x:c r="Z102" s="57" t="str">
        <x:f>IF('制度詳細'!$H$30="",IF('制度詳細'!$J$30="","",IF(AND('制度詳細'!$J$30&gt;=Z$100,'制度詳細'!$J$30&lt;=EOMONTH(Z$100,0)),"◆","")),IF(MAX('制度詳細'!$H$30,Z$100)&lt;=MIN(IF('制度詳細'!$I$30="",EOMONTH(Z$100,0),'制度詳細'!$I$30),EOMONTH(Z$100,0)),"■",IF(AND('制度詳細'!$J$30&lt;&gt;"",'制度詳細'!$J$30&gt;=Z$100,'制度詳細'!$J$30&lt;=EOMONTH(Z$100,0)),"◆","")))</x:f>
        <x:v>■</x:v>
      </x:c>
      <x:c r="AA102" s="57" t="str">
        <x:f>IF('制度詳細'!$H$30="",IF('制度詳細'!$J$30="","",IF(AND('制度詳細'!$J$30&gt;=AA$100,'制度詳細'!$J$30&lt;=EOMONTH(AA$100,0)),"◆","")),IF(MAX('制度詳細'!$H$30,AA$100)&lt;=MIN(IF('制度詳細'!$I$30="",EOMONTH(AA$100,0),'制度詳細'!$I$30),EOMONTH(AA$100,0)),"■",IF(AND('制度詳細'!$J$30&lt;&gt;"",'制度詳細'!$J$30&gt;=AA$100,'制度詳細'!$J$30&lt;=EOMONTH(AA$100,0)),"◆","")))</x:f>
        <x:v>■</x:v>
      </x:c>
      <x:c r="AB102" s="57" t="str">
        <x:f>IF('制度詳細'!$H$30="",IF('制度詳細'!$J$30="","",IF(AND('制度詳細'!$J$30&gt;=AB$100,'制度詳細'!$J$30&lt;=EOMONTH(AB$100,0)),"◆","")),IF(MAX('制度詳細'!$H$30,AB$100)&lt;=MIN(IF('制度詳細'!$I$30="",EOMONTH(AB$100,0),'制度詳細'!$I$30),EOMONTH(AB$100,0)),"■",IF(AND('制度詳細'!$J$30&lt;&gt;"",'制度詳細'!$J$30&gt;=AB$100,'制度詳細'!$J$30&lt;=EOMONTH(AB$100,0)),"◆","")))</x:f>
        <x:v>■</x:v>
      </x:c>
      <x:c r="AC102" s="57" t="str">
        <x:f>IF('制度詳細'!$H$30="",IF('制度詳細'!$J$30="","",IF(AND('制度詳細'!$J$30&gt;=AC$100,'制度詳細'!$J$30&lt;=EOMONTH(AC$100,0)),"◆","")),IF(MAX('制度詳細'!$H$30,AC$100)&lt;=MIN(IF('制度詳細'!$I$30="",EOMONTH(AC$100,0),'制度詳細'!$I$30),EOMONTH(AC$100,0)),"■",IF(AND('制度詳細'!$J$30&lt;&gt;"",'制度詳細'!$J$30&gt;=AC$100,'制度詳細'!$J$30&lt;=EOMONTH(AC$100,0)),"◆","")))</x:f>
        <x:v>■</x:v>
      </x:c>
      <x:c r="AD102" s="57" t="str">
        <x:f>IF('制度詳細'!$H$30="",IF('制度詳細'!$J$30="","",IF(AND('制度詳細'!$J$30&gt;=AD$100,'制度詳細'!$J$30&lt;=EOMONTH(AD$100,0)),"◆","")),IF(MAX('制度詳細'!$H$30,AD$100)&lt;=MIN(IF('制度詳細'!$I$30="",EOMONTH(AD$100,0),'制度詳細'!$I$30),EOMONTH(AD$100,0)),"■",IF(AND('制度詳細'!$J$30&lt;&gt;"",'制度詳細'!$J$30&gt;=AD$100,'制度詳細'!$J$30&lt;=EOMONTH(AD$100,0)),"◆","")))</x:f>
        <x:v>■</x:v>
      </x:c>
      <x:c r="AE102" s="57" t="str">
        <x:f>IF('制度詳細'!$H$30="",IF('制度詳細'!$J$30="","",IF(AND('制度詳細'!$J$30&gt;=AE$100,'制度詳細'!$J$30&lt;=EOMONTH(AE$100,0)),"◆","")),IF(MAX('制度詳細'!$H$30,AE$100)&lt;=MIN(IF('制度詳細'!$I$30="",EOMONTH(AE$100,0),'制度詳細'!$I$30),EOMONTH(AE$100,0)),"■",IF(AND('制度詳細'!$J$30&lt;&gt;"",'制度詳細'!$J$30&gt;=AE$100,'制度詳細'!$J$30&lt;=EOMONTH(AE$100,0)),"◆","")))</x:f>
        <x:v>■</x:v>
      </x:c>
      <x:c r="AF102" s="57" t="str">
        <x:f>IF('制度詳細'!$H$30="",IF('制度詳細'!$J$30="","",IF(AND('制度詳細'!$J$30&gt;=AF$100,'制度詳細'!$J$30&lt;=EOMONTH(AF$100,0)),"◆","")),IF(MAX('制度詳細'!$H$30,AF$100)&lt;=MIN(IF('制度詳細'!$I$30="",EOMONTH(AF$100,0),'制度詳細'!$I$30),EOMONTH(AF$100,0)),"■",IF(AND('制度詳細'!$J$30&lt;&gt;"",'制度詳細'!$J$30&gt;=AF$100,'制度詳細'!$J$30&lt;=EOMONTH(AF$100,0)),"◆","")))</x:f>
        <x:v>■</x:v>
      </x:c>
      <x:c r="AG102" s="57" t="str">
        <x:f>IF('制度詳細'!$H$30="",IF('制度詳細'!$J$30="","",IF(AND('制度詳細'!$J$30&gt;=AG$100,'制度詳細'!$J$30&lt;=EOMONTH(AG$100,0)),"◆","")),IF(MAX('制度詳細'!$H$30,AG$100)&lt;=MIN(IF('制度詳細'!$I$30="",EOMONTH(AG$100,0),'制度詳細'!$I$30),EOMONTH(AG$100,0)),"■",IF(AND('制度詳細'!$J$30&lt;&gt;"",'制度詳細'!$J$30&gt;=AG$100,'制度詳細'!$J$30&lt;=EOMONTH(AG$100,0)),"◆","")))</x:f>
        <x:v>■</x:v>
      </x:c>
      <x:c r="AH102" s="57" t="str">
        <x:f>IF('制度詳細'!$H$30="",IF('制度詳細'!$J$30="","",IF(AND('制度詳細'!$J$30&gt;=AH$100,'制度詳細'!$J$30&lt;=EOMONTH(AH$100,0)),"◆","")),IF(MAX('制度詳細'!$H$30,AH$100)&lt;=MIN(IF('制度詳細'!$I$30="",EOMONTH(AH$100,0),'制度詳細'!$I$30),EOMONTH(AH$100,0)),"■",IF(AND('制度詳細'!$J$30&lt;&gt;"",'制度詳細'!$J$30&gt;=AH$100,'制度詳細'!$J$30&lt;=EOMONTH(AH$100,0)),"◆","")))</x:f>
        <x:v>■</x:v>
      </x:c>
      <x:c r="AI102" s="57" t="str">
        <x:f>IF('制度詳細'!$H$30="",IF('制度詳細'!$J$30="","",IF(AND('制度詳細'!$J$30&gt;=AI$100,'制度詳細'!$J$30&lt;=EOMONTH(AI$100,0)),"◆","")),IF(MAX('制度詳細'!$H$30,AI$100)&lt;=MIN(IF('制度詳細'!$I$30="",EOMONTH(AI$100,0),'制度詳細'!$I$30),EOMONTH(AI$100,0)),"■",IF(AND('制度詳細'!$J$30&lt;&gt;"",'制度詳細'!$J$30&gt;=AI$100,'制度詳細'!$J$30&lt;=EOMONTH(AI$100,0)),"◆","")))</x:f>
        <x:v>■</x:v>
      </x:c>
      <x:c r="AJ102" s="57" t="str">
        <x:f>IF('制度詳細'!$H$30="",IF('制度詳細'!$J$30="","",IF(AND('制度詳細'!$J$30&gt;=AJ$100,'制度詳細'!$J$30&lt;=EOMONTH(AJ$100,0)),"◆","")),IF(MAX('制度詳細'!$H$30,AJ$100)&lt;=MIN(IF('制度詳細'!$I$30="",EOMONTH(AJ$100,0),'制度詳細'!$I$30),EOMONTH(AJ$100,0)),"■",IF(AND('制度詳細'!$J$30&lt;&gt;"",'制度詳細'!$J$30&gt;=AJ$100,'制度詳細'!$J$30&lt;=EOMONTH(AJ$100,0)),"◆","")))</x:f>
        <x:v>■</x:v>
      </x:c>
      <x:c r="AK102" s="57" t="str">
        <x:f>IF('制度詳細'!$H$30="",IF('制度詳細'!$J$30="","",IF(AND('制度詳細'!$J$30&gt;=AK$100,'制度詳細'!$J$30&lt;=EOMONTH(AK$100,0)),"◆","")),IF(MAX('制度詳細'!$H$30,AK$100)&lt;=MIN(IF('制度詳細'!$I$30="",EOMONTH(AK$100,0),'制度詳細'!$I$30),EOMONTH(AK$100,0)),"■",IF(AND('制度詳細'!$J$30&lt;&gt;"",'制度詳細'!$J$30&gt;=AK$100,'制度詳細'!$J$30&lt;=EOMONTH(AK$100,0)),"◆","")))</x:f>
        <x:v>■</x:v>
      </x:c>
      <x:c r="AL102" s="57" t="str">
        <x:f>IF('制度詳細'!$H$30="",IF('制度詳細'!$J$30="","",IF(AND('制度詳細'!$J$30&gt;=AL$100,'制度詳細'!$J$30&lt;=EOMONTH(AL$100,0)),"◆","")),IF(MAX('制度詳細'!$H$30,AL$100)&lt;=MIN(IF('制度詳細'!$I$30="",EOMONTH(AL$100,0),'制度詳細'!$I$30),EOMONTH(AL$100,0)),"■",IF(AND('制度詳細'!$J$30&lt;&gt;"",'制度詳細'!$J$30&gt;=AL$100,'制度詳細'!$J$30&lt;=EOMONTH(AL$100,0)),"◆","")))</x:f>
        <x:v>■</x:v>
      </x:c>
      <x:c r="AM102" s="57" t="str">
        <x:f>IF('制度詳細'!$H$30="",IF('制度詳細'!$J$30="","",IF(AND('制度詳細'!$J$30&gt;=AM$100,'制度詳細'!$J$30&lt;=EOMONTH(AM$100,0)),"◆","")),IF(MAX('制度詳細'!$H$30,AM$100)&lt;=MIN(IF('制度詳細'!$I$30="",EOMONTH(AM$100,0),'制度詳細'!$I$30),EOMONTH(AM$100,0)),"■",IF(AND('制度詳細'!$J$30&lt;&gt;"",'制度詳細'!$J$30&gt;=AM$100,'制度詳細'!$J$30&lt;=EOMONTH(AM$100,0)),"◆","")))</x:f>
        <x:v>■</x:v>
      </x:c>
      <x:c r="AN102" s="57" t="str">
        <x:f>IF('制度詳細'!$H$30="",IF('制度詳細'!$J$30="","",IF(AND('制度詳細'!$J$30&gt;=AN$100,'制度詳細'!$J$30&lt;=EOMONTH(AN$100,0)),"◆","")),IF(MAX('制度詳細'!$H$30,AN$100)&lt;=MIN(IF('制度詳細'!$I$30="",EOMONTH(AN$100,0),'制度詳細'!$I$30),EOMONTH(AN$100,0)),"■",IF(AND('制度詳細'!$J$30&lt;&gt;"",'制度詳細'!$J$30&gt;=AN$100,'制度詳細'!$J$30&lt;=EOMONTH(AN$100,0)),"◆","")))</x:f>
        <x:v>■</x:v>
      </x:c>
      <x:c r="AO102" s="57" t="str">
        <x:f>IF('制度詳細'!$H$30="",IF('制度詳細'!$J$30="","",IF(AND('制度詳細'!$J$30&gt;=AO$100,'制度詳細'!$J$30&lt;=EOMONTH(AO$100,0)),"◆","")),IF(MAX('制度詳細'!$H$30,AO$100)&lt;=MIN(IF('制度詳細'!$I$30="",EOMONTH(AO$100,0),'制度詳細'!$I$30),EOMONTH(AO$100,0)),"■",IF(AND('制度詳細'!$J$30&lt;&gt;"",'制度詳細'!$J$30&gt;=AO$100,'制度詳細'!$J$30&lt;=EOMONTH(AO$100,0)),"◆","")))</x:f>
        <x:v>■</x:v>
      </x:c>
      <x:c r="AP102" s="57" t="str">
        <x:f>IF('制度詳細'!$H$30="",IF('制度詳細'!$J$30="","",IF(AND('制度詳細'!$J$30&gt;=AP$100,'制度詳細'!$J$30&lt;=EOMONTH(AP$100,0)),"◆","")),IF(MAX('制度詳細'!$H$30,AP$100)&lt;=MIN(IF('制度詳細'!$I$30="",EOMONTH(AP$100,0),'制度詳細'!$I$30),EOMONTH(AP$100,0)),"■",IF(AND('制度詳細'!$J$30&lt;&gt;"",'制度詳細'!$J$30&gt;=AP$100,'制度詳細'!$J$30&lt;=EOMONTH(AP$100,0)),"◆","")))</x:f>
        <x:v>■</x:v>
      </x:c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</x:row>
    <x:row r="103" ht="30" customHeight="1">
      <x:c r="A103" s="54" t="str">
        <x:v>VN03 BEV：登録料0%2030年まで</x:v>
      </x:c>
      <x:c r="B103" s="54"/>
      <x:c r="C103" s="54"/>
      <x:c r="D103" s="54"/>
      <x:c r="E103" s="54"/>
      <x:c r="F103" s="54"/>
      <x:c r="G103" s="57" t="str">
        <x:f>IF('制度詳細'!$H$31="",IF('制度詳細'!$J$31="","",IF(AND('制度詳細'!$J$31&gt;=G$100,'制度詳細'!$J$31&lt;=EOMONTH(G$100,0)),"◆","")),IF(MAX('制度詳細'!$H$31,G$100)&lt;=MIN(IF('制度詳細'!$I$31="",EOMONTH(G$100,0),'制度詳細'!$I$31),EOMONTH(G$100,0)),"■",IF(AND('制度詳細'!$J$31&lt;&gt;"",'制度詳細'!$J$31&gt;=G$100,'制度詳細'!$J$31&lt;=EOMONTH(G$100,0)),"◆","")))</x:f>
      </x:c>
      <x:c r="H103" s="57" t="str">
        <x:f>IF('制度詳細'!$H$31="",IF('制度詳細'!$J$31="","",IF(AND('制度詳細'!$J$31&gt;=H$100,'制度詳細'!$J$31&lt;=EOMONTH(H$100,0)),"◆","")),IF(MAX('制度詳細'!$H$31,H$100)&lt;=MIN(IF('制度詳細'!$I$31="",EOMONTH(H$100,0),'制度詳細'!$I$31),EOMONTH(H$100,0)),"■",IF(AND('制度詳細'!$J$31&lt;&gt;"",'制度詳細'!$J$31&gt;=H$100,'制度詳細'!$J$31&lt;=EOMONTH(H$100,0)),"◆","")))</x:f>
      </x:c>
      <x:c r="I103" s="57" t="str">
        <x:f>IF('制度詳細'!$H$31="",IF('制度詳細'!$J$31="","",IF(AND('制度詳細'!$J$31&gt;=I$100,'制度詳細'!$J$31&lt;=EOMONTH(I$100,0)),"◆","")),IF(MAX('制度詳細'!$H$31,I$100)&lt;=MIN(IF('制度詳細'!$I$31="",EOMONTH(I$100,0),'制度詳細'!$I$31),EOMONTH(I$100,0)),"■",IF(AND('制度詳細'!$J$31&lt;&gt;"",'制度詳細'!$J$31&gt;=I$100,'制度詳細'!$J$31&lt;=EOMONTH(I$100,0)),"◆","")))</x:f>
      </x:c>
      <x:c r="J103" s="57" t="str">
        <x:f>IF('制度詳細'!$H$31="",IF('制度詳細'!$J$31="","",IF(AND('制度詳細'!$J$31&gt;=J$100,'制度詳細'!$J$31&lt;=EOMONTH(J$100,0)),"◆","")),IF(MAX('制度詳細'!$H$31,J$100)&lt;=MIN(IF('制度詳細'!$I$31="",EOMONTH(J$100,0),'制度詳細'!$I$31),EOMONTH(J$100,0)),"■",IF(AND('制度詳細'!$J$31&lt;&gt;"",'制度詳細'!$J$31&gt;=J$100,'制度詳細'!$J$31&lt;=EOMONTH(J$100,0)),"◆","")))</x:f>
      </x:c>
      <x:c r="K103" s="57" t="str">
        <x:f>IF('制度詳細'!$H$31="",IF('制度詳細'!$J$31="","",IF(AND('制度詳細'!$J$31&gt;=K$100,'制度詳細'!$J$31&lt;=EOMONTH(K$100,0)),"◆","")),IF(MAX('制度詳細'!$H$31,K$100)&lt;=MIN(IF('制度詳細'!$I$31="",EOMONTH(K$100,0),'制度詳細'!$I$31),EOMONTH(K$100,0)),"■",IF(AND('制度詳細'!$J$31&lt;&gt;"",'制度詳細'!$J$31&gt;=K$100,'制度詳細'!$J$31&lt;=EOMONTH(K$100,0)),"◆","")))</x:f>
      </x:c>
      <x:c r="L103" s="57" t="str">
        <x:f>IF('制度詳細'!$H$31="",IF('制度詳細'!$J$31="","",IF(AND('制度詳細'!$J$31&gt;=L$100,'制度詳細'!$J$31&lt;=EOMONTH(L$100,0)),"◆","")),IF(MAX('制度詳細'!$H$31,L$100)&lt;=MIN(IF('制度詳細'!$I$31="",EOMONTH(L$100,0),'制度詳細'!$I$31),EOMONTH(L$100,0)),"■",IF(AND('制度詳細'!$J$31&lt;&gt;"",'制度詳細'!$J$31&gt;=L$100,'制度詳細'!$J$31&lt;=EOMONTH(L$100,0)),"◆","")))</x:f>
      </x:c>
      <x:c r="M103" s="57" t="str">
        <x:f>IF('制度詳細'!$H$31="",IF('制度詳細'!$J$31="","",IF(AND('制度詳細'!$J$31&gt;=M$100,'制度詳細'!$J$31&lt;=EOMONTH(M$100,0)),"◆","")),IF(MAX('制度詳細'!$H$31,M$100)&lt;=MIN(IF('制度詳細'!$I$31="",EOMONTH(M$100,0),'制度詳細'!$I$31),EOMONTH(M$100,0)),"■",IF(AND('制度詳細'!$J$31&lt;&gt;"",'制度詳細'!$J$31&gt;=M$100,'制度詳細'!$J$31&lt;=EOMONTH(M$100,0)),"◆","")))</x:f>
      </x:c>
      <x:c r="N103" s="57" t="str">
        <x:f>IF('制度詳細'!$H$31="",IF('制度詳細'!$J$31="","",IF(AND('制度詳細'!$J$31&gt;=N$100,'制度詳細'!$J$31&lt;=EOMONTH(N$100,0)),"◆","")),IF(MAX('制度詳細'!$H$31,N$100)&lt;=MIN(IF('制度詳細'!$I$31="",EOMONTH(N$100,0),'制度詳細'!$I$31),EOMONTH(N$100,0)),"■",IF(AND('制度詳細'!$J$31&lt;&gt;"",'制度詳細'!$J$31&gt;=N$100,'制度詳細'!$J$31&lt;=EOMONTH(N$100,0)),"◆","")))</x:f>
      </x:c>
      <x:c r="O103" s="57" t="str">
        <x:f>IF('制度詳細'!$H$31="",IF('制度詳細'!$J$31="","",IF(AND('制度詳細'!$J$31&gt;=O$100,'制度詳細'!$J$31&lt;=EOMONTH(O$100,0)),"◆","")),IF(MAX('制度詳細'!$H$31,O$100)&lt;=MIN(IF('制度詳細'!$I$31="",EOMONTH(O$100,0),'制度詳細'!$I$31),EOMONTH(O$100,0)),"■",IF(AND('制度詳細'!$J$31&lt;&gt;"",'制度詳細'!$J$31&gt;=O$100,'制度詳細'!$J$31&lt;=EOMONTH(O$100,0)),"◆","")))</x:f>
      </x:c>
      <x:c r="P103" s="57" t="str">
        <x:f>IF('制度詳細'!$H$31="",IF('制度詳細'!$J$31="","",IF(AND('制度詳細'!$J$31&gt;=P$100,'制度詳細'!$J$31&lt;=EOMONTH(P$100,0)),"◆","")),IF(MAX('制度詳細'!$H$31,P$100)&lt;=MIN(IF('制度詳細'!$I$31="",EOMONTH(P$100,0),'制度詳細'!$I$31),EOMONTH(P$100,0)),"■",IF(AND('制度詳細'!$J$31&lt;&gt;"",'制度詳細'!$J$31&gt;=P$100,'制度詳細'!$J$31&lt;=EOMONTH(P$100,0)),"◆","")))</x:f>
      </x:c>
      <x:c r="Q103" s="57" t="str">
        <x:f>IF('制度詳細'!$H$31="",IF('制度詳細'!$J$31="","",IF(AND('制度詳細'!$J$31&gt;=Q$100,'制度詳細'!$J$31&lt;=EOMONTH(Q$100,0)),"◆","")),IF(MAX('制度詳細'!$H$31,Q$100)&lt;=MIN(IF('制度詳細'!$I$31="",EOMONTH(Q$100,0),'制度詳細'!$I$31),EOMONTH(Q$100,0)),"■",IF(AND('制度詳細'!$J$31&lt;&gt;"",'制度詳細'!$J$31&gt;=Q$100,'制度詳細'!$J$31&lt;=EOMONTH(Q$100,0)),"◆","")))</x:f>
      </x:c>
      <x:c r="R103" s="57" t="str">
        <x:f>IF('制度詳細'!$H$31="",IF('制度詳細'!$J$31="","",IF(AND('制度詳細'!$J$31&gt;=R$100,'制度詳細'!$J$31&lt;=EOMONTH(R$100,0)),"◆","")),IF(MAX('制度詳細'!$H$31,R$100)&lt;=MIN(IF('制度詳細'!$I$31="",EOMONTH(R$100,0),'制度詳細'!$I$31),EOMONTH(R$100,0)),"■",IF(AND('制度詳細'!$J$31&lt;&gt;"",'制度詳細'!$J$31&gt;=R$100,'制度詳細'!$J$31&lt;=EOMONTH(R$100,0)),"◆","")))</x:f>
      </x:c>
      <x:c r="S103" s="57" t="str">
        <x:f>IF('制度詳細'!$H$31="",IF('制度詳細'!$J$31="","",IF(AND('制度詳細'!$J$31&gt;=S$100,'制度詳細'!$J$31&lt;=EOMONTH(S$100,0)),"◆","")),IF(MAX('制度詳細'!$H$31,S$100)&lt;=MIN(IF('制度詳細'!$I$31="",EOMONTH(S$100,0),'制度詳細'!$I$31),EOMONTH(S$100,0)),"■",IF(AND('制度詳細'!$J$31&lt;&gt;"",'制度詳細'!$J$31&gt;=S$100,'制度詳細'!$J$31&lt;=EOMONTH(S$100,0)),"◆","")))</x:f>
      </x:c>
      <x:c r="T103" s="57" t="str">
        <x:f>IF('制度詳細'!$H$31="",IF('制度詳細'!$J$31="","",IF(AND('制度詳細'!$J$31&gt;=T$100,'制度詳細'!$J$31&lt;=EOMONTH(T$100,0)),"◆","")),IF(MAX('制度詳細'!$H$31,T$100)&lt;=MIN(IF('制度詳細'!$I$31="",EOMONTH(T$100,0),'制度詳細'!$I$31),EOMONTH(T$100,0)),"■",IF(AND('制度詳細'!$J$31&lt;&gt;"",'制度詳細'!$J$31&gt;=T$100,'制度詳細'!$J$31&lt;=EOMONTH(T$100,0)),"◆","")))</x:f>
      </x:c>
      <x:c r="U103" s="57" t="str">
        <x:f>IF('制度詳細'!$H$31="",IF('制度詳細'!$J$31="","",IF(AND('制度詳細'!$J$31&gt;=U$100,'制度詳細'!$J$31&lt;=EOMONTH(U$100,0)),"◆","")),IF(MAX('制度詳細'!$H$31,U$100)&lt;=MIN(IF('制度詳細'!$I$31="",EOMONTH(U$100,0),'制度詳細'!$I$31),EOMONTH(U$100,0)),"■",IF(AND('制度詳細'!$J$31&lt;&gt;"",'制度詳細'!$J$31&gt;=U$100,'制度詳細'!$J$31&lt;=EOMONTH(U$100,0)),"◆","")))</x:f>
      </x:c>
      <x:c r="V103" s="57" t="str">
        <x:f>IF('制度詳細'!$H$31="",IF('制度詳細'!$J$31="","",IF(AND('制度詳細'!$J$31&gt;=V$100,'制度詳細'!$J$31&lt;=EOMONTH(V$100,0)),"◆","")),IF(MAX('制度詳細'!$H$31,V$100)&lt;=MIN(IF('制度詳細'!$I$31="",EOMONTH(V$100,0),'制度詳細'!$I$31),EOMONTH(V$100,0)),"■",IF(AND('制度詳細'!$J$31&lt;&gt;"",'制度詳細'!$J$31&gt;=V$100,'制度詳細'!$J$31&lt;=EOMONTH(V$100,0)),"◆","")))</x:f>
      </x:c>
      <x:c r="W103" s="57" t="str">
        <x:f>IF('制度詳細'!$H$31="",IF('制度詳細'!$J$31="","",IF(AND('制度詳細'!$J$31&gt;=W$100,'制度詳細'!$J$31&lt;=EOMONTH(W$100,0)),"◆","")),IF(MAX('制度詳細'!$H$31,W$100)&lt;=MIN(IF('制度詳細'!$I$31="",EOMONTH(W$100,0),'制度詳細'!$I$31),EOMONTH(W$100,0)),"■",IF(AND('制度詳細'!$J$31&lt;&gt;"",'制度詳細'!$J$31&gt;=W$100,'制度詳細'!$J$31&lt;=EOMONTH(W$100,0)),"◆","")))</x:f>
      </x:c>
      <x:c r="X103" s="57" t="str">
        <x:f>IF('制度詳細'!$H$31="",IF('制度詳細'!$J$31="","",IF(AND('制度詳細'!$J$31&gt;=X$100,'制度詳細'!$J$31&lt;=EOMONTH(X$100,0)),"◆","")),IF(MAX('制度詳細'!$H$31,X$100)&lt;=MIN(IF('制度詳細'!$I$31="",EOMONTH(X$100,0),'制度詳細'!$I$31),EOMONTH(X$100,0)),"■",IF(AND('制度詳細'!$J$31&lt;&gt;"",'制度詳細'!$J$31&gt;=X$100,'制度詳細'!$J$31&lt;=EOMONTH(X$100,0)),"◆","")))</x:f>
      </x:c>
      <x:c r="Y103" s="57" t="str">
        <x:f>IF('制度詳細'!$H$31="",IF('制度詳細'!$J$31="","",IF(AND('制度詳細'!$J$31&gt;=Y$100,'制度詳細'!$J$31&lt;=EOMONTH(Y$100,0)),"◆","")),IF(MAX('制度詳細'!$H$31,Y$100)&lt;=MIN(IF('制度詳細'!$I$31="",EOMONTH(Y$100,0),'制度詳細'!$I$31),EOMONTH(Y$100,0)),"■",IF(AND('制度詳細'!$J$31&lt;&gt;"",'制度詳細'!$J$31&gt;=Y$100,'制度詳細'!$J$31&lt;=EOMONTH(Y$100,0)),"◆","")))</x:f>
      </x:c>
      <x:c r="Z103" s="57" t="str">
        <x:f>IF('制度詳細'!$H$31="",IF('制度詳細'!$J$31="","",IF(AND('制度詳細'!$J$31&gt;=Z$100,'制度詳細'!$J$31&lt;=EOMONTH(Z$100,0)),"◆","")),IF(MAX('制度詳細'!$H$31,Z$100)&lt;=MIN(IF('制度詳細'!$I$31="",EOMONTH(Z$100,0),'制度詳細'!$I$31),EOMONTH(Z$100,0)),"■",IF(AND('制度詳細'!$J$31&lt;&gt;"",'制度詳細'!$J$31&gt;=Z$100,'制度詳細'!$J$31&lt;=EOMONTH(Z$100,0)),"◆","")))</x:f>
      </x:c>
      <x:c r="AA103" s="57" t="str">
        <x:f>IF('制度詳細'!$H$31="",IF('制度詳細'!$J$31="","",IF(AND('制度詳細'!$J$31&gt;=AA$100,'制度詳細'!$J$31&lt;=EOMONTH(AA$100,0)),"◆","")),IF(MAX('制度詳細'!$H$31,AA$100)&lt;=MIN(IF('制度詳細'!$I$31="",EOMONTH(AA$100,0),'制度詳細'!$I$31),EOMONTH(AA$100,0)),"■",IF(AND('制度詳細'!$J$31&lt;&gt;"",'制度詳細'!$J$31&gt;=AA$100,'制度詳細'!$J$31&lt;=EOMONTH(AA$100,0)),"◆","")))</x:f>
      </x:c>
      <x:c r="AB103" s="57" t="str">
        <x:f>IF('制度詳細'!$H$31="",IF('制度詳細'!$J$31="","",IF(AND('制度詳細'!$J$31&gt;=AB$100,'制度詳細'!$J$31&lt;=EOMONTH(AB$100,0)),"◆","")),IF(MAX('制度詳細'!$H$31,AB$100)&lt;=MIN(IF('制度詳細'!$I$31="",EOMONTH(AB$100,0),'制度詳細'!$I$31),EOMONTH(AB$100,0)),"■",IF(AND('制度詳細'!$J$31&lt;&gt;"",'制度詳細'!$J$31&gt;=AB$100,'制度詳細'!$J$31&lt;=EOMONTH(AB$100,0)),"◆","")))</x:f>
      </x:c>
      <x:c r="AC103" s="57" t="str">
        <x:f>IF('制度詳細'!$H$31="",IF('制度詳細'!$J$31="","",IF(AND('制度詳細'!$J$31&gt;=AC$100,'制度詳細'!$J$31&lt;=EOMONTH(AC$100,0)),"◆","")),IF(MAX('制度詳細'!$H$31,AC$100)&lt;=MIN(IF('制度詳細'!$I$31="",EOMONTH(AC$100,0),'制度詳細'!$I$31),EOMONTH(AC$100,0)),"■",IF(AND('制度詳細'!$J$31&lt;&gt;"",'制度詳細'!$J$31&gt;=AC$100,'制度詳細'!$J$31&lt;=EOMONTH(AC$100,0)),"◆","")))</x:f>
      </x:c>
      <x:c r="AD103" s="57" t="str">
        <x:f>IF('制度詳細'!$H$31="",IF('制度詳細'!$J$31="","",IF(AND('制度詳細'!$J$31&gt;=AD$100,'制度詳細'!$J$31&lt;=EOMONTH(AD$100,0)),"◆","")),IF(MAX('制度詳細'!$H$31,AD$100)&lt;=MIN(IF('制度詳細'!$I$31="",EOMONTH(AD$100,0),'制度詳細'!$I$31),EOMONTH(AD$100,0)),"■",IF(AND('制度詳細'!$J$31&lt;&gt;"",'制度詳細'!$J$31&gt;=AD$100,'制度詳細'!$J$31&lt;=EOMONTH(AD$100,0)),"◆","")))</x:f>
      </x:c>
      <x:c r="AE103" s="57" t="str">
        <x:f>IF('制度詳細'!$H$31="",IF('制度詳細'!$J$31="","",IF(AND('制度詳細'!$J$31&gt;=AE$100,'制度詳細'!$J$31&lt;=EOMONTH(AE$100,0)),"◆","")),IF(MAX('制度詳細'!$H$31,AE$100)&lt;=MIN(IF('制度詳細'!$I$31="",EOMONTH(AE$100,0),'制度詳細'!$I$31),EOMONTH(AE$100,0)),"■",IF(AND('制度詳細'!$J$31&lt;&gt;"",'制度詳細'!$J$31&gt;=AE$100,'制度詳細'!$J$31&lt;=EOMONTH(AE$100,0)),"◆","")))</x:f>
      </x:c>
      <x:c r="AF103" s="57" t="str">
        <x:f>IF('制度詳細'!$H$31="",IF('制度詳細'!$J$31="","",IF(AND('制度詳細'!$J$31&gt;=AF$100,'制度詳細'!$J$31&lt;=EOMONTH(AF$100,0)),"◆","")),IF(MAX('制度詳細'!$H$31,AF$100)&lt;=MIN(IF('制度詳細'!$I$31="",EOMONTH(AF$100,0),'制度詳細'!$I$31),EOMONTH(AF$100,0)),"■",IF(AND('制度詳細'!$J$31&lt;&gt;"",'制度詳細'!$J$31&gt;=AF$100,'制度詳細'!$J$31&lt;=EOMONTH(AF$100,0)),"◆","")))</x:f>
      </x:c>
      <x:c r="AG103" s="57" t="str">
        <x:f>IF('制度詳細'!$H$31="",IF('制度詳細'!$J$31="","",IF(AND('制度詳細'!$J$31&gt;=AG$100,'制度詳細'!$J$31&lt;=EOMONTH(AG$100,0)),"◆","")),IF(MAX('制度詳細'!$H$31,AG$100)&lt;=MIN(IF('制度詳細'!$I$31="",EOMONTH(AG$100,0),'制度詳細'!$I$31),EOMONTH(AG$100,0)),"■",IF(AND('制度詳細'!$J$31&lt;&gt;"",'制度詳細'!$J$31&gt;=AG$100,'制度詳細'!$J$31&lt;=EOMONTH(AG$100,0)),"◆","")))</x:f>
      </x:c>
      <x:c r="AH103" s="57" t="str">
        <x:f>IF('制度詳細'!$H$31="",IF('制度詳細'!$J$31="","",IF(AND('制度詳細'!$J$31&gt;=AH$100,'制度詳細'!$J$31&lt;=EOMONTH(AH$100,0)),"◆","")),IF(MAX('制度詳細'!$H$31,AH$100)&lt;=MIN(IF('制度詳細'!$I$31="",EOMONTH(AH$100,0),'制度詳細'!$I$31),EOMONTH(AH$100,0)),"■",IF(AND('制度詳細'!$J$31&lt;&gt;"",'制度詳細'!$J$31&gt;=AH$100,'制度詳細'!$J$31&lt;=EOMONTH(AH$100,0)),"◆","")))</x:f>
      </x:c>
      <x:c r="AI103" s="57" t="str">
        <x:f>IF('制度詳細'!$H$31="",IF('制度詳細'!$J$31="","",IF(AND('制度詳細'!$J$31&gt;=AI$100,'制度詳細'!$J$31&lt;=EOMONTH(AI$100,0)),"◆","")),IF(MAX('制度詳細'!$H$31,AI$100)&lt;=MIN(IF('制度詳細'!$I$31="",EOMONTH(AI$100,0),'制度詳細'!$I$31),EOMONTH(AI$100,0)),"■",IF(AND('制度詳細'!$J$31&lt;&gt;"",'制度詳細'!$J$31&gt;=AI$100,'制度詳細'!$J$31&lt;=EOMONTH(AI$100,0)),"◆","")))</x:f>
      </x:c>
      <x:c r="AJ103" s="57" t="str">
        <x:f>IF('制度詳細'!$H$31="",IF('制度詳細'!$J$31="","",IF(AND('制度詳細'!$J$31&gt;=AJ$100,'制度詳細'!$J$31&lt;=EOMONTH(AJ$100,0)),"◆","")),IF(MAX('制度詳細'!$H$31,AJ$100)&lt;=MIN(IF('制度詳細'!$I$31="",EOMONTH(AJ$100,0),'制度詳細'!$I$31),EOMONTH(AJ$100,0)),"■",IF(AND('制度詳細'!$J$31&lt;&gt;"",'制度詳細'!$J$31&gt;=AJ$100,'制度詳細'!$J$31&lt;=EOMONTH(AJ$100,0)),"◆","")))</x:f>
        <x:v>◆</x:v>
      </x:c>
      <x:c r="AK103" s="57" t="str">
        <x:f>IF('制度詳細'!$H$31="",IF('制度詳細'!$J$31="","",IF(AND('制度詳細'!$J$31&gt;=AK$100,'制度詳細'!$J$31&lt;=EOMONTH(AK$100,0)),"◆","")),IF(MAX('制度詳細'!$H$31,AK$100)&lt;=MIN(IF('制度詳細'!$I$31="",EOMONTH(AK$100,0),'制度詳細'!$I$31),EOMONTH(AK$100,0)),"■",IF(AND('制度詳細'!$J$31&lt;&gt;"",'制度詳細'!$J$31&gt;=AK$100,'制度詳細'!$J$31&lt;=EOMONTH(AK$100,0)),"◆","")))</x:f>
      </x:c>
      <x:c r="AL103" s="57" t="str">
        <x:f>IF('制度詳細'!$H$31="",IF('制度詳細'!$J$31="","",IF(AND('制度詳細'!$J$31&gt;=AL$100,'制度詳細'!$J$31&lt;=EOMONTH(AL$100,0)),"◆","")),IF(MAX('制度詳細'!$H$31,AL$100)&lt;=MIN(IF('制度詳細'!$I$31="",EOMONTH(AL$100,0),'制度詳細'!$I$31),EOMONTH(AL$100,0)),"■",IF(AND('制度詳細'!$J$31&lt;&gt;"",'制度詳細'!$J$31&gt;=AL$100,'制度詳細'!$J$31&lt;=EOMONTH(AL$100,0)),"◆","")))</x:f>
      </x:c>
      <x:c r="AM103" s="57" t="str">
        <x:f>IF('制度詳細'!$H$31="",IF('制度詳細'!$J$31="","",IF(AND('制度詳細'!$J$31&gt;=AM$100,'制度詳細'!$J$31&lt;=EOMONTH(AM$100,0)),"◆","")),IF(MAX('制度詳細'!$H$31,AM$100)&lt;=MIN(IF('制度詳細'!$I$31="",EOMONTH(AM$100,0),'制度詳細'!$I$31),EOMONTH(AM$100,0)),"■",IF(AND('制度詳細'!$J$31&lt;&gt;"",'制度詳細'!$J$31&gt;=AM$100,'制度詳細'!$J$31&lt;=EOMONTH(AM$100,0)),"◆","")))</x:f>
      </x:c>
      <x:c r="AN103" s="57" t="str">
        <x:f>IF('制度詳細'!$H$31="",IF('制度詳細'!$J$31="","",IF(AND('制度詳細'!$J$31&gt;=AN$100,'制度詳細'!$J$31&lt;=EOMONTH(AN$100,0)),"◆","")),IF(MAX('制度詳細'!$H$31,AN$100)&lt;=MIN(IF('制度詳細'!$I$31="",EOMONTH(AN$100,0),'制度詳細'!$I$31),EOMONTH(AN$100,0)),"■",IF(AND('制度詳細'!$J$31&lt;&gt;"",'制度詳細'!$J$31&gt;=AN$100,'制度詳細'!$J$31&lt;=EOMONTH(AN$100,0)),"◆","")))</x:f>
      </x:c>
      <x:c r="AO103" s="57" t="str">
        <x:f>IF('制度詳細'!$H$31="",IF('制度詳細'!$J$31="","",IF(AND('制度詳細'!$J$31&gt;=AO$100,'制度詳細'!$J$31&lt;=EOMONTH(AO$100,0)),"◆","")),IF(MAX('制度詳細'!$H$31,AO$100)&lt;=MIN(IF('制度詳細'!$I$31="",EOMONTH(AO$100,0),'制度詳細'!$I$31),EOMONTH(AO$100,0)),"■",IF(AND('制度詳細'!$J$31&lt;&gt;"",'制度詳細'!$J$31&gt;=AO$100,'制度詳細'!$J$31&lt;=EOMONTH(AO$100,0)),"◆","")))</x:f>
      </x:c>
      <x:c r="AP103" s="57" t="str">
        <x:f>IF('制度詳細'!$H$31="",IF('制度詳細'!$J$31="","",IF(AND('制度詳細'!$J$31&gt;=AP$100,'制度詳細'!$J$31&lt;=EOMONTH(AP$100,0)),"◆","")),IF(MAX('制度詳細'!$H$31,AP$100)&lt;=MIN(IF('制度詳細'!$I$31="",EOMONTH(AP$100,0),'制度詳細'!$I$31),EOMONTH(AP$100,0)),"■",IF(AND('制度詳細'!$J$31&lt;&gt;"",'制度詳細'!$J$31&gt;=AP$100,'制度詳細'!$J$31&lt;=EOMONTH(AP$100,0)),"◆","")))</x:f>
      </x:c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</x:row>
    <x:row r="104" ht="30" customHeight="1">
      <x:c r="A104" s="59" t="str">
        <x:v>VN04 BEV：特別消費税3%</x:v>
      </x:c>
      <x:c r="B104" s="59"/>
      <x:c r="C104" s="59"/>
      <x:c r="D104" s="59"/>
      <x:c r="E104" s="59"/>
      <x:c r="F104" s="59"/>
      <x:c r="G104" s="57" t="str">
        <x:f>IF('制度詳細'!$H$32="",IF('制度詳細'!$J$32="","",IF(AND('制度詳細'!$J$32&gt;=G$100,'制度詳細'!$J$32&lt;=EOMONTH(G$100,0)),"◆","")),IF(MAX('制度詳細'!$H$32,G$100)&lt;=MIN(IF('制度詳細'!$I$32="",EOMONTH(G$100,0),'制度詳細'!$I$32),EOMONTH(G$100,0)),"■",IF(AND('制度詳細'!$J$32&lt;&gt;"",'制度詳細'!$J$32&gt;=G$100,'制度詳細'!$J$32&lt;=EOMONTH(G$100,0)),"◆","")))</x:f>
        <x:v>■</x:v>
      </x:c>
      <x:c r="H104" s="57" t="str">
        <x:f>IF('制度詳細'!$H$32="",IF('制度詳細'!$J$32="","",IF(AND('制度詳細'!$J$32&gt;=H$100,'制度詳細'!$J$32&lt;=EOMONTH(H$100,0)),"◆","")),IF(MAX('制度詳細'!$H$32,H$100)&lt;=MIN(IF('制度詳細'!$I$32="",EOMONTH(H$100,0),'制度詳細'!$I$32),EOMONTH(H$100,0)),"■",IF(AND('制度詳細'!$J$32&lt;&gt;"",'制度詳細'!$J$32&gt;=H$100,'制度詳細'!$J$32&lt;=EOMONTH(H$100,0)),"◆","")))</x:f>
        <x:v>■</x:v>
      </x:c>
      <x:c r="I104" s="57" t="str">
        <x:f>IF('制度詳細'!$H$32="",IF('制度詳細'!$J$32="","",IF(AND('制度詳細'!$J$32&gt;=I$100,'制度詳細'!$J$32&lt;=EOMONTH(I$100,0)),"◆","")),IF(MAX('制度詳細'!$H$32,I$100)&lt;=MIN(IF('制度詳細'!$I$32="",EOMONTH(I$100,0),'制度詳細'!$I$32),EOMONTH(I$100,0)),"■",IF(AND('制度詳細'!$J$32&lt;&gt;"",'制度詳細'!$J$32&gt;=I$100,'制度詳細'!$J$32&lt;=EOMONTH(I$100,0)),"◆","")))</x:f>
        <x:v>■</x:v>
      </x:c>
      <x:c r="J104" s="57" t="str">
        <x:f>IF('制度詳細'!$H$32="",IF('制度詳細'!$J$32="","",IF(AND('制度詳細'!$J$32&gt;=J$100,'制度詳細'!$J$32&lt;=EOMONTH(J$100,0)),"◆","")),IF(MAX('制度詳細'!$H$32,J$100)&lt;=MIN(IF('制度詳細'!$I$32="",EOMONTH(J$100,0),'制度詳細'!$I$32),EOMONTH(J$100,0)),"■",IF(AND('制度詳細'!$J$32&lt;&gt;"",'制度詳細'!$J$32&gt;=J$100,'制度詳細'!$J$32&lt;=EOMONTH(J$100,0)),"◆","")))</x:f>
        <x:v>■</x:v>
      </x:c>
      <x:c r="K104" s="57" t="str">
        <x:f>IF('制度詳細'!$H$32="",IF('制度詳細'!$J$32="","",IF(AND('制度詳細'!$J$32&gt;=K$100,'制度詳細'!$J$32&lt;=EOMONTH(K$100,0)),"◆","")),IF(MAX('制度詳細'!$H$32,K$100)&lt;=MIN(IF('制度詳細'!$I$32="",EOMONTH(K$100,0),'制度詳細'!$I$32),EOMONTH(K$100,0)),"■",IF(AND('制度詳細'!$J$32&lt;&gt;"",'制度詳細'!$J$32&gt;=K$100,'制度詳細'!$J$32&lt;=EOMONTH(K$100,0)),"◆","")))</x:f>
        <x:v>■</x:v>
      </x:c>
      <x:c r="L104" s="57" t="str">
        <x:f>IF('制度詳細'!$H$32="",IF('制度詳細'!$J$32="","",IF(AND('制度詳細'!$J$32&gt;=L$100,'制度詳細'!$J$32&lt;=EOMONTH(L$100,0)),"◆","")),IF(MAX('制度詳細'!$H$32,L$100)&lt;=MIN(IF('制度詳細'!$I$32="",EOMONTH(L$100,0),'制度詳細'!$I$32),EOMONTH(L$100,0)),"■",IF(AND('制度詳細'!$J$32&lt;&gt;"",'制度詳細'!$J$32&gt;=L$100,'制度詳細'!$J$32&lt;=EOMONTH(L$100,0)),"◆","")))</x:f>
        <x:v>■</x:v>
      </x:c>
      <x:c r="M104" s="57" t="str">
        <x:f>IF('制度詳細'!$H$32="",IF('制度詳細'!$J$32="","",IF(AND('制度詳細'!$J$32&gt;=M$100,'制度詳細'!$J$32&lt;=EOMONTH(M$100,0)),"◆","")),IF(MAX('制度詳細'!$H$32,M$100)&lt;=MIN(IF('制度詳細'!$I$32="",EOMONTH(M$100,0),'制度詳細'!$I$32),EOMONTH(M$100,0)),"■",IF(AND('制度詳細'!$J$32&lt;&gt;"",'制度詳細'!$J$32&gt;=M$100,'制度詳細'!$J$32&lt;=EOMONTH(M$100,0)),"◆","")))</x:f>
        <x:v>■</x:v>
      </x:c>
      <x:c r="N104" s="57" t="str">
        <x:f>IF('制度詳細'!$H$32="",IF('制度詳細'!$J$32="","",IF(AND('制度詳細'!$J$32&gt;=N$100,'制度詳細'!$J$32&lt;=EOMONTH(N$100,0)),"◆","")),IF(MAX('制度詳細'!$H$32,N$100)&lt;=MIN(IF('制度詳細'!$I$32="",EOMONTH(N$100,0),'制度詳細'!$I$32),EOMONTH(N$100,0)),"■",IF(AND('制度詳細'!$J$32&lt;&gt;"",'制度詳細'!$J$32&gt;=N$100,'制度詳細'!$J$32&lt;=EOMONTH(N$100,0)),"◆","")))</x:f>
        <x:v>■</x:v>
      </x:c>
      <x:c r="O104" s="57" t="str">
        <x:f>IF('制度詳細'!$H$32="",IF('制度詳細'!$J$32="","",IF(AND('制度詳細'!$J$32&gt;=O$100,'制度詳細'!$J$32&lt;=EOMONTH(O$100,0)),"◆","")),IF(MAX('制度詳細'!$H$32,O$100)&lt;=MIN(IF('制度詳細'!$I$32="",EOMONTH(O$100,0),'制度詳細'!$I$32),EOMONTH(O$100,0)),"■",IF(AND('制度詳細'!$J$32&lt;&gt;"",'制度詳細'!$J$32&gt;=O$100,'制度詳細'!$J$32&lt;=EOMONTH(O$100,0)),"◆","")))</x:f>
        <x:v>■</x:v>
      </x:c>
      <x:c r="P104" s="57" t="str">
        <x:f>IF('制度詳細'!$H$32="",IF('制度詳細'!$J$32="","",IF(AND('制度詳細'!$J$32&gt;=P$100,'制度詳細'!$J$32&lt;=EOMONTH(P$100,0)),"◆","")),IF(MAX('制度詳細'!$H$32,P$100)&lt;=MIN(IF('制度詳細'!$I$32="",EOMONTH(P$100,0),'制度詳細'!$I$32),EOMONTH(P$100,0)),"■",IF(AND('制度詳細'!$J$32&lt;&gt;"",'制度詳細'!$J$32&gt;=P$100,'制度詳細'!$J$32&lt;=EOMONTH(P$100,0)),"◆","")))</x:f>
        <x:v>■</x:v>
      </x:c>
      <x:c r="Q104" s="57" t="str">
        <x:f>IF('制度詳細'!$H$32="",IF('制度詳細'!$J$32="","",IF(AND('制度詳細'!$J$32&gt;=Q$100,'制度詳細'!$J$32&lt;=EOMONTH(Q$100,0)),"◆","")),IF(MAX('制度詳細'!$H$32,Q$100)&lt;=MIN(IF('制度詳細'!$I$32="",EOMONTH(Q$100,0),'制度詳細'!$I$32),EOMONTH(Q$100,0)),"■",IF(AND('制度詳細'!$J$32&lt;&gt;"",'制度詳細'!$J$32&gt;=Q$100,'制度詳細'!$J$32&lt;=EOMONTH(Q$100,0)),"◆","")))</x:f>
        <x:v>■</x:v>
      </x:c>
      <x:c r="R104" s="57" t="str">
        <x:f>IF('制度詳細'!$H$32="",IF('制度詳細'!$J$32="","",IF(AND('制度詳細'!$J$32&gt;=R$100,'制度詳細'!$J$32&lt;=EOMONTH(R$100,0)),"◆","")),IF(MAX('制度詳細'!$H$32,R$100)&lt;=MIN(IF('制度詳細'!$I$32="",EOMONTH(R$100,0),'制度詳細'!$I$32),EOMONTH(R$100,0)),"■",IF(AND('制度詳細'!$J$32&lt;&gt;"",'制度詳細'!$J$32&gt;=R$100,'制度詳細'!$J$32&lt;=EOMONTH(R$100,0)),"◆","")))</x:f>
        <x:v>■</x:v>
      </x:c>
      <x:c r="S104" s="57" t="str">
        <x:f>IF('制度詳細'!$H$32="",IF('制度詳細'!$J$32="","",IF(AND('制度詳細'!$J$32&gt;=S$100,'制度詳細'!$J$32&lt;=EOMONTH(S$100,0)),"◆","")),IF(MAX('制度詳細'!$H$32,S$100)&lt;=MIN(IF('制度詳細'!$I$32="",EOMONTH(S$100,0),'制度詳細'!$I$32),EOMONTH(S$100,0)),"■",IF(AND('制度詳細'!$J$32&lt;&gt;"",'制度詳細'!$J$32&gt;=S$100,'制度詳細'!$J$32&lt;=EOMONTH(S$100,0)),"◆","")))</x:f>
        <x:v>■</x:v>
      </x:c>
      <x:c r="T104" s="57" t="str">
        <x:f>IF('制度詳細'!$H$32="",IF('制度詳細'!$J$32="","",IF(AND('制度詳細'!$J$32&gt;=T$100,'制度詳細'!$J$32&lt;=EOMONTH(T$100,0)),"◆","")),IF(MAX('制度詳細'!$H$32,T$100)&lt;=MIN(IF('制度詳細'!$I$32="",EOMONTH(T$100,0),'制度詳細'!$I$32),EOMONTH(T$100,0)),"■",IF(AND('制度詳細'!$J$32&lt;&gt;"",'制度詳細'!$J$32&gt;=T$100,'制度詳細'!$J$32&lt;=EOMONTH(T$100,0)),"◆","")))</x:f>
        <x:v>■</x:v>
      </x:c>
      <x:c r="U104" s="57" t="str">
        <x:f>IF('制度詳細'!$H$32="",IF('制度詳細'!$J$32="","",IF(AND('制度詳細'!$J$32&gt;=U$100,'制度詳細'!$J$32&lt;=EOMONTH(U$100,0)),"◆","")),IF(MAX('制度詳細'!$H$32,U$100)&lt;=MIN(IF('制度詳細'!$I$32="",EOMONTH(U$100,0),'制度詳細'!$I$32),EOMONTH(U$100,0)),"■",IF(AND('制度詳細'!$J$32&lt;&gt;"",'制度詳細'!$J$32&gt;=U$100,'制度詳細'!$J$32&lt;=EOMONTH(U$100,0)),"◆","")))</x:f>
        <x:v>■</x:v>
      </x:c>
      <x:c r="V104" s="57" t="str">
        <x:f>IF('制度詳細'!$H$32="",IF('制度詳細'!$J$32="","",IF(AND('制度詳細'!$J$32&gt;=V$100,'制度詳細'!$J$32&lt;=EOMONTH(V$100,0)),"◆","")),IF(MAX('制度詳細'!$H$32,V$100)&lt;=MIN(IF('制度詳細'!$I$32="",EOMONTH(V$100,0),'制度詳細'!$I$32),EOMONTH(V$100,0)),"■",IF(AND('制度詳細'!$J$32&lt;&gt;"",'制度詳細'!$J$32&gt;=V$100,'制度詳細'!$J$32&lt;=EOMONTH(V$100,0)),"◆","")))</x:f>
        <x:v>■</x:v>
      </x:c>
      <x:c r="W104" s="57" t="str">
        <x:f>IF('制度詳細'!$H$32="",IF('制度詳細'!$J$32="","",IF(AND('制度詳細'!$J$32&gt;=W$100,'制度詳細'!$J$32&lt;=EOMONTH(W$100,0)),"◆","")),IF(MAX('制度詳細'!$H$32,W$100)&lt;=MIN(IF('制度詳細'!$I$32="",EOMONTH(W$100,0),'制度詳細'!$I$32),EOMONTH(W$100,0)),"■",IF(AND('制度詳細'!$J$32&lt;&gt;"",'制度詳細'!$J$32&gt;=W$100,'制度詳細'!$J$32&lt;=EOMONTH(W$100,0)),"◆","")))</x:f>
        <x:v>■</x:v>
      </x:c>
      <x:c r="X104" s="57" t="str">
        <x:f>IF('制度詳細'!$H$32="",IF('制度詳細'!$J$32="","",IF(AND('制度詳細'!$J$32&gt;=X$100,'制度詳細'!$J$32&lt;=EOMONTH(X$100,0)),"◆","")),IF(MAX('制度詳細'!$H$32,X$100)&lt;=MIN(IF('制度詳細'!$I$32="",EOMONTH(X$100,0),'制度詳細'!$I$32),EOMONTH(X$100,0)),"■",IF(AND('制度詳細'!$J$32&lt;&gt;"",'制度詳細'!$J$32&gt;=X$100,'制度詳細'!$J$32&lt;=EOMONTH(X$100,0)),"◆","")))</x:f>
        <x:v>■</x:v>
      </x:c>
      <x:c r="Y104" s="57" t="str">
        <x:f>IF('制度詳細'!$H$32="",IF('制度詳細'!$J$32="","",IF(AND('制度詳細'!$J$32&gt;=Y$100,'制度詳細'!$J$32&lt;=EOMONTH(Y$100,0)),"◆","")),IF(MAX('制度詳細'!$H$32,Y$100)&lt;=MIN(IF('制度詳細'!$I$32="",EOMONTH(Y$100,0),'制度詳細'!$I$32),EOMONTH(Y$100,0)),"■",IF(AND('制度詳細'!$J$32&lt;&gt;"",'制度詳細'!$J$32&gt;=Y$100,'制度詳細'!$J$32&lt;=EOMONTH(Y$100,0)),"◆","")))</x:f>
        <x:v>■</x:v>
      </x:c>
      <x:c r="Z104" s="57" t="str">
        <x:f>IF('制度詳細'!$H$32="",IF('制度詳細'!$J$32="","",IF(AND('制度詳細'!$J$32&gt;=Z$100,'制度詳細'!$J$32&lt;=EOMONTH(Z$100,0)),"◆","")),IF(MAX('制度詳細'!$H$32,Z$100)&lt;=MIN(IF('制度詳細'!$I$32="",EOMONTH(Z$100,0),'制度詳細'!$I$32),EOMONTH(Z$100,0)),"■",IF(AND('制度詳細'!$J$32&lt;&gt;"",'制度詳細'!$J$32&gt;=Z$100,'制度詳細'!$J$32&lt;=EOMONTH(Z$100,0)),"◆","")))</x:f>
        <x:v>■</x:v>
      </x:c>
      <x:c r="AA104" s="57" t="str">
        <x:f>IF('制度詳細'!$H$32="",IF('制度詳細'!$J$32="","",IF(AND('制度詳細'!$J$32&gt;=AA$100,'制度詳細'!$J$32&lt;=EOMONTH(AA$100,0)),"◆","")),IF(MAX('制度詳細'!$H$32,AA$100)&lt;=MIN(IF('制度詳細'!$I$32="",EOMONTH(AA$100,0),'制度詳細'!$I$32),EOMONTH(AA$100,0)),"■",IF(AND('制度詳細'!$J$32&lt;&gt;"",'制度詳細'!$J$32&gt;=AA$100,'制度詳細'!$J$32&lt;=EOMONTH(AA$100,0)),"◆","")))</x:f>
        <x:v>■</x:v>
      </x:c>
      <x:c r="AB104" s="57" t="str">
        <x:f>IF('制度詳細'!$H$32="",IF('制度詳細'!$J$32="","",IF(AND('制度詳細'!$J$32&gt;=AB$100,'制度詳細'!$J$32&lt;=EOMONTH(AB$100,0)),"◆","")),IF(MAX('制度詳細'!$H$32,AB$100)&lt;=MIN(IF('制度詳細'!$I$32="",EOMONTH(AB$100,0),'制度詳細'!$I$32),EOMONTH(AB$100,0)),"■",IF(AND('制度詳細'!$J$32&lt;&gt;"",'制度詳細'!$J$32&gt;=AB$100,'制度詳細'!$J$32&lt;=EOMONTH(AB$100,0)),"◆","")))</x:f>
        <x:v>■</x:v>
      </x:c>
      <x:c r="AC104" s="57" t="str">
        <x:f>IF('制度詳細'!$H$32="",IF('制度詳細'!$J$32="","",IF(AND('制度詳細'!$J$32&gt;=AC$100,'制度詳細'!$J$32&lt;=EOMONTH(AC$100,0)),"◆","")),IF(MAX('制度詳細'!$H$32,AC$100)&lt;=MIN(IF('制度詳細'!$I$32="",EOMONTH(AC$100,0),'制度詳細'!$I$32),EOMONTH(AC$100,0)),"■",IF(AND('制度詳細'!$J$32&lt;&gt;"",'制度詳細'!$J$32&gt;=AC$100,'制度詳細'!$J$32&lt;=EOMONTH(AC$100,0)),"◆","")))</x:f>
        <x:v>■</x:v>
      </x:c>
      <x:c r="AD104" s="57" t="str">
        <x:f>IF('制度詳細'!$H$32="",IF('制度詳細'!$J$32="","",IF(AND('制度詳細'!$J$32&gt;=AD$100,'制度詳細'!$J$32&lt;=EOMONTH(AD$100,0)),"◆","")),IF(MAX('制度詳細'!$H$32,AD$100)&lt;=MIN(IF('制度詳細'!$I$32="",EOMONTH(AD$100,0),'制度詳細'!$I$32),EOMONTH(AD$100,0)),"■",IF(AND('制度詳細'!$J$32&lt;&gt;"",'制度詳細'!$J$32&gt;=AD$100,'制度詳細'!$J$32&lt;=EOMONTH(AD$100,0)),"◆","")))</x:f>
        <x:v>■</x:v>
      </x:c>
      <x:c r="AE104" s="57" t="str">
        <x:f>IF('制度詳細'!$H$32="",IF('制度詳細'!$J$32="","",IF(AND('制度詳細'!$J$32&gt;=AE$100,'制度詳細'!$J$32&lt;=EOMONTH(AE$100,0)),"◆","")),IF(MAX('制度詳細'!$H$32,AE$100)&lt;=MIN(IF('制度詳細'!$I$32="",EOMONTH(AE$100,0),'制度詳細'!$I$32),EOMONTH(AE$100,0)),"■",IF(AND('制度詳細'!$J$32&lt;&gt;"",'制度詳細'!$J$32&gt;=AE$100,'制度詳細'!$J$32&lt;=EOMONTH(AE$100,0)),"◆","")))</x:f>
        <x:v>■</x:v>
      </x:c>
      <x:c r="AF104" s="57" t="str">
        <x:f>IF('制度詳細'!$H$32="",IF('制度詳細'!$J$32="","",IF(AND('制度詳細'!$J$32&gt;=AF$100,'制度詳細'!$J$32&lt;=EOMONTH(AF$100,0)),"◆","")),IF(MAX('制度詳細'!$H$32,AF$100)&lt;=MIN(IF('制度詳細'!$I$32="",EOMONTH(AF$100,0),'制度詳細'!$I$32),EOMONTH(AF$100,0)),"■",IF(AND('制度詳細'!$J$32&lt;&gt;"",'制度詳細'!$J$32&gt;=AF$100,'制度詳細'!$J$32&lt;=EOMONTH(AF$100,0)),"◆","")))</x:f>
        <x:v>■</x:v>
      </x:c>
      <x:c r="AG104" s="57" t="str">
        <x:f>IF('制度詳細'!$H$32="",IF('制度詳細'!$J$32="","",IF(AND('制度詳細'!$J$32&gt;=AG$100,'制度詳細'!$J$32&lt;=EOMONTH(AG$100,0)),"◆","")),IF(MAX('制度詳細'!$H$32,AG$100)&lt;=MIN(IF('制度詳細'!$I$32="",EOMONTH(AG$100,0),'制度詳細'!$I$32),EOMONTH(AG$100,0)),"■",IF(AND('制度詳細'!$J$32&lt;&gt;"",'制度詳細'!$J$32&gt;=AG$100,'制度詳細'!$J$32&lt;=EOMONTH(AG$100,0)),"◆","")))</x:f>
        <x:v>■</x:v>
      </x:c>
      <x:c r="AH104" s="57" t="str">
        <x:f>IF('制度詳細'!$H$32="",IF('制度詳細'!$J$32="","",IF(AND('制度詳細'!$J$32&gt;=AH$100,'制度詳細'!$J$32&lt;=EOMONTH(AH$100,0)),"◆","")),IF(MAX('制度詳細'!$H$32,AH$100)&lt;=MIN(IF('制度詳細'!$I$32="",EOMONTH(AH$100,0),'制度詳細'!$I$32),EOMONTH(AH$100,0)),"■",IF(AND('制度詳細'!$J$32&lt;&gt;"",'制度詳細'!$J$32&gt;=AH$100,'制度詳細'!$J$32&lt;=EOMONTH(AH$100,0)),"◆","")))</x:f>
        <x:v>■</x:v>
      </x:c>
      <x:c r="AI104" s="57" t="str">
        <x:f>IF('制度詳細'!$H$32="",IF('制度詳細'!$J$32="","",IF(AND('制度詳細'!$J$32&gt;=AI$100,'制度詳細'!$J$32&lt;=EOMONTH(AI$100,0)),"◆","")),IF(MAX('制度詳細'!$H$32,AI$100)&lt;=MIN(IF('制度詳細'!$I$32="",EOMONTH(AI$100,0),'制度詳細'!$I$32),EOMONTH(AI$100,0)),"■",IF(AND('制度詳細'!$J$32&lt;&gt;"",'制度詳細'!$J$32&gt;=AI$100,'制度詳細'!$J$32&lt;=EOMONTH(AI$100,0)),"◆","")))</x:f>
        <x:v>■</x:v>
      </x:c>
      <x:c r="AJ104" s="57" t="str">
        <x:f>IF('制度詳細'!$H$32="",IF('制度詳細'!$J$32="","",IF(AND('制度詳細'!$J$32&gt;=AJ$100,'制度詳細'!$J$32&lt;=EOMONTH(AJ$100,0)),"◆","")),IF(MAX('制度詳細'!$H$32,AJ$100)&lt;=MIN(IF('制度詳細'!$I$32="",EOMONTH(AJ$100,0),'制度詳細'!$I$32),EOMONTH(AJ$100,0)),"■",IF(AND('制度詳細'!$J$32&lt;&gt;"",'制度詳細'!$J$32&gt;=AJ$100,'制度詳細'!$J$32&lt;=EOMONTH(AJ$100,0)),"◆","")))</x:f>
        <x:v>■</x:v>
      </x:c>
      <x:c r="AK104" s="57" t="str">
        <x:f>IF('制度詳細'!$H$32="",IF('制度詳細'!$J$32="","",IF(AND('制度詳細'!$J$32&gt;=AK$100,'制度詳細'!$J$32&lt;=EOMONTH(AK$100,0)),"◆","")),IF(MAX('制度詳細'!$H$32,AK$100)&lt;=MIN(IF('制度詳細'!$I$32="",EOMONTH(AK$100,0),'制度詳細'!$I$32),EOMONTH(AK$100,0)),"■",IF(AND('制度詳細'!$J$32&lt;&gt;"",'制度詳細'!$J$32&gt;=AK$100,'制度詳細'!$J$32&lt;=EOMONTH(AK$100,0)),"◆","")))</x:f>
        <x:v>■</x:v>
      </x:c>
      <x:c r="AL104" s="57" t="str">
        <x:f>IF('制度詳細'!$H$32="",IF('制度詳細'!$J$32="","",IF(AND('制度詳細'!$J$32&gt;=AL$100,'制度詳細'!$J$32&lt;=EOMONTH(AL$100,0)),"◆","")),IF(MAX('制度詳細'!$H$32,AL$100)&lt;=MIN(IF('制度詳細'!$I$32="",EOMONTH(AL$100,0),'制度詳細'!$I$32),EOMONTH(AL$100,0)),"■",IF(AND('制度詳細'!$J$32&lt;&gt;"",'制度詳細'!$J$32&gt;=AL$100,'制度詳細'!$J$32&lt;=EOMONTH(AL$100,0)),"◆","")))</x:f>
        <x:v>■</x:v>
      </x:c>
      <x:c r="AM104" s="57" t="str">
        <x:f>IF('制度詳細'!$H$32="",IF('制度詳細'!$J$32="","",IF(AND('制度詳細'!$J$32&gt;=AM$100,'制度詳細'!$J$32&lt;=EOMONTH(AM$100,0)),"◆","")),IF(MAX('制度詳細'!$H$32,AM$100)&lt;=MIN(IF('制度詳細'!$I$32="",EOMONTH(AM$100,0),'制度詳細'!$I$32),EOMONTH(AM$100,0)),"■",IF(AND('制度詳細'!$J$32&lt;&gt;"",'制度詳細'!$J$32&gt;=AM$100,'制度詳細'!$J$32&lt;=EOMONTH(AM$100,0)),"◆","")))</x:f>
        <x:v>■</x:v>
      </x:c>
      <x:c r="AN104" s="57" t="str">
        <x:f>IF('制度詳細'!$H$32="",IF('制度詳細'!$J$32="","",IF(AND('制度詳細'!$J$32&gt;=AN$100,'制度詳細'!$J$32&lt;=EOMONTH(AN$100,0)),"◆","")),IF(MAX('制度詳細'!$H$32,AN$100)&lt;=MIN(IF('制度詳細'!$I$32="",EOMONTH(AN$100,0),'制度詳細'!$I$32),EOMONTH(AN$100,0)),"■",IF(AND('制度詳細'!$J$32&lt;&gt;"",'制度詳細'!$J$32&gt;=AN$100,'制度詳細'!$J$32&lt;=EOMONTH(AN$100,0)),"◆","")))</x:f>
        <x:v>■</x:v>
      </x:c>
      <x:c r="AO104" s="57" t="str">
        <x:f>IF('制度詳細'!$H$32="",IF('制度詳細'!$J$32="","",IF(AND('制度詳細'!$J$32&gt;=AO$100,'制度詳細'!$J$32&lt;=EOMONTH(AO$100,0)),"◆","")),IF(MAX('制度詳細'!$H$32,AO$100)&lt;=MIN(IF('制度詳細'!$I$32="",EOMONTH(AO$100,0),'制度詳細'!$I$32),EOMONTH(AO$100,0)),"■",IF(AND('制度詳細'!$J$32&lt;&gt;"",'制度詳細'!$J$32&gt;=AO$100,'制度詳細'!$J$32&lt;=EOMONTH(AO$100,0)),"◆","")))</x:f>
        <x:v>■</x:v>
      </x:c>
      <x:c r="AP104" s="57" t="str">
        <x:f>IF('制度詳細'!$H$32="",IF('制度詳細'!$J$32="","",IF(AND('制度詳細'!$J$32&gt;=AP$100,'制度詳細'!$J$32&lt;=EOMONTH(AP$100,0)),"◆","")),IF(MAX('制度詳細'!$H$32,AP$100)&lt;=MIN(IF('制度詳細'!$I$32="",EOMONTH(AP$100,0),'制度詳細'!$I$32),EOMONTH(AP$100,0)),"■",IF(AND('制度詳細'!$J$32&lt;&gt;"",'制度詳細'!$J$32&gt;=AP$100,'制度詳細'!$J$32&lt;=EOMONTH(AP$100,0)),"◆","")))</x:f>
        <x:v>■</x:v>
      </x:c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</x:row>
    <x:row r="105" ht="30" customHeight="1">
      <x:c r="A105" s="54" t="str">
        <x:v>VN05 BEV：特別消費税11%予定</x:v>
      </x:c>
      <x:c r="B105" s="54"/>
      <x:c r="C105" s="54"/>
      <x:c r="D105" s="54"/>
      <x:c r="E105" s="54"/>
      <x:c r="F105" s="54"/>
      <x:c r="G105" s="57" t="str">
        <x:f>IF('制度詳細'!$H$33="",IF('制度詳細'!$J$33="","",IF(AND('制度詳細'!$J$33&gt;=G$100,'制度詳細'!$J$33&lt;=EOMONTH(G$100,0)),"◆","")),IF(MAX('制度詳細'!$H$33,G$100)&lt;=MIN(IF('制度詳細'!$I$33="",EOMONTH(G$100,0),'制度詳細'!$I$33),EOMONTH(G$100,0)),"■",IF(AND('制度詳細'!$J$33&lt;&gt;"",'制度詳細'!$J$33&gt;=G$100,'制度詳細'!$J$33&lt;=EOMONTH(G$100,0)),"◆","")))</x:f>
      </x:c>
      <x:c r="H105" s="57" t="str">
        <x:f>IF('制度詳細'!$H$33="",IF('制度詳細'!$J$33="","",IF(AND('制度詳細'!$J$33&gt;=H$100,'制度詳細'!$J$33&lt;=EOMONTH(H$100,0)),"◆","")),IF(MAX('制度詳細'!$H$33,H$100)&lt;=MIN(IF('制度詳細'!$I$33="",EOMONTH(H$100,0),'制度詳細'!$I$33),EOMONTH(H$100,0)),"■",IF(AND('制度詳細'!$J$33&lt;&gt;"",'制度詳細'!$J$33&gt;=H$100,'制度詳細'!$J$33&lt;=EOMONTH(H$100,0)),"◆","")))</x:f>
      </x:c>
      <x:c r="I105" s="57" t="str">
        <x:f>IF('制度詳細'!$H$33="",IF('制度詳細'!$J$33="","",IF(AND('制度詳細'!$J$33&gt;=I$100,'制度詳細'!$J$33&lt;=EOMONTH(I$100,0)),"◆","")),IF(MAX('制度詳細'!$H$33,I$100)&lt;=MIN(IF('制度詳細'!$I$33="",EOMONTH(I$100,0),'制度詳細'!$I$33),EOMONTH(I$100,0)),"■",IF(AND('制度詳細'!$J$33&lt;&gt;"",'制度詳細'!$J$33&gt;=I$100,'制度詳細'!$J$33&lt;=EOMONTH(I$100,0)),"◆","")))</x:f>
      </x:c>
      <x:c r="J105" s="57" t="str">
        <x:f>IF('制度詳細'!$H$33="",IF('制度詳細'!$J$33="","",IF(AND('制度詳細'!$J$33&gt;=J$100,'制度詳細'!$J$33&lt;=EOMONTH(J$100,0)),"◆","")),IF(MAX('制度詳細'!$H$33,J$100)&lt;=MIN(IF('制度詳細'!$I$33="",EOMONTH(J$100,0),'制度詳細'!$I$33),EOMONTH(J$100,0)),"■",IF(AND('制度詳細'!$J$33&lt;&gt;"",'制度詳細'!$J$33&gt;=J$100,'制度詳細'!$J$33&lt;=EOMONTH(J$100,0)),"◆","")))</x:f>
      </x:c>
      <x:c r="K105" s="57" t="str">
        <x:f>IF('制度詳細'!$H$33="",IF('制度詳細'!$J$33="","",IF(AND('制度詳細'!$J$33&gt;=K$100,'制度詳細'!$J$33&lt;=EOMONTH(K$100,0)),"◆","")),IF(MAX('制度詳細'!$H$33,K$100)&lt;=MIN(IF('制度詳細'!$I$33="",EOMONTH(K$100,0),'制度詳細'!$I$33),EOMONTH(K$100,0)),"■",IF(AND('制度詳細'!$J$33&lt;&gt;"",'制度詳細'!$J$33&gt;=K$100,'制度詳細'!$J$33&lt;=EOMONTH(K$100,0)),"◆","")))</x:f>
      </x:c>
      <x:c r="L105" s="57" t="str">
        <x:f>IF('制度詳細'!$H$33="",IF('制度詳細'!$J$33="","",IF(AND('制度詳細'!$J$33&gt;=L$100,'制度詳細'!$J$33&lt;=EOMONTH(L$100,0)),"◆","")),IF(MAX('制度詳細'!$H$33,L$100)&lt;=MIN(IF('制度詳細'!$I$33="",EOMONTH(L$100,0),'制度詳細'!$I$33),EOMONTH(L$100,0)),"■",IF(AND('制度詳細'!$J$33&lt;&gt;"",'制度詳細'!$J$33&gt;=L$100,'制度詳細'!$J$33&lt;=EOMONTH(L$100,0)),"◆","")))</x:f>
      </x:c>
      <x:c r="M105" s="57" t="str">
        <x:f>IF('制度詳細'!$H$33="",IF('制度詳細'!$J$33="","",IF(AND('制度詳細'!$J$33&gt;=M$100,'制度詳細'!$J$33&lt;=EOMONTH(M$100,0)),"◆","")),IF(MAX('制度詳細'!$H$33,M$100)&lt;=MIN(IF('制度詳細'!$I$33="",EOMONTH(M$100,0),'制度詳細'!$I$33),EOMONTH(M$100,0)),"■",IF(AND('制度詳細'!$J$33&lt;&gt;"",'制度詳細'!$J$33&gt;=M$100,'制度詳細'!$J$33&lt;=EOMONTH(M$100,0)),"◆","")))</x:f>
      </x:c>
      <x:c r="N105" s="57" t="str">
        <x:f>IF('制度詳細'!$H$33="",IF('制度詳細'!$J$33="","",IF(AND('制度詳細'!$J$33&gt;=N$100,'制度詳細'!$J$33&lt;=EOMONTH(N$100,0)),"◆","")),IF(MAX('制度詳細'!$H$33,N$100)&lt;=MIN(IF('制度詳細'!$I$33="",EOMONTH(N$100,0),'制度詳細'!$I$33),EOMONTH(N$100,0)),"■",IF(AND('制度詳細'!$J$33&lt;&gt;"",'制度詳細'!$J$33&gt;=N$100,'制度詳細'!$J$33&lt;=EOMONTH(N$100,0)),"◆","")))</x:f>
      </x:c>
      <x:c r="O105" s="57" t="str">
        <x:f>IF('制度詳細'!$H$33="",IF('制度詳細'!$J$33="","",IF(AND('制度詳細'!$J$33&gt;=O$100,'制度詳細'!$J$33&lt;=EOMONTH(O$100,0)),"◆","")),IF(MAX('制度詳細'!$H$33,O$100)&lt;=MIN(IF('制度詳細'!$I$33="",EOMONTH(O$100,0),'制度詳細'!$I$33),EOMONTH(O$100,0)),"■",IF(AND('制度詳細'!$J$33&lt;&gt;"",'制度詳細'!$J$33&gt;=O$100,'制度詳細'!$J$33&lt;=EOMONTH(O$100,0)),"◆","")))</x:f>
      </x:c>
      <x:c r="P105" s="57" t="str">
        <x:f>IF('制度詳細'!$H$33="",IF('制度詳細'!$J$33="","",IF(AND('制度詳細'!$J$33&gt;=P$100,'制度詳細'!$J$33&lt;=EOMONTH(P$100,0)),"◆","")),IF(MAX('制度詳細'!$H$33,P$100)&lt;=MIN(IF('制度詳細'!$I$33="",EOMONTH(P$100,0),'制度詳細'!$I$33),EOMONTH(P$100,0)),"■",IF(AND('制度詳細'!$J$33&lt;&gt;"",'制度詳細'!$J$33&gt;=P$100,'制度詳細'!$J$33&lt;=EOMONTH(P$100,0)),"◆","")))</x:f>
      </x:c>
      <x:c r="Q105" s="57" t="str">
        <x:f>IF('制度詳細'!$H$33="",IF('制度詳細'!$J$33="","",IF(AND('制度詳細'!$J$33&gt;=Q$100,'制度詳細'!$J$33&lt;=EOMONTH(Q$100,0)),"◆","")),IF(MAX('制度詳細'!$H$33,Q$100)&lt;=MIN(IF('制度詳細'!$I$33="",EOMONTH(Q$100,0),'制度詳細'!$I$33),EOMONTH(Q$100,0)),"■",IF(AND('制度詳細'!$J$33&lt;&gt;"",'制度詳細'!$J$33&gt;=Q$100,'制度詳細'!$J$33&lt;=EOMONTH(Q$100,0)),"◆","")))</x:f>
      </x:c>
      <x:c r="R105" s="57" t="str">
        <x:f>IF('制度詳細'!$H$33="",IF('制度詳細'!$J$33="","",IF(AND('制度詳細'!$J$33&gt;=R$100,'制度詳細'!$J$33&lt;=EOMONTH(R$100,0)),"◆","")),IF(MAX('制度詳細'!$H$33,R$100)&lt;=MIN(IF('制度詳細'!$I$33="",EOMONTH(R$100,0),'制度詳細'!$I$33),EOMONTH(R$100,0)),"■",IF(AND('制度詳細'!$J$33&lt;&gt;"",'制度詳細'!$J$33&gt;=R$100,'制度詳細'!$J$33&lt;=EOMONTH(R$100,0)),"◆","")))</x:f>
      </x:c>
      <x:c r="S105" s="57" t="str">
        <x:f>IF('制度詳細'!$H$33="",IF('制度詳細'!$J$33="","",IF(AND('制度詳細'!$J$33&gt;=S$100,'制度詳細'!$J$33&lt;=EOMONTH(S$100,0)),"◆","")),IF(MAX('制度詳細'!$H$33,S$100)&lt;=MIN(IF('制度詳細'!$I$33="",EOMONTH(S$100,0),'制度詳細'!$I$33),EOMONTH(S$100,0)),"■",IF(AND('制度詳細'!$J$33&lt;&gt;"",'制度詳細'!$J$33&gt;=S$100,'制度詳細'!$J$33&lt;=EOMONTH(S$100,0)),"◆","")))</x:f>
      </x:c>
      <x:c r="T105" s="57" t="str">
        <x:f>IF('制度詳細'!$H$33="",IF('制度詳細'!$J$33="","",IF(AND('制度詳細'!$J$33&gt;=T$100,'制度詳細'!$J$33&lt;=EOMONTH(T$100,0)),"◆","")),IF(MAX('制度詳細'!$H$33,T$100)&lt;=MIN(IF('制度詳細'!$I$33="",EOMONTH(T$100,0),'制度詳細'!$I$33),EOMONTH(T$100,0)),"■",IF(AND('制度詳細'!$J$33&lt;&gt;"",'制度詳細'!$J$33&gt;=T$100,'制度詳細'!$J$33&lt;=EOMONTH(T$100,0)),"◆","")))</x:f>
      </x:c>
      <x:c r="U105" s="57" t="str">
        <x:f>IF('制度詳細'!$H$33="",IF('制度詳細'!$J$33="","",IF(AND('制度詳細'!$J$33&gt;=U$100,'制度詳細'!$J$33&lt;=EOMONTH(U$100,0)),"◆","")),IF(MAX('制度詳細'!$H$33,U$100)&lt;=MIN(IF('制度詳細'!$I$33="",EOMONTH(U$100,0),'制度詳細'!$I$33),EOMONTH(U$100,0)),"■",IF(AND('制度詳細'!$J$33&lt;&gt;"",'制度詳細'!$J$33&gt;=U$100,'制度詳細'!$J$33&lt;=EOMONTH(U$100,0)),"◆","")))</x:f>
      </x:c>
      <x:c r="V105" s="57" t="str">
        <x:f>IF('制度詳細'!$H$33="",IF('制度詳細'!$J$33="","",IF(AND('制度詳細'!$J$33&gt;=V$100,'制度詳細'!$J$33&lt;=EOMONTH(V$100,0)),"◆","")),IF(MAX('制度詳細'!$H$33,V$100)&lt;=MIN(IF('制度詳細'!$I$33="",EOMONTH(V$100,0),'制度詳細'!$I$33),EOMONTH(V$100,0)),"■",IF(AND('制度詳細'!$J$33&lt;&gt;"",'制度詳細'!$J$33&gt;=V$100,'制度詳細'!$J$33&lt;=EOMONTH(V$100,0)),"◆","")))</x:f>
      </x:c>
      <x:c r="W105" s="57" t="str">
        <x:f>IF('制度詳細'!$H$33="",IF('制度詳細'!$J$33="","",IF(AND('制度詳細'!$J$33&gt;=W$100,'制度詳細'!$J$33&lt;=EOMONTH(W$100,0)),"◆","")),IF(MAX('制度詳細'!$H$33,W$100)&lt;=MIN(IF('制度詳細'!$I$33="",EOMONTH(W$100,0),'制度詳細'!$I$33),EOMONTH(W$100,0)),"■",IF(AND('制度詳細'!$J$33&lt;&gt;"",'制度詳細'!$J$33&gt;=W$100,'制度詳細'!$J$33&lt;=EOMONTH(W$100,0)),"◆","")))</x:f>
      </x:c>
      <x:c r="X105" s="57" t="str">
        <x:f>IF('制度詳細'!$H$33="",IF('制度詳細'!$J$33="","",IF(AND('制度詳細'!$J$33&gt;=X$100,'制度詳細'!$J$33&lt;=EOMONTH(X$100,0)),"◆","")),IF(MAX('制度詳細'!$H$33,X$100)&lt;=MIN(IF('制度詳細'!$I$33="",EOMONTH(X$100,0),'制度詳細'!$I$33),EOMONTH(X$100,0)),"■",IF(AND('制度詳細'!$J$33&lt;&gt;"",'制度詳細'!$J$33&gt;=X$100,'制度詳細'!$J$33&lt;=EOMONTH(X$100,0)),"◆","")))</x:f>
      </x:c>
      <x:c r="Y105" s="57" t="str">
        <x:f>IF('制度詳細'!$H$33="",IF('制度詳細'!$J$33="","",IF(AND('制度詳細'!$J$33&gt;=Y$100,'制度詳細'!$J$33&lt;=EOMONTH(Y$100,0)),"◆","")),IF(MAX('制度詳細'!$H$33,Y$100)&lt;=MIN(IF('制度詳細'!$I$33="",EOMONTH(Y$100,0),'制度詳細'!$I$33),EOMONTH(Y$100,0)),"■",IF(AND('制度詳細'!$J$33&lt;&gt;"",'制度詳細'!$J$33&gt;=Y$100,'制度詳細'!$J$33&lt;=EOMONTH(Y$100,0)),"◆","")))</x:f>
      </x:c>
      <x:c r="Z105" s="57" t="str">
        <x:f>IF('制度詳細'!$H$33="",IF('制度詳細'!$J$33="","",IF(AND('制度詳細'!$J$33&gt;=Z$100,'制度詳細'!$J$33&lt;=EOMONTH(Z$100,0)),"◆","")),IF(MAX('制度詳細'!$H$33,Z$100)&lt;=MIN(IF('制度詳細'!$I$33="",EOMONTH(Z$100,0),'制度詳細'!$I$33),EOMONTH(Z$100,0)),"■",IF(AND('制度詳細'!$J$33&lt;&gt;"",'制度詳細'!$J$33&gt;=Z$100,'制度詳細'!$J$33&lt;=EOMONTH(Z$100,0)),"◆","")))</x:f>
      </x:c>
      <x:c r="AA105" s="57" t="str">
        <x:f>IF('制度詳細'!$H$33="",IF('制度詳細'!$J$33="","",IF(AND('制度詳細'!$J$33&gt;=AA$100,'制度詳細'!$J$33&lt;=EOMONTH(AA$100,0)),"◆","")),IF(MAX('制度詳細'!$H$33,AA$100)&lt;=MIN(IF('制度詳細'!$I$33="",EOMONTH(AA$100,0),'制度詳細'!$I$33),EOMONTH(AA$100,0)),"■",IF(AND('制度詳細'!$J$33&lt;&gt;"",'制度詳細'!$J$33&gt;=AA$100,'制度詳細'!$J$33&lt;=EOMONTH(AA$100,0)),"◆","")))</x:f>
      </x:c>
      <x:c r="AB105" s="57" t="str">
        <x:f>IF('制度詳細'!$H$33="",IF('制度詳細'!$J$33="","",IF(AND('制度詳細'!$J$33&gt;=AB$100,'制度詳細'!$J$33&lt;=EOMONTH(AB$100,0)),"◆","")),IF(MAX('制度詳細'!$H$33,AB$100)&lt;=MIN(IF('制度詳細'!$I$33="",EOMONTH(AB$100,0),'制度詳細'!$I$33),EOMONTH(AB$100,0)),"■",IF(AND('制度詳細'!$J$33&lt;&gt;"",'制度詳細'!$J$33&gt;=AB$100,'制度詳細'!$J$33&lt;=EOMONTH(AB$100,0)),"◆","")))</x:f>
      </x:c>
      <x:c r="AC105" s="57" t="str">
        <x:f>IF('制度詳細'!$H$33="",IF('制度詳細'!$J$33="","",IF(AND('制度詳細'!$J$33&gt;=AC$100,'制度詳細'!$J$33&lt;=EOMONTH(AC$100,0)),"◆","")),IF(MAX('制度詳細'!$H$33,AC$100)&lt;=MIN(IF('制度詳細'!$I$33="",EOMONTH(AC$100,0),'制度詳細'!$I$33),EOMONTH(AC$100,0)),"■",IF(AND('制度詳細'!$J$33&lt;&gt;"",'制度詳細'!$J$33&gt;=AC$100,'制度詳細'!$J$33&lt;=EOMONTH(AC$100,0)),"◆","")))</x:f>
      </x:c>
      <x:c r="AD105" s="57" t="str">
        <x:f>IF('制度詳細'!$H$33="",IF('制度詳細'!$J$33="","",IF(AND('制度詳細'!$J$33&gt;=AD$100,'制度詳細'!$J$33&lt;=EOMONTH(AD$100,0)),"◆","")),IF(MAX('制度詳細'!$H$33,AD$100)&lt;=MIN(IF('制度詳細'!$I$33="",EOMONTH(AD$100,0),'制度詳細'!$I$33),EOMONTH(AD$100,0)),"■",IF(AND('制度詳細'!$J$33&lt;&gt;"",'制度詳細'!$J$33&gt;=AD$100,'制度詳細'!$J$33&lt;=EOMONTH(AD$100,0)),"◆","")))</x:f>
      </x:c>
      <x:c r="AE105" s="57" t="str">
        <x:f>IF('制度詳細'!$H$33="",IF('制度詳細'!$J$33="","",IF(AND('制度詳細'!$J$33&gt;=AE$100,'制度詳細'!$J$33&lt;=EOMONTH(AE$100,0)),"◆","")),IF(MAX('制度詳細'!$H$33,AE$100)&lt;=MIN(IF('制度詳細'!$I$33="",EOMONTH(AE$100,0),'制度詳細'!$I$33),EOMONTH(AE$100,0)),"■",IF(AND('制度詳細'!$J$33&lt;&gt;"",'制度詳細'!$J$33&gt;=AE$100,'制度詳細'!$J$33&lt;=EOMONTH(AE$100,0)),"◆","")))</x:f>
      </x:c>
      <x:c r="AF105" s="57" t="str">
        <x:f>IF('制度詳細'!$H$33="",IF('制度詳細'!$J$33="","",IF(AND('制度詳細'!$J$33&gt;=AF$100,'制度詳細'!$J$33&lt;=EOMONTH(AF$100,0)),"◆","")),IF(MAX('制度詳細'!$H$33,AF$100)&lt;=MIN(IF('制度詳細'!$I$33="",EOMONTH(AF$100,0),'制度詳細'!$I$33),EOMONTH(AF$100,0)),"■",IF(AND('制度詳細'!$J$33&lt;&gt;"",'制度詳細'!$J$33&gt;=AF$100,'制度詳細'!$J$33&lt;=EOMONTH(AF$100,0)),"◆","")))</x:f>
      </x:c>
      <x:c r="AG105" s="57" t="str">
        <x:f>IF('制度詳細'!$H$33="",IF('制度詳細'!$J$33="","",IF(AND('制度詳細'!$J$33&gt;=AG$100,'制度詳細'!$J$33&lt;=EOMONTH(AG$100,0)),"◆","")),IF(MAX('制度詳細'!$H$33,AG$100)&lt;=MIN(IF('制度詳細'!$I$33="",EOMONTH(AG$100,0),'制度詳細'!$I$33),EOMONTH(AG$100,0)),"■",IF(AND('制度詳細'!$J$33&lt;&gt;"",'制度詳細'!$J$33&gt;=AG$100,'制度詳細'!$J$33&lt;=EOMONTH(AG$100,0)),"◆","")))</x:f>
      </x:c>
      <x:c r="AH105" s="57" t="str">
        <x:f>IF('制度詳細'!$H$33="",IF('制度詳細'!$J$33="","",IF(AND('制度詳細'!$J$33&gt;=AH$100,'制度詳細'!$J$33&lt;=EOMONTH(AH$100,0)),"◆","")),IF(MAX('制度詳細'!$H$33,AH$100)&lt;=MIN(IF('制度詳細'!$I$33="",EOMONTH(AH$100,0),'制度詳細'!$I$33),EOMONTH(AH$100,0)),"■",IF(AND('制度詳細'!$J$33&lt;&gt;"",'制度詳細'!$J$33&gt;=AH$100,'制度詳細'!$J$33&lt;=EOMONTH(AH$100,0)),"◆","")))</x:f>
      </x:c>
      <x:c r="AI105" s="57" t="str">
        <x:f>IF('制度詳細'!$H$33="",IF('制度詳細'!$J$33="","",IF(AND('制度詳細'!$J$33&gt;=AI$100,'制度詳細'!$J$33&lt;=EOMONTH(AI$100,0)),"◆","")),IF(MAX('制度詳細'!$H$33,AI$100)&lt;=MIN(IF('制度詳細'!$I$33="",EOMONTH(AI$100,0),'制度詳細'!$I$33),EOMONTH(AI$100,0)),"■",IF(AND('制度詳細'!$J$33&lt;&gt;"",'制度詳細'!$J$33&gt;=AI$100,'制度詳細'!$J$33&lt;=EOMONTH(AI$100,0)),"◆","")))</x:f>
      </x:c>
      <x:c r="AJ105" s="57" t="str">
        <x:f>IF('制度詳細'!$H$33="",IF('制度詳細'!$J$33="","",IF(AND('制度詳細'!$J$33&gt;=AJ$100,'制度詳細'!$J$33&lt;=EOMONTH(AJ$100,0)),"◆","")),IF(MAX('制度詳細'!$H$33,AJ$100)&lt;=MIN(IF('制度詳細'!$I$33="",EOMONTH(AJ$100,0),'制度詳細'!$I$33),EOMONTH(AJ$100,0)),"■",IF(AND('制度詳細'!$J$33&lt;&gt;"",'制度詳細'!$J$33&gt;=AJ$100,'制度詳細'!$J$33&lt;=EOMONTH(AJ$100,0)),"◆","")))</x:f>
      </x:c>
      <x:c r="AK105" s="57" t="str">
        <x:f>IF('制度詳細'!$H$33="",IF('制度詳細'!$J$33="","",IF(AND('制度詳細'!$J$33&gt;=AK$100,'制度詳細'!$J$33&lt;=EOMONTH(AK$100,0)),"◆","")),IF(MAX('制度詳細'!$H$33,AK$100)&lt;=MIN(IF('制度詳細'!$I$33="",EOMONTH(AK$100,0),'制度詳細'!$I$33),EOMONTH(AK$100,0)),"■",IF(AND('制度詳細'!$J$33&lt;&gt;"",'制度詳細'!$J$33&gt;=AK$100,'制度詳細'!$J$33&lt;=EOMONTH(AK$100,0)),"◆","")))</x:f>
      </x:c>
      <x:c r="AL105" s="57" t="str">
        <x:f>IF('制度詳細'!$H$33="",IF('制度詳細'!$J$33="","",IF(AND('制度詳細'!$J$33&gt;=AL$100,'制度詳細'!$J$33&lt;=EOMONTH(AL$100,0)),"◆","")),IF(MAX('制度詳細'!$H$33,AL$100)&lt;=MIN(IF('制度詳細'!$I$33="",EOMONTH(AL$100,0),'制度詳細'!$I$33),EOMONTH(AL$100,0)),"■",IF(AND('制度詳細'!$J$33&lt;&gt;"",'制度詳細'!$J$33&gt;=AL$100,'制度詳細'!$J$33&lt;=EOMONTH(AL$100,0)),"◆","")))</x:f>
      </x:c>
      <x:c r="AM105" s="57" t="str">
        <x:f>IF('制度詳細'!$H$33="",IF('制度詳細'!$J$33="","",IF(AND('制度詳細'!$J$33&gt;=AM$100,'制度詳細'!$J$33&lt;=EOMONTH(AM$100,0)),"◆","")),IF(MAX('制度詳細'!$H$33,AM$100)&lt;=MIN(IF('制度詳細'!$I$33="",EOMONTH(AM$100,0),'制度詳細'!$I$33),EOMONTH(AM$100,0)),"■",IF(AND('制度詳細'!$J$33&lt;&gt;"",'制度詳細'!$J$33&gt;=AM$100,'制度詳細'!$J$33&lt;=EOMONTH(AM$100,0)),"◆","")))</x:f>
      </x:c>
      <x:c r="AN105" s="57" t="str">
        <x:f>IF('制度詳細'!$H$33="",IF('制度詳細'!$J$33="","",IF(AND('制度詳細'!$J$33&gt;=AN$100,'制度詳細'!$J$33&lt;=EOMONTH(AN$100,0)),"◆","")),IF(MAX('制度詳細'!$H$33,AN$100)&lt;=MIN(IF('制度詳細'!$I$33="",EOMONTH(AN$100,0),'制度詳細'!$I$33),EOMONTH(AN$100,0)),"■",IF(AND('制度詳細'!$J$33&lt;&gt;"",'制度詳細'!$J$33&gt;=AN$100,'制度詳細'!$J$33&lt;=EOMONTH(AN$100,0)),"◆","")))</x:f>
      </x:c>
      <x:c r="AO105" s="57" t="str">
        <x:f>IF('制度詳細'!$H$33="",IF('制度詳細'!$J$33="","",IF(AND('制度詳細'!$J$33&gt;=AO$100,'制度詳細'!$J$33&lt;=EOMONTH(AO$100,0)),"◆","")),IF(MAX('制度詳細'!$H$33,AO$100)&lt;=MIN(IF('制度詳細'!$I$33="",EOMONTH(AO$100,0),'制度詳細'!$I$33),EOMONTH(AO$100,0)),"■",IF(AND('制度詳細'!$J$33&lt;&gt;"",'制度詳細'!$J$33&gt;=AO$100,'制度詳細'!$J$33&lt;=EOMONTH(AO$100,0)),"◆","")))</x:f>
      </x:c>
      <x:c r="AP105" s="57" t="str">
        <x:f>IF('制度詳細'!$H$33="",IF('制度詳細'!$J$33="","",IF(AND('制度詳細'!$J$33&gt;=AP$100,'制度詳細'!$J$33&lt;=EOMONTH(AP$100,0)),"◆","")),IF(MAX('制度詳細'!$H$33,AP$100)&lt;=MIN(IF('制度詳細'!$I$33="",EOMONTH(AP$100,0),'制度詳細'!$I$33),EOMONTH(AP$100,0)),"■",IF(AND('制度詳細'!$J$33&lt;&gt;"",'制度詳細'!$J$33&gt;=AP$100,'制度詳細'!$J$33&lt;=EOMONTH(AP$100,0)),"◆","")))</x:f>
      </x:c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</x:row>
    <x:row r="106" ht="30" customHeight="1">
      <x:c r="A106" s="59" t="str">
        <x:v>VN06 特別消費税3%の延長提案</x:v>
      </x:c>
      <x:c r="B106" s="59"/>
      <x:c r="C106" s="59"/>
      <x:c r="D106" s="59"/>
      <x:c r="E106" s="59"/>
      <x:c r="F106" s="59"/>
      <x:c r="G106" s="57" t="str">
        <x:f>IF('制度詳細'!$H$34="",IF('制度詳細'!$J$34="","",IF(AND('制度詳細'!$J$34&gt;=G$100,'制度詳細'!$J$34&lt;=EOMONTH(G$100,0)),"◆","")),IF(MAX('制度詳細'!$H$34,G$100)&lt;=MIN(IF('制度詳細'!$I$34="",EOMONTH(G$100,0),'制度詳細'!$I$34),EOMONTH(G$100,0)),"■",IF(AND('制度詳細'!$J$34&lt;&gt;"",'制度詳細'!$J$34&gt;=G$100,'制度詳細'!$J$34&lt;=EOMONTH(G$100,0)),"◆","")))</x:f>
      </x:c>
      <x:c r="H106" s="57" t="str">
        <x:f>IF('制度詳細'!$H$34="",IF('制度詳細'!$J$34="","",IF(AND('制度詳細'!$J$34&gt;=H$100,'制度詳細'!$J$34&lt;=EOMONTH(H$100,0)),"◆","")),IF(MAX('制度詳細'!$H$34,H$100)&lt;=MIN(IF('制度詳細'!$I$34="",EOMONTH(H$100,0),'制度詳細'!$I$34),EOMONTH(H$100,0)),"■",IF(AND('制度詳細'!$J$34&lt;&gt;"",'制度詳細'!$J$34&gt;=H$100,'制度詳細'!$J$34&lt;=EOMONTH(H$100,0)),"◆","")))</x:f>
      </x:c>
      <x:c r="I106" s="57" t="str">
        <x:f>IF('制度詳細'!$H$34="",IF('制度詳細'!$J$34="","",IF(AND('制度詳細'!$J$34&gt;=I$100,'制度詳細'!$J$34&lt;=EOMONTH(I$100,0)),"◆","")),IF(MAX('制度詳細'!$H$34,I$100)&lt;=MIN(IF('制度詳細'!$I$34="",EOMONTH(I$100,0),'制度詳細'!$I$34),EOMONTH(I$100,0)),"■",IF(AND('制度詳細'!$J$34&lt;&gt;"",'制度詳細'!$J$34&gt;=I$100,'制度詳細'!$J$34&lt;=EOMONTH(I$100,0)),"◆","")))</x:f>
      </x:c>
      <x:c r="J106" s="57" t="str">
        <x:f>IF('制度詳細'!$H$34="",IF('制度詳細'!$J$34="","",IF(AND('制度詳細'!$J$34&gt;=J$100,'制度詳細'!$J$34&lt;=EOMONTH(J$100,0)),"◆","")),IF(MAX('制度詳細'!$H$34,J$100)&lt;=MIN(IF('制度詳細'!$I$34="",EOMONTH(J$100,0),'制度詳細'!$I$34),EOMONTH(J$100,0)),"■",IF(AND('制度詳細'!$J$34&lt;&gt;"",'制度詳細'!$J$34&gt;=J$100,'制度詳細'!$J$34&lt;=EOMONTH(J$100,0)),"◆","")))</x:f>
      </x:c>
      <x:c r="K106" s="57" t="str">
        <x:f>IF('制度詳細'!$H$34="",IF('制度詳細'!$J$34="","",IF(AND('制度詳細'!$J$34&gt;=K$100,'制度詳細'!$J$34&lt;=EOMONTH(K$100,0)),"◆","")),IF(MAX('制度詳細'!$H$34,K$100)&lt;=MIN(IF('制度詳細'!$I$34="",EOMONTH(K$100,0),'制度詳細'!$I$34),EOMONTH(K$100,0)),"■",IF(AND('制度詳細'!$J$34&lt;&gt;"",'制度詳細'!$J$34&gt;=K$100,'制度詳細'!$J$34&lt;=EOMONTH(K$100,0)),"◆","")))</x:f>
      </x:c>
      <x:c r="L106" s="57" t="str">
        <x:f>IF('制度詳細'!$H$34="",IF('制度詳細'!$J$34="","",IF(AND('制度詳細'!$J$34&gt;=L$100,'制度詳細'!$J$34&lt;=EOMONTH(L$100,0)),"◆","")),IF(MAX('制度詳細'!$H$34,L$100)&lt;=MIN(IF('制度詳細'!$I$34="",EOMONTH(L$100,0),'制度詳細'!$I$34),EOMONTH(L$100,0)),"■",IF(AND('制度詳細'!$J$34&lt;&gt;"",'制度詳細'!$J$34&gt;=L$100,'制度詳細'!$J$34&lt;=EOMONTH(L$100,0)),"◆","")))</x:f>
      </x:c>
      <x:c r="M106" s="57" t="str">
        <x:f>IF('制度詳細'!$H$34="",IF('制度詳細'!$J$34="","",IF(AND('制度詳細'!$J$34&gt;=M$100,'制度詳細'!$J$34&lt;=EOMONTH(M$100,0)),"◆","")),IF(MAX('制度詳細'!$H$34,M$100)&lt;=MIN(IF('制度詳細'!$I$34="",EOMONTH(M$100,0),'制度詳細'!$I$34),EOMONTH(M$100,0)),"■",IF(AND('制度詳細'!$J$34&lt;&gt;"",'制度詳細'!$J$34&gt;=M$100,'制度詳細'!$J$34&lt;=EOMONTH(M$100,0)),"◆","")))</x:f>
      </x:c>
      <x:c r="N106" s="57" t="str">
        <x:f>IF('制度詳細'!$H$34="",IF('制度詳細'!$J$34="","",IF(AND('制度詳細'!$J$34&gt;=N$100,'制度詳細'!$J$34&lt;=EOMONTH(N$100,0)),"◆","")),IF(MAX('制度詳細'!$H$34,N$100)&lt;=MIN(IF('制度詳細'!$I$34="",EOMONTH(N$100,0),'制度詳細'!$I$34),EOMONTH(N$100,0)),"■",IF(AND('制度詳細'!$J$34&lt;&gt;"",'制度詳細'!$J$34&gt;=N$100,'制度詳細'!$J$34&lt;=EOMONTH(N$100,0)),"◆","")))</x:f>
      </x:c>
      <x:c r="O106" s="57" t="str">
        <x:f>IF('制度詳細'!$H$34="",IF('制度詳細'!$J$34="","",IF(AND('制度詳細'!$J$34&gt;=O$100,'制度詳細'!$J$34&lt;=EOMONTH(O$100,0)),"◆","")),IF(MAX('制度詳細'!$H$34,O$100)&lt;=MIN(IF('制度詳細'!$I$34="",EOMONTH(O$100,0),'制度詳細'!$I$34),EOMONTH(O$100,0)),"■",IF(AND('制度詳細'!$J$34&lt;&gt;"",'制度詳細'!$J$34&gt;=O$100,'制度詳細'!$J$34&lt;=EOMONTH(O$100,0)),"◆","")))</x:f>
      </x:c>
      <x:c r="P106" s="57" t="str">
        <x:f>IF('制度詳細'!$H$34="",IF('制度詳細'!$J$34="","",IF(AND('制度詳細'!$J$34&gt;=P$100,'制度詳細'!$J$34&lt;=EOMONTH(P$100,0)),"◆","")),IF(MAX('制度詳細'!$H$34,P$100)&lt;=MIN(IF('制度詳細'!$I$34="",EOMONTH(P$100,0),'制度詳細'!$I$34),EOMONTH(P$100,0)),"■",IF(AND('制度詳細'!$J$34&lt;&gt;"",'制度詳細'!$J$34&gt;=P$100,'制度詳細'!$J$34&lt;=EOMONTH(P$100,0)),"◆","")))</x:f>
      </x:c>
      <x:c r="Q106" s="57" t="str">
        <x:f>IF('制度詳細'!$H$34="",IF('制度詳細'!$J$34="","",IF(AND('制度詳細'!$J$34&gt;=Q$100,'制度詳細'!$J$34&lt;=EOMONTH(Q$100,0)),"◆","")),IF(MAX('制度詳細'!$H$34,Q$100)&lt;=MIN(IF('制度詳細'!$I$34="",EOMONTH(Q$100,0),'制度詳細'!$I$34),EOMONTH(Q$100,0)),"■",IF(AND('制度詳細'!$J$34&lt;&gt;"",'制度詳細'!$J$34&gt;=Q$100,'制度詳細'!$J$34&lt;=EOMONTH(Q$100,0)),"◆","")))</x:f>
      </x:c>
      <x:c r="R106" s="57" t="str">
        <x:f>IF('制度詳細'!$H$34="",IF('制度詳細'!$J$34="","",IF(AND('制度詳細'!$J$34&gt;=R$100,'制度詳細'!$J$34&lt;=EOMONTH(R$100,0)),"◆","")),IF(MAX('制度詳細'!$H$34,R$100)&lt;=MIN(IF('制度詳細'!$I$34="",EOMONTH(R$100,0),'制度詳細'!$I$34),EOMONTH(R$100,0)),"■",IF(AND('制度詳細'!$J$34&lt;&gt;"",'制度詳細'!$J$34&gt;=R$100,'制度詳細'!$J$34&lt;=EOMONTH(R$100,0)),"◆","")))</x:f>
      </x:c>
      <x:c r="S106" s="57" t="str">
        <x:f>IF('制度詳細'!$H$34="",IF('制度詳細'!$J$34="","",IF(AND('制度詳細'!$J$34&gt;=S$100,'制度詳細'!$J$34&lt;=EOMONTH(S$100,0)),"◆","")),IF(MAX('制度詳細'!$H$34,S$100)&lt;=MIN(IF('制度詳細'!$I$34="",EOMONTH(S$100,0),'制度詳細'!$I$34),EOMONTH(S$100,0)),"■",IF(AND('制度詳細'!$J$34&lt;&gt;"",'制度詳細'!$J$34&gt;=S$100,'制度詳細'!$J$34&lt;=EOMONTH(S$100,0)),"◆","")))</x:f>
      </x:c>
      <x:c r="T106" s="57" t="str">
        <x:f>IF('制度詳細'!$H$34="",IF('制度詳細'!$J$34="","",IF(AND('制度詳細'!$J$34&gt;=T$100,'制度詳細'!$J$34&lt;=EOMONTH(T$100,0)),"◆","")),IF(MAX('制度詳細'!$H$34,T$100)&lt;=MIN(IF('制度詳細'!$I$34="",EOMONTH(T$100,0),'制度詳細'!$I$34),EOMONTH(T$100,0)),"■",IF(AND('制度詳細'!$J$34&lt;&gt;"",'制度詳細'!$J$34&gt;=T$100,'制度詳細'!$J$34&lt;=EOMONTH(T$100,0)),"◆","")))</x:f>
      </x:c>
      <x:c r="U106" s="57" t="str">
        <x:f>IF('制度詳細'!$H$34="",IF('制度詳細'!$J$34="","",IF(AND('制度詳細'!$J$34&gt;=U$100,'制度詳細'!$J$34&lt;=EOMONTH(U$100,0)),"◆","")),IF(MAX('制度詳細'!$H$34,U$100)&lt;=MIN(IF('制度詳細'!$I$34="",EOMONTH(U$100,0),'制度詳細'!$I$34),EOMONTH(U$100,0)),"■",IF(AND('制度詳細'!$J$34&lt;&gt;"",'制度詳細'!$J$34&gt;=U$100,'制度詳細'!$J$34&lt;=EOMONTH(U$100,0)),"◆","")))</x:f>
      </x:c>
      <x:c r="V106" s="57" t="str">
        <x:f>IF('制度詳細'!$H$34="",IF('制度詳細'!$J$34="","",IF(AND('制度詳細'!$J$34&gt;=V$100,'制度詳細'!$J$34&lt;=EOMONTH(V$100,0)),"◆","")),IF(MAX('制度詳細'!$H$34,V$100)&lt;=MIN(IF('制度詳細'!$I$34="",EOMONTH(V$100,0),'制度詳細'!$I$34),EOMONTH(V$100,0)),"■",IF(AND('制度詳細'!$J$34&lt;&gt;"",'制度詳細'!$J$34&gt;=V$100,'制度詳細'!$J$34&lt;=EOMONTH(V$100,0)),"◆","")))</x:f>
      </x:c>
      <x:c r="W106" s="57" t="str">
        <x:f>IF('制度詳細'!$H$34="",IF('制度詳細'!$J$34="","",IF(AND('制度詳細'!$J$34&gt;=W$100,'制度詳細'!$J$34&lt;=EOMONTH(W$100,0)),"◆","")),IF(MAX('制度詳細'!$H$34,W$100)&lt;=MIN(IF('制度詳細'!$I$34="",EOMONTH(W$100,0),'制度詳細'!$I$34),EOMONTH(W$100,0)),"■",IF(AND('制度詳細'!$J$34&lt;&gt;"",'制度詳細'!$J$34&gt;=W$100,'制度詳細'!$J$34&lt;=EOMONTH(W$100,0)),"◆","")))</x:f>
      </x:c>
      <x:c r="X106" s="57" t="str">
        <x:f>IF('制度詳細'!$H$34="",IF('制度詳細'!$J$34="","",IF(AND('制度詳細'!$J$34&gt;=X$100,'制度詳細'!$J$34&lt;=EOMONTH(X$100,0)),"◆","")),IF(MAX('制度詳細'!$H$34,X$100)&lt;=MIN(IF('制度詳細'!$I$34="",EOMONTH(X$100,0),'制度詳細'!$I$34),EOMONTH(X$100,0)),"■",IF(AND('制度詳細'!$J$34&lt;&gt;"",'制度詳細'!$J$34&gt;=X$100,'制度詳細'!$J$34&lt;=EOMONTH(X$100,0)),"◆","")))</x:f>
      </x:c>
      <x:c r="Y106" s="57" t="str">
        <x:f>IF('制度詳細'!$H$34="",IF('制度詳細'!$J$34="","",IF(AND('制度詳細'!$J$34&gt;=Y$100,'制度詳細'!$J$34&lt;=EOMONTH(Y$100,0)),"◆","")),IF(MAX('制度詳細'!$H$34,Y$100)&lt;=MIN(IF('制度詳細'!$I$34="",EOMONTH(Y$100,0),'制度詳細'!$I$34),EOMONTH(Y$100,0)),"■",IF(AND('制度詳細'!$J$34&lt;&gt;"",'制度詳細'!$J$34&gt;=Y$100,'制度詳細'!$J$34&lt;=EOMONTH(Y$100,0)),"◆","")))</x:f>
      </x:c>
      <x:c r="Z106" s="57" t="str">
        <x:f>IF('制度詳細'!$H$34="",IF('制度詳細'!$J$34="","",IF(AND('制度詳細'!$J$34&gt;=Z$100,'制度詳細'!$J$34&lt;=EOMONTH(Z$100,0)),"◆","")),IF(MAX('制度詳細'!$H$34,Z$100)&lt;=MIN(IF('制度詳細'!$I$34="",EOMONTH(Z$100,0),'制度詳細'!$I$34),EOMONTH(Z$100,0)),"■",IF(AND('制度詳細'!$J$34&lt;&gt;"",'制度詳細'!$J$34&gt;=Z$100,'制度詳細'!$J$34&lt;=EOMONTH(Z$100,0)),"◆","")))</x:f>
      </x:c>
      <x:c r="AA106" s="57" t="str">
        <x:f>IF('制度詳細'!$H$34="",IF('制度詳細'!$J$34="","",IF(AND('制度詳細'!$J$34&gt;=AA$100,'制度詳細'!$J$34&lt;=EOMONTH(AA$100,0)),"◆","")),IF(MAX('制度詳細'!$H$34,AA$100)&lt;=MIN(IF('制度詳細'!$I$34="",EOMONTH(AA$100,0),'制度詳細'!$I$34),EOMONTH(AA$100,0)),"■",IF(AND('制度詳細'!$J$34&lt;&gt;"",'制度詳細'!$J$34&gt;=AA$100,'制度詳細'!$J$34&lt;=EOMONTH(AA$100,0)),"◆","")))</x:f>
      </x:c>
      <x:c r="AB106" s="57" t="str">
        <x:f>IF('制度詳細'!$H$34="",IF('制度詳細'!$J$34="","",IF(AND('制度詳細'!$J$34&gt;=AB$100,'制度詳細'!$J$34&lt;=EOMONTH(AB$100,0)),"◆","")),IF(MAX('制度詳細'!$H$34,AB$100)&lt;=MIN(IF('制度詳細'!$I$34="",EOMONTH(AB$100,0),'制度詳細'!$I$34),EOMONTH(AB$100,0)),"■",IF(AND('制度詳細'!$J$34&lt;&gt;"",'制度詳細'!$J$34&gt;=AB$100,'制度詳細'!$J$34&lt;=EOMONTH(AB$100,0)),"◆","")))</x:f>
      </x:c>
      <x:c r="AC106" s="57" t="str">
        <x:f>IF('制度詳細'!$H$34="",IF('制度詳細'!$J$34="","",IF(AND('制度詳細'!$J$34&gt;=AC$100,'制度詳細'!$J$34&lt;=EOMONTH(AC$100,0)),"◆","")),IF(MAX('制度詳細'!$H$34,AC$100)&lt;=MIN(IF('制度詳細'!$I$34="",EOMONTH(AC$100,0),'制度詳細'!$I$34),EOMONTH(AC$100,0)),"■",IF(AND('制度詳細'!$J$34&lt;&gt;"",'制度詳細'!$J$34&gt;=AC$100,'制度詳細'!$J$34&lt;=EOMONTH(AC$100,0)),"◆","")))</x:f>
      </x:c>
      <x:c r="AD106" s="57" t="str">
        <x:f>IF('制度詳細'!$H$34="",IF('制度詳細'!$J$34="","",IF(AND('制度詳細'!$J$34&gt;=AD$100,'制度詳細'!$J$34&lt;=EOMONTH(AD$100,0)),"◆","")),IF(MAX('制度詳細'!$H$34,AD$100)&lt;=MIN(IF('制度詳細'!$I$34="",EOMONTH(AD$100,0),'制度詳細'!$I$34),EOMONTH(AD$100,0)),"■",IF(AND('制度詳細'!$J$34&lt;&gt;"",'制度詳細'!$J$34&gt;=AD$100,'制度詳細'!$J$34&lt;=EOMONTH(AD$100,0)),"◆","")))</x:f>
      </x:c>
      <x:c r="AE106" s="57" t="str">
        <x:f>IF('制度詳細'!$H$34="",IF('制度詳細'!$J$34="","",IF(AND('制度詳細'!$J$34&gt;=AE$100,'制度詳細'!$J$34&lt;=EOMONTH(AE$100,0)),"◆","")),IF(MAX('制度詳細'!$H$34,AE$100)&lt;=MIN(IF('制度詳細'!$I$34="",EOMONTH(AE$100,0),'制度詳細'!$I$34),EOMONTH(AE$100,0)),"■",IF(AND('制度詳細'!$J$34&lt;&gt;"",'制度詳細'!$J$34&gt;=AE$100,'制度詳細'!$J$34&lt;=EOMONTH(AE$100,0)),"◆","")))</x:f>
      </x:c>
      <x:c r="AF106" s="57" t="str">
        <x:f>IF('制度詳細'!$H$34="",IF('制度詳細'!$J$34="","",IF(AND('制度詳細'!$J$34&gt;=AF$100,'制度詳細'!$J$34&lt;=EOMONTH(AF$100,0)),"◆","")),IF(MAX('制度詳細'!$H$34,AF$100)&lt;=MIN(IF('制度詳細'!$I$34="",EOMONTH(AF$100,0),'制度詳細'!$I$34),EOMONTH(AF$100,0)),"■",IF(AND('制度詳細'!$J$34&lt;&gt;"",'制度詳細'!$J$34&gt;=AF$100,'制度詳細'!$J$34&lt;=EOMONTH(AF$100,0)),"◆","")))</x:f>
      </x:c>
      <x:c r="AG106" s="57" t="str">
        <x:f>IF('制度詳細'!$H$34="",IF('制度詳細'!$J$34="","",IF(AND('制度詳細'!$J$34&gt;=AG$100,'制度詳細'!$J$34&lt;=EOMONTH(AG$100,0)),"◆","")),IF(MAX('制度詳細'!$H$34,AG$100)&lt;=MIN(IF('制度詳細'!$I$34="",EOMONTH(AG$100,0),'制度詳細'!$I$34),EOMONTH(AG$100,0)),"■",IF(AND('制度詳細'!$J$34&lt;&gt;"",'制度詳細'!$J$34&gt;=AG$100,'制度詳細'!$J$34&lt;=EOMONTH(AG$100,0)),"◆","")))</x:f>
      </x:c>
      <x:c r="AH106" s="57" t="str">
        <x:f>IF('制度詳細'!$H$34="",IF('制度詳細'!$J$34="","",IF(AND('制度詳細'!$J$34&gt;=AH$100,'制度詳細'!$J$34&lt;=EOMONTH(AH$100,0)),"◆","")),IF(MAX('制度詳細'!$H$34,AH$100)&lt;=MIN(IF('制度詳細'!$I$34="",EOMONTH(AH$100,0),'制度詳細'!$I$34),EOMONTH(AH$100,0)),"■",IF(AND('制度詳細'!$J$34&lt;&gt;"",'制度詳細'!$J$34&gt;=AH$100,'制度詳細'!$J$34&lt;=EOMONTH(AH$100,0)),"◆","")))</x:f>
        <x:v>◆</x:v>
      </x:c>
      <x:c r="AI106" s="57" t="str">
        <x:f>IF('制度詳細'!$H$34="",IF('制度詳細'!$J$34="","",IF(AND('制度詳細'!$J$34&gt;=AI$100,'制度詳細'!$J$34&lt;=EOMONTH(AI$100,0)),"◆","")),IF(MAX('制度詳細'!$H$34,AI$100)&lt;=MIN(IF('制度詳細'!$I$34="",EOMONTH(AI$100,0),'制度詳細'!$I$34),EOMONTH(AI$100,0)),"■",IF(AND('制度詳細'!$J$34&lt;&gt;"",'制度詳細'!$J$34&gt;=AI$100,'制度詳細'!$J$34&lt;=EOMONTH(AI$100,0)),"◆","")))</x:f>
      </x:c>
      <x:c r="AJ106" s="57" t="str">
        <x:f>IF('制度詳細'!$H$34="",IF('制度詳細'!$J$34="","",IF(AND('制度詳細'!$J$34&gt;=AJ$100,'制度詳細'!$J$34&lt;=EOMONTH(AJ$100,0)),"◆","")),IF(MAX('制度詳細'!$H$34,AJ$100)&lt;=MIN(IF('制度詳細'!$I$34="",EOMONTH(AJ$100,0),'制度詳細'!$I$34),EOMONTH(AJ$100,0)),"■",IF(AND('制度詳細'!$J$34&lt;&gt;"",'制度詳細'!$J$34&gt;=AJ$100,'制度詳細'!$J$34&lt;=EOMONTH(AJ$100,0)),"◆","")))</x:f>
      </x:c>
      <x:c r="AK106" s="57" t="str">
        <x:f>IF('制度詳細'!$H$34="",IF('制度詳細'!$J$34="","",IF(AND('制度詳細'!$J$34&gt;=AK$100,'制度詳細'!$J$34&lt;=EOMONTH(AK$100,0)),"◆","")),IF(MAX('制度詳細'!$H$34,AK$100)&lt;=MIN(IF('制度詳細'!$I$34="",EOMONTH(AK$100,0),'制度詳細'!$I$34),EOMONTH(AK$100,0)),"■",IF(AND('制度詳細'!$J$34&lt;&gt;"",'制度詳細'!$J$34&gt;=AK$100,'制度詳細'!$J$34&lt;=EOMONTH(AK$100,0)),"◆","")))</x:f>
      </x:c>
      <x:c r="AL106" s="57" t="str">
        <x:f>IF('制度詳細'!$H$34="",IF('制度詳細'!$J$34="","",IF(AND('制度詳細'!$J$34&gt;=AL$100,'制度詳細'!$J$34&lt;=EOMONTH(AL$100,0)),"◆","")),IF(MAX('制度詳細'!$H$34,AL$100)&lt;=MIN(IF('制度詳細'!$I$34="",EOMONTH(AL$100,0),'制度詳細'!$I$34),EOMONTH(AL$100,0)),"■",IF(AND('制度詳細'!$J$34&lt;&gt;"",'制度詳細'!$J$34&gt;=AL$100,'制度詳細'!$J$34&lt;=EOMONTH(AL$100,0)),"◆","")))</x:f>
      </x:c>
      <x:c r="AM106" s="57" t="str">
        <x:f>IF('制度詳細'!$H$34="",IF('制度詳細'!$J$34="","",IF(AND('制度詳細'!$J$34&gt;=AM$100,'制度詳細'!$J$34&lt;=EOMONTH(AM$100,0)),"◆","")),IF(MAX('制度詳細'!$H$34,AM$100)&lt;=MIN(IF('制度詳細'!$I$34="",EOMONTH(AM$100,0),'制度詳細'!$I$34),EOMONTH(AM$100,0)),"■",IF(AND('制度詳細'!$J$34&lt;&gt;"",'制度詳細'!$J$34&gt;=AM$100,'制度詳細'!$J$34&lt;=EOMONTH(AM$100,0)),"◆","")))</x:f>
      </x:c>
      <x:c r="AN106" s="57" t="str">
        <x:f>IF('制度詳細'!$H$34="",IF('制度詳細'!$J$34="","",IF(AND('制度詳細'!$J$34&gt;=AN$100,'制度詳細'!$J$34&lt;=EOMONTH(AN$100,0)),"◆","")),IF(MAX('制度詳細'!$H$34,AN$100)&lt;=MIN(IF('制度詳細'!$I$34="",EOMONTH(AN$100,0),'制度詳細'!$I$34),EOMONTH(AN$100,0)),"■",IF(AND('制度詳細'!$J$34&lt;&gt;"",'制度詳細'!$J$34&gt;=AN$100,'制度詳細'!$J$34&lt;=EOMONTH(AN$100,0)),"◆","")))</x:f>
      </x:c>
      <x:c r="AO106" s="57" t="str">
        <x:f>IF('制度詳細'!$H$34="",IF('制度詳細'!$J$34="","",IF(AND('制度詳細'!$J$34&gt;=AO$100,'制度詳細'!$J$34&lt;=EOMONTH(AO$100,0)),"◆","")),IF(MAX('制度詳細'!$H$34,AO$100)&lt;=MIN(IF('制度詳細'!$I$34="",EOMONTH(AO$100,0),'制度詳細'!$I$34),EOMONTH(AO$100,0)),"■",IF(AND('制度詳細'!$J$34&lt;&gt;"",'制度詳細'!$J$34&gt;=AO$100,'制度詳細'!$J$34&lt;=EOMONTH(AO$100,0)),"◆","")))</x:f>
      </x:c>
      <x:c r="AP106" s="57" t="str">
        <x:f>IF('制度詳細'!$H$34="",IF('制度詳細'!$J$34="","",IF(AND('制度詳細'!$J$34&gt;=AP$100,'制度詳細'!$J$34&lt;=EOMONTH(AP$100,0)),"◆","")),IF(MAX('制度詳細'!$H$34,AP$100)&lt;=MIN(IF('制度詳細'!$I$34="",EOMONTH(AP$100,0),'制度詳細'!$I$34),EOMONTH(AP$100,0)),"■",IF(AND('制度詳細'!$J$34&lt;&gt;"",'制度詳細'!$J$34&gt;=AP$100,'制度詳細'!$J$34&lt;=EOMONTH(AP$100,0)),"◆","")))</x:f>
      </x:c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</x:row>
    <x:row r="107" ht="30" customHeight="1">
      <x:c r="A107" s="54" t="str">
        <x:v>VN07 国内車：登録料50%減2020</x:v>
      </x:c>
      <x:c r="B107" s="54"/>
      <x:c r="C107" s="54"/>
      <x:c r="D107" s="54"/>
      <x:c r="E107" s="54"/>
      <x:c r="F107" s="54"/>
      <x:c r="G107" s="57" t="str">
        <x:f>IF('制度詳細'!$H$35="",IF('制度詳細'!$J$35="","",IF(AND('制度詳細'!$J$35&gt;=G$100,'制度詳細'!$J$35&lt;=EOMONTH(G$100,0)),"◆","")),IF(MAX('制度詳細'!$H$35,G$100)&lt;=MIN(IF('制度詳細'!$I$35="",EOMONTH(G$100,0),'制度詳細'!$I$35),EOMONTH(G$100,0)),"■",IF(AND('制度詳細'!$J$35&lt;&gt;"",'制度詳細'!$J$35&gt;=G$100,'制度詳細'!$J$35&lt;=EOMONTH(G$100,0)),"◆","")))</x:f>
      </x:c>
      <x:c r="H107" s="57" t="str">
        <x:f>IF('制度詳細'!$H$35="",IF('制度詳細'!$J$35="","",IF(AND('制度詳細'!$J$35&gt;=H$100,'制度詳細'!$J$35&lt;=EOMONTH(H$100,0)),"◆","")),IF(MAX('制度詳細'!$H$35,H$100)&lt;=MIN(IF('制度詳細'!$I$35="",EOMONTH(H$100,0),'制度詳細'!$I$35),EOMONTH(H$100,0)),"■",IF(AND('制度詳細'!$J$35&lt;&gt;"",'制度詳細'!$J$35&gt;=H$100,'制度詳細'!$J$35&lt;=EOMONTH(H$100,0)),"◆","")))</x:f>
      </x:c>
      <x:c r="I107" s="57" t="str">
        <x:f>IF('制度詳細'!$H$35="",IF('制度詳細'!$J$35="","",IF(AND('制度詳細'!$J$35&gt;=I$100,'制度詳細'!$J$35&lt;=EOMONTH(I$100,0)),"◆","")),IF(MAX('制度詳細'!$H$35,I$100)&lt;=MIN(IF('制度詳細'!$I$35="",EOMONTH(I$100,0),'制度詳細'!$I$35),EOMONTH(I$100,0)),"■",IF(AND('制度詳細'!$J$35&lt;&gt;"",'制度詳細'!$J$35&gt;=I$100,'制度詳細'!$J$35&lt;=EOMONTH(I$100,0)),"◆","")))</x:f>
      </x:c>
      <x:c r="J107" s="57" t="str">
        <x:f>IF('制度詳細'!$H$35="",IF('制度詳細'!$J$35="","",IF(AND('制度詳細'!$J$35&gt;=J$100,'制度詳細'!$J$35&lt;=EOMONTH(J$100,0)),"◆","")),IF(MAX('制度詳細'!$H$35,J$100)&lt;=MIN(IF('制度詳細'!$I$35="",EOMONTH(J$100,0),'制度詳細'!$I$35),EOMONTH(J$100,0)),"■",IF(AND('制度詳細'!$J$35&lt;&gt;"",'制度詳細'!$J$35&gt;=J$100,'制度詳細'!$J$35&lt;=EOMONTH(J$100,0)),"◆","")))</x:f>
      </x:c>
      <x:c r="K107" s="57" t="str">
        <x:f>IF('制度詳細'!$H$35="",IF('制度詳細'!$J$35="","",IF(AND('制度詳細'!$J$35&gt;=K$100,'制度詳細'!$J$35&lt;=EOMONTH(K$100,0)),"◆","")),IF(MAX('制度詳細'!$H$35,K$100)&lt;=MIN(IF('制度詳細'!$I$35="",EOMONTH(K$100,0),'制度詳細'!$I$35),EOMONTH(K$100,0)),"■",IF(AND('制度詳細'!$J$35&lt;&gt;"",'制度詳細'!$J$35&gt;=K$100,'制度詳細'!$J$35&lt;=EOMONTH(K$100,0)),"◆","")))</x:f>
      </x:c>
      <x:c r="L107" s="57" t="str">
        <x:f>IF('制度詳細'!$H$35="",IF('制度詳細'!$J$35="","",IF(AND('制度詳細'!$J$35&gt;=L$100,'制度詳細'!$J$35&lt;=EOMONTH(L$100,0)),"◆","")),IF(MAX('制度詳細'!$H$35,L$100)&lt;=MIN(IF('制度詳細'!$I$35="",EOMONTH(L$100,0),'制度詳細'!$I$35),EOMONTH(L$100,0)),"■",IF(AND('制度詳細'!$J$35&lt;&gt;"",'制度詳細'!$J$35&gt;=L$100,'制度詳細'!$J$35&lt;=EOMONTH(L$100,0)),"◆","")))</x:f>
      </x:c>
      <x:c r="M107" s="57" t="str">
        <x:f>IF('制度詳細'!$H$35="",IF('制度詳細'!$J$35="","",IF(AND('制度詳細'!$J$35&gt;=M$100,'制度詳細'!$J$35&lt;=EOMONTH(M$100,0)),"◆","")),IF(MAX('制度詳細'!$H$35,M$100)&lt;=MIN(IF('制度詳細'!$I$35="",EOMONTH(M$100,0),'制度詳細'!$I$35),EOMONTH(M$100,0)),"■",IF(AND('制度詳細'!$J$35&lt;&gt;"",'制度詳細'!$J$35&gt;=M$100,'制度詳細'!$J$35&lt;=EOMONTH(M$100,0)),"◆","")))</x:f>
      </x:c>
      <x:c r="N107" s="57" t="str">
        <x:f>IF('制度詳細'!$H$35="",IF('制度詳細'!$J$35="","",IF(AND('制度詳細'!$J$35&gt;=N$100,'制度詳細'!$J$35&lt;=EOMONTH(N$100,0)),"◆","")),IF(MAX('制度詳細'!$H$35,N$100)&lt;=MIN(IF('制度詳細'!$I$35="",EOMONTH(N$100,0),'制度詳細'!$I$35),EOMONTH(N$100,0)),"■",IF(AND('制度詳細'!$J$35&lt;&gt;"",'制度詳細'!$J$35&gt;=N$100,'制度詳細'!$J$35&lt;=EOMONTH(N$100,0)),"◆","")))</x:f>
      </x:c>
      <x:c r="O107" s="57" t="str">
        <x:f>IF('制度詳細'!$H$35="",IF('制度詳細'!$J$35="","",IF(AND('制度詳細'!$J$35&gt;=O$100,'制度詳細'!$J$35&lt;=EOMONTH(O$100,0)),"◆","")),IF(MAX('制度詳細'!$H$35,O$100)&lt;=MIN(IF('制度詳細'!$I$35="",EOMONTH(O$100,0),'制度詳細'!$I$35),EOMONTH(O$100,0)),"■",IF(AND('制度詳細'!$J$35&lt;&gt;"",'制度詳細'!$J$35&gt;=O$100,'制度詳細'!$J$35&lt;=EOMONTH(O$100,0)),"◆","")))</x:f>
      </x:c>
      <x:c r="P107" s="57" t="str">
        <x:f>IF('制度詳細'!$H$35="",IF('制度詳細'!$J$35="","",IF(AND('制度詳細'!$J$35&gt;=P$100,'制度詳細'!$J$35&lt;=EOMONTH(P$100,0)),"◆","")),IF(MAX('制度詳細'!$H$35,P$100)&lt;=MIN(IF('制度詳細'!$I$35="",EOMONTH(P$100,0),'制度詳細'!$I$35),EOMONTH(P$100,0)),"■",IF(AND('制度詳細'!$J$35&lt;&gt;"",'制度詳細'!$J$35&gt;=P$100,'制度詳細'!$J$35&lt;=EOMONTH(P$100,0)),"◆","")))</x:f>
      </x:c>
      <x:c r="Q107" s="57" t="str">
        <x:f>IF('制度詳細'!$H$35="",IF('制度詳細'!$J$35="","",IF(AND('制度詳細'!$J$35&gt;=Q$100,'制度詳細'!$J$35&lt;=EOMONTH(Q$100,0)),"◆","")),IF(MAX('制度詳細'!$H$35,Q$100)&lt;=MIN(IF('制度詳細'!$I$35="",EOMONTH(Q$100,0),'制度詳細'!$I$35),EOMONTH(Q$100,0)),"■",IF(AND('制度詳細'!$J$35&lt;&gt;"",'制度詳細'!$J$35&gt;=Q$100,'制度詳細'!$J$35&lt;=EOMONTH(Q$100,0)),"◆","")))</x:f>
      </x:c>
      <x:c r="R107" s="57" t="str">
        <x:f>IF('制度詳細'!$H$35="",IF('制度詳細'!$J$35="","",IF(AND('制度詳細'!$J$35&gt;=R$100,'制度詳細'!$J$35&lt;=EOMONTH(R$100,0)),"◆","")),IF(MAX('制度詳細'!$H$35,R$100)&lt;=MIN(IF('制度詳細'!$I$35="",EOMONTH(R$100,0),'制度詳細'!$I$35),EOMONTH(R$100,0)),"■",IF(AND('制度詳細'!$J$35&lt;&gt;"",'制度詳細'!$J$35&gt;=R$100,'制度詳細'!$J$35&lt;=EOMONTH(R$100,0)),"◆","")))</x:f>
      </x:c>
      <x:c r="S107" s="57" t="str">
        <x:f>IF('制度詳細'!$H$35="",IF('制度詳細'!$J$35="","",IF(AND('制度詳細'!$J$35&gt;=S$100,'制度詳細'!$J$35&lt;=EOMONTH(S$100,0)),"◆","")),IF(MAX('制度詳細'!$H$35,S$100)&lt;=MIN(IF('制度詳細'!$I$35="",EOMONTH(S$100,0),'制度詳細'!$I$35),EOMONTH(S$100,0)),"■",IF(AND('制度詳細'!$J$35&lt;&gt;"",'制度詳細'!$J$35&gt;=S$100,'制度詳細'!$J$35&lt;=EOMONTH(S$100,0)),"◆","")))</x:f>
      </x:c>
      <x:c r="T107" s="57" t="str">
        <x:f>IF('制度詳細'!$H$35="",IF('制度詳細'!$J$35="","",IF(AND('制度詳細'!$J$35&gt;=T$100,'制度詳細'!$J$35&lt;=EOMONTH(T$100,0)),"◆","")),IF(MAX('制度詳細'!$H$35,T$100)&lt;=MIN(IF('制度詳細'!$I$35="",EOMONTH(T$100,0),'制度詳細'!$I$35),EOMONTH(T$100,0)),"■",IF(AND('制度詳細'!$J$35&lt;&gt;"",'制度詳細'!$J$35&gt;=T$100,'制度詳細'!$J$35&lt;=EOMONTH(T$100,0)),"◆","")))</x:f>
      </x:c>
      <x:c r="U107" s="57" t="str">
        <x:f>IF('制度詳細'!$H$35="",IF('制度詳細'!$J$35="","",IF(AND('制度詳細'!$J$35&gt;=U$100,'制度詳細'!$J$35&lt;=EOMONTH(U$100,0)),"◆","")),IF(MAX('制度詳細'!$H$35,U$100)&lt;=MIN(IF('制度詳細'!$I$35="",EOMONTH(U$100,0),'制度詳細'!$I$35),EOMONTH(U$100,0)),"■",IF(AND('制度詳細'!$J$35&lt;&gt;"",'制度詳細'!$J$35&gt;=U$100,'制度詳細'!$J$35&lt;=EOMONTH(U$100,0)),"◆","")))</x:f>
      </x:c>
      <x:c r="V107" s="57" t="str">
        <x:f>IF('制度詳細'!$H$35="",IF('制度詳細'!$J$35="","",IF(AND('制度詳細'!$J$35&gt;=V$100,'制度詳細'!$J$35&lt;=EOMONTH(V$100,0)),"◆","")),IF(MAX('制度詳細'!$H$35,V$100)&lt;=MIN(IF('制度詳細'!$I$35="",EOMONTH(V$100,0),'制度詳細'!$I$35),EOMONTH(V$100,0)),"■",IF(AND('制度詳細'!$J$35&lt;&gt;"",'制度詳細'!$J$35&gt;=V$100,'制度詳細'!$J$35&lt;=EOMONTH(V$100,0)),"◆","")))</x:f>
      </x:c>
      <x:c r="W107" s="57" t="str">
        <x:f>IF('制度詳細'!$H$35="",IF('制度詳細'!$J$35="","",IF(AND('制度詳細'!$J$35&gt;=W$100,'制度詳細'!$J$35&lt;=EOMONTH(W$100,0)),"◆","")),IF(MAX('制度詳細'!$H$35,W$100)&lt;=MIN(IF('制度詳細'!$I$35="",EOMONTH(W$100,0),'制度詳細'!$I$35),EOMONTH(W$100,0)),"■",IF(AND('制度詳細'!$J$35&lt;&gt;"",'制度詳細'!$J$35&gt;=W$100,'制度詳細'!$J$35&lt;=EOMONTH(W$100,0)),"◆","")))</x:f>
      </x:c>
      <x:c r="X107" s="57" t="str">
        <x:f>IF('制度詳細'!$H$35="",IF('制度詳細'!$J$35="","",IF(AND('制度詳細'!$J$35&gt;=X$100,'制度詳細'!$J$35&lt;=EOMONTH(X$100,0)),"◆","")),IF(MAX('制度詳細'!$H$35,X$100)&lt;=MIN(IF('制度詳細'!$I$35="",EOMONTH(X$100,0),'制度詳細'!$I$35),EOMONTH(X$100,0)),"■",IF(AND('制度詳細'!$J$35&lt;&gt;"",'制度詳細'!$J$35&gt;=X$100,'制度詳細'!$J$35&lt;=EOMONTH(X$100,0)),"◆","")))</x:f>
      </x:c>
      <x:c r="Y107" s="57" t="str">
        <x:f>IF('制度詳細'!$H$35="",IF('制度詳細'!$J$35="","",IF(AND('制度詳細'!$J$35&gt;=Y$100,'制度詳細'!$J$35&lt;=EOMONTH(Y$100,0)),"◆","")),IF(MAX('制度詳細'!$H$35,Y$100)&lt;=MIN(IF('制度詳細'!$I$35="",EOMONTH(Y$100,0),'制度詳細'!$I$35),EOMONTH(Y$100,0)),"■",IF(AND('制度詳細'!$J$35&lt;&gt;"",'制度詳細'!$J$35&gt;=Y$100,'制度詳細'!$J$35&lt;=EOMONTH(Y$100,0)),"◆","")))</x:f>
      </x:c>
      <x:c r="Z107" s="57" t="str">
        <x:f>IF('制度詳細'!$H$35="",IF('制度詳細'!$J$35="","",IF(AND('制度詳細'!$J$35&gt;=Z$100,'制度詳細'!$J$35&lt;=EOMONTH(Z$100,0)),"◆","")),IF(MAX('制度詳細'!$H$35,Z$100)&lt;=MIN(IF('制度詳細'!$I$35="",EOMONTH(Z$100,0),'制度詳細'!$I$35),EOMONTH(Z$100,0)),"■",IF(AND('制度詳細'!$J$35&lt;&gt;"",'制度詳細'!$J$35&gt;=Z$100,'制度詳細'!$J$35&lt;=EOMONTH(Z$100,0)),"◆","")))</x:f>
      </x:c>
      <x:c r="AA107" s="57" t="str">
        <x:f>IF('制度詳細'!$H$35="",IF('制度詳細'!$J$35="","",IF(AND('制度詳細'!$J$35&gt;=AA$100,'制度詳細'!$J$35&lt;=EOMONTH(AA$100,0)),"◆","")),IF(MAX('制度詳細'!$H$35,AA$100)&lt;=MIN(IF('制度詳細'!$I$35="",EOMONTH(AA$100,0),'制度詳細'!$I$35),EOMONTH(AA$100,0)),"■",IF(AND('制度詳細'!$J$35&lt;&gt;"",'制度詳細'!$J$35&gt;=AA$100,'制度詳細'!$J$35&lt;=EOMONTH(AA$100,0)),"◆","")))</x:f>
      </x:c>
      <x:c r="AB107" s="57" t="str">
        <x:f>IF('制度詳細'!$H$35="",IF('制度詳細'!$J$35="","",IF(AND('制度詳細'!$J$35&gt;=AB$100,'制度詳細'!$J$35&lt;=EOMONTH(AB$100,0)),"◆","")),IF(MAX('制度詳細'!$H$35,AB$100)&lt;=MIN(IF('制度詳細'!$I$35="",EOMONTH(AB$100,0),'制度詳細'!$I$35),EOMONTH(AB$100,0)),"■",IF(AND('制度詳細'!$J$35&lt;&gt;"",'制度詳細'!$J$35&gt;=AB$100,'制度詳細'!$J$35&lt;=EOMONTH(AB$100,0)),"◆","")))</x:f>
      </x:c>
      <x:c r="AC107" s="57" t="str">
        <x:f>IF('制度詳細'!$H$35="",IF('制度詳細'!$J$35="","",IF(AND('制度詳細'!$J$35&gt;=AC$100,'制度詳細'!$J$35&lt;=EOMONTH(AC$100,0)),"◆","")),IF(MAX('制度詳細'!$H$35,AC$100)&lt;=MIN(IF('制度詳細'!$I$35="",EOMONTH(AC$100,0),'制度詳細'!$I$35),EOMONTH(AC$100,0)),"■",IF(AND('制度詳細'!$J$35&lt;&gt;"",'制度詳細'!$J$35&gt;=AC$100,'制度詳細'!$J$35&lt;=EOMONTH(AC$100,0)),"◆","")))</x:f>
      </x:c>
      <x:c r="AD107" s="57" t="str">
        <x:f>IF('制度詳細'!$H$35="",IF('制度詳細'!$J$35="","",IF(AND('制度詳細'!$J$35&gt;=AD$100,'制度詳細'!$J$35&lt;=EOMONTH(AD$100,0)),"◆","")),IF(MAX('制度詳細'!$H$35,AD$100)&lt;=MIN(IF('制度詳細'!$I$35="",EOMONTH(AD$100,0),'制度詳細'!$I$35),EOMONTH(AD$100,0)),"■",IF(AND('制度詳細'!$J$35&lt;&gt;"",'制度詳細'!$J$35&gt;=AD$100,'制度詳細'!$J$35&lt;=EOMONTH(AD$100,0)),"◆","")))</x:f>
      </x:c>
      <x:c r="AE107" s="57" t="str">
        <x:f>IF('制度詳細'!$H$35="",IF('制度詳細'!$J$35="","",IF(AND('制度詳細'!$J$35&gt;=AE$100,'制度詳細'!$J$35&lt;=EOMONTH(AE$100,0)),"◆","")),IF(MAX('制度詳細'!$H$35,AE$100)&lt;=MIN(IF('制度詳細'!$I$35="",EOMONTH(AE$100,0),'制度詳細'!$I$35),EOMONTH(AE$100,0)),"■",IF(AND('制度詳細'!$J$35&lt;&gt;"",'制度詳細'!$J$35&gt;=AE$100,'制度詳細'!$J$35&lt;=EOMONTH(AE$100,0)),"◆","")))</x:f>
      </x:c>
      <x:c r="AF107" s="57" t="str">
        <x:f>IF('制度詳細'!$H$35="",IF('制度詳細'!$J$35="","",IF(AND('制度詳細'!$J$35&gt;=AF$100,'制度詳細'!$J$35&lt;=EOMONTH(AF$100,0)),"◆","")),IF(MAX('制度詳細'!$H$35,AF$100)&lt;=MIN(IF('制度詳細'!$I$35="",EOMONTH(AF$100,0),'制度詳細'!$I$35),EOMONTH(AF$100,0)),"■",IF(AND('制度詳細'!$J$35&lt;&gt;"",'制度詳細'!$J$35&gt;=AF$100,'制度詳細'!$J$35&lt;=EOMONTH(AF$100,0)),"◆","")))</x:f>
      </x:c>
      <x:c r="AG107" s="57" t="str">
        <x:f>IF('制度詳細'!$H$35="",IF('制度詳細'!$J$35="","",IF(AND('制度詳細'!$J$35&gt;=AG$100,'制度詳細'!$J$35&lt;=EOMONTH(AG$100,0)),"◆","")),IF(MAX('制度詳細'!$H$35,AG$100)&lt;=MIN(IF('制度詳細'!$I$35="",EOMONTH(AG$100,0),'制度詳細'!$I$35),EOMONTH(AG$100,0)),"■",IF(AND('制度詳細'!$J$35&lt;&gt;"",'制度詳細'!$J$35&gt;=AG$100,'制度詳細'!$J$35&lt;=EOMONTH(AG$100,0)),"◆","")))</x:f>
      </x:c>
      <x:c r="AH107" s="57" t="str">
        <x:f>IF('制度詳細'!$H$35="",IF('制度詳細'!$J$35="","",IF(AND('制度詳細'!$J$35&gt;=AH$100,'制度詳細'!$J$35&lt;=EOMONTH(AH$100,0)),"◆","")),IF(MAX('制度詳細'!$H$35,AH$100)&lt;=MIN(IF('制度詳細'!$I$35="",EOMONTH(AH$100,0),'制度詳細'!$I$35),EOMONTH(AH$100,0)),"■",IF(AND('制度詳細'!$J$35&lt;&gt;"",'制度詳細'!$J$35&gt;=AH$100,'制度詳細'!$J$35&lt;=EOMONTH(AH$100,0)),"◆","")))</x:f>
      </x:c>
      <x:c r="AI107" s="57" t="str">
        <x:f>IF('制度詳細'!$H$35="",IF('制度詳細'!$J$35="","",IF(AND('制度詳細'!$J$35&gt;=AI$100,'制度詳細'!$J$35&lt;=EOMONTH(AI$100,0)),"◆","")),IF(MAX('制度詳細'!$H$35,AI$100)&lt;=MIN(IF('制度詳細'!$I$35="",EOMONTH(AI$100,0),'制度詳細'!$I$35),EOMONTH(AI$100,0)),"■",IF(AND('制度詳細'!$J$35&lt;&gt;"",'制度詳細'!$J$35&gt;=AI$100,'制度詳細'!$J$35&lt;=EOMONTH(AI$100,0)),"◆","")))</x:f>
      </x:c>
      <x:c r="AJ107" s="57" t="str">
        <x:f>IF('制度詳細'!$H$35="",IF('制度詳細'!$J$35="","",IF(AND('制度詳細'!$J$35&gt;=AJ$100,'制度詳細'!$J$35&lt;=EOMONTH(AJ$100,0)),"◆","")),IF(MAX('制度詳細'!$H$35,AJ$100)&lt;=MIN(IF('制度詳細'!$I$35="",EOMONTH(AJ$100,0),'制度詳細'!$I$35),EOMONTH(AJ$100,0)),"■",IF(AND('制度詳細'!$J$35&lt;&gt;"",'制度詳細'!$J$35&gt;=AJ$100,'制度詳細'!$J$35&lt;=EOMONTH(AJ$100,0)),"◆","")))</x:f>
      </x:c>
      <x:c r="AK107" s="57" t="str">
        <x:f>IF('制度詳細'!$H$35="",IF('制度詳細'!$J$35="","",IF(AND('制度詳細'!$J$35&gt;=AK$100,'制度詳細'!$J$35&lt;=EOMONTH(AK$100,0)),"◆","")),IF(MAX('制度詳細'!$H$35,AK$100)&lt;=MIN(IF('制度詳細'!$I$35="",EOMONTH(AK$100,0),'制度詳細'!$I$35),EOMONTH(AK$100,0)),"■",IF(AND('制度詳細'!$J$35&lt;&gt;"",'制度詳細'!$J$35&gt;=AK$100,'制度詳細'!$J$35&lt;=EOMONTH(AK$100,0)),"◆","")))</x:f>
      </x:c>
      <x:c r="AL107" s="57" t="str">
        <x:f>IF('制度詳細'!$H$35="",IF('制度詳細'!$J$35="","",IF(AND('制度詳細'!$J$35&gt;=AL$100,'制度詳細'!$J$35&lt;=EOMONTH(AL$100,0)),"◆","")),IF(MAX('制度詳細'!$H$35,AL$100)&lt;=MIN(IF('制度詳細'!$I$35="",EOMONTH(AL$100,0),'制度詳細'!$I$35),EOMONTH(AL$100,0)),"■",IF(AND('制度詳細'!$J$35&lt;&gt;"",'制度詳細'!$J$35&gt;=AL$100,'制度詳細'!$J$35&lt;=EOMONTH(AL$100,0)),"◆","")))</x:f>
      </x:c>
      <x:c r="AM107" s="57" t="str">
        <x:f>IF('制度詳細'!$H$35="",IF('制度詳細'!$J$35="","",IF(AND('制度詳細'!$J$35&gt;=AM$100,'制度詳細'!$J$35&lt;=EOMONTH(AM$100,0)),"◆","")),IF(MAX('制度詳細'!$H$35,AM$100)&lt;=MIN(IF('制度詳細'!$I$35="",EOMONTH(AM$100,0),'制度詳細'!$I$35),EOMONTH(AM$100,0)),"■",IF(AND('制度詳細'!$J$35&lt;&gt;"",'制度詳細'!$J$35&gt;=AM$100,'制度詳細'!$J$35&lt;=EOMONTH(AM$100,0)),"◆","")))</x:f>
      </x:c>
      <x:c r="AN107" s="57" t="str">
        <x:f>IF('制度詳細'!$H$35="",IF('制度詳細'!$J$35="","",IF(AND('制度詳細'!$J$35&gt;=AN$100,'制度詳細'!$J$35&lt;=EOMONTH(AN$100,0)),"◆","")),IF(MAX('制度詳細'!$H$35,AN$100)&lt;=MIN(IF('制度詳細'!$I$35="",EOMONTH(AN$100,0),'制度詳細'!$I$35),EOMONTH(AN$100,0)),"■",IF(AND('制度詳細'!$J$35&lt;&gt;"",'制度詳細'!$J$35&gt;=AN$100,'制度詳細'!$J$35&lt;=EOMONTH(AN$100,0)),"◆","")))</x:f>
      </x:c>
      <x:c r="AO107" s="57" t="str">
        <x:f>IF('制度詳細'!$H$35="",IF('制度詳細'!$J$35="","",IF(AND('制度詳細'!$J$35&gt;=AO$100,'制度詳細'!$J$35&lt;=EOMONTH(AO$100,0)),"◆","")),IF(MAX('制度詳細'!$H$35,AO$100)&lt;=MIN(IF('制度詳細'!$I$35="",EOMONTH(AO$100,0),'制度詳細'!$I$35),EOMONTH(AO$100,0)),"■",IF(AND('制度詳細'!$J$35&lt;&gt;"",'制度詳細'!$J$35&gt;=AO$100,'制度詳細'!$J$35&lt;=EOMONTH(AO$100,0)),"◆","")))</x:f>
      </x:c>
      <x:c r="AP107" s="57" t="str">
        <x:f>IF('制度詳細'!$H$35="",IF('制度詳細'!$J$35="","",IF(AND('制度詳細'!$J$35&gt;=AP$100,'制度詳細'!$J$35&lt;=EOMONTH(AP$100,0)),"◆","")),IF(MAX('制度詳細'!$H$35,AP$100)&lt;=MIN(IF('制度詳細'!$I$35="",EOMONTH(AP$100,0),'制度詳細'!$I$35),EOMONTH(AP$100,0)),"■",IF(AND('制度詳細'!$J$35&lt;&gt;"",'制度詳細'!$J$35&gt;=AP$100,'制度詳細'!$J$35&lt;=EOMONTH(AP$100,0)),"◆","")))</x:f>
      </x:c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</x:row>
    <x:row r="108" ht="30" customHeight="1">
      <x:c r="A108" s="59" t="str">
        <x:v>VN08 国内車：登録料50%減2021</x:v>
      </x:c>
      <x:c r="B108" s="59"/>
      <x:c r="C108" s="59"/>
      <x:c r="D108" s="59"/>
      <x:c r="E108" s="59"/>
      <x:c r="F108" s="59"/>
      <x:c r="G108" s="57" t="str">
        <x:f>IF('制度詳細'!$H$36="",IF('制度詳細'!$J$36="","",IF(AND('制度詳細'!$J$36&gt;=G$100,'制度詳細'!$J$36&lt;=EOMONTH(G$100,0)),"◆","")),IF(MAX('制度詳細'!$H$36,G$100)&lt;=MIN(IF('制度詳細'!$I$36="",EOMONTH(G$100,0),'制度詳細'!$I$36),EOMONTH(G$100,0)),"■",IF(AND('制度詳細'!$J$36&lt;&gt;"",'制度詳細'!$J$36&gt;=G$100,'制度詳細'!$J$36&lt;=EOMONTH(G$100,0)),"◆","")))</x:f>
      </x:c>
      <x:c r="H108" s="57" t="str">
        <x:f>IF('制度詳細'!$H$36="",IF('制度詳細'!$J$36="","",IF(AND('制度詳細'!$J$36&gt;=H$100,'制度詳細'!$J$36&lt;=EOMONTH(H$100,0)),"◆","")),IF(MAX('制度詳細'!$H$36,H$100)&lt;=MIN(IF('制度詳細'!$I$36="",EOMONTH(H$100,0),'制度詳細'!$I$36),EOMONTH(H$100,0)),"■",IF(AND('制度詳細'!$J$36&lt;&gt;"",'制度詳細'!$J$36&gt;=H$100,'制度詳細'!$J$36&lt;=EOMONTH(H$100,0)),"◆","")))</x:f>
      </x:c>
      <x:c r="I108" s="57" t="str">
        <x:f>IF('制度詳細'!$H$36="",IF('制度詳細'!$J$36="","",IF(AND('制度詳細'!$J$36&gt;=I$100,'制度詳細'!$J$36&lt;=EOMONTH(I$100,0)),"◆","")),IF(MAX('制度詳細'!$H$36,I$100)&lt;=MIN(IF('制度詳細'!$I$36="",EOMONTH(I$100,0),'制度詳細'!$I$36),EOMONTH(I$100,0)),"■",IF(AND('制度詳細'!$J$36&lt;&gt;"",'制度詳細'!$J$36&gt;=I$100,'制度詳細'!$J$36&lt;=EOMONTH(I$100,0)),"◆","")))</x:f>
      </x:c>
      <x:c r="J108" s="57" t="str">
        <x:f>IF('制度詳細'!$H$36="",IF('制度詳細'!$J$36="","",IF(AND('制度詳細'!$J$36&gt;=J$100,'制度詳細'!$J$36&lt;=EOMONTH(J$100,0)),"◆","")),IF(MAX('制度詳細'!$H$36,J$100)&lt;=MIN(IF('制度詳細'!$I$36="",EOMONTH(J$100,0),'制度詳細'!$I$36),EOMONTH(J$100,0)),"■",IF(AND('制度詳細'!$J$36&lt;&gt;"",'制度詳細'!$J$36&gt;=J$100,'制度詳細'!$J$36&lt;=EOMONTH(J$100,0)),"◆","")))</x:f>
      </x:c>
      <x:c r="K108" s="57" t="str">
        <x:f>IF('制度詳細'!$H$36="",IF('制度詳細'!$J$36="","",IF(AND('制度詳細'!$J$36&gt;=K$100,'制度詳細'!$J$36&lt;=EOMONTH(K$100,0)),"◆","")),IF(MAX('制度詳細'!$H$36,K$100)&lt;=MIN(IF('制度詳細'!$I$36="",EOMONTH(K$100,0),'制度詳細'!$I$36),EOMONTH(K$100,0)),"■",IF(AND('制度詳細'!$J$36&lt;&gt;"",'制度詳細'!$J$36&gt;=K$100,'制度詳細'!$J$36&lt;=EOMONTH(K$100,0)),"◆","")))</x:f>
      </x:c>
      <x:c r="L108" s="57" t="str">
        <x:f>IF('制度詳細'!$H$36="",IF('制度詳細'!$J$36="","",IF(AND('制度詳細'!$J$36&gt;=L$100,'制度詳細'!$J$36&lt;=EOMONTH(L$100,0)),"◆","")),IF(MAX('制度詳細'!$H$36,L$100)&lt;=MIN(IF('制度詳細'!$I$36="",EOMONTH(L$100,0),'制度詳細'!$I$36),EOMONTH(L$100,0)),"■",IF(AND('制度詳細'!$J$36&lt;&gt;"",'制度詳細'!$J$36&gt;=L$100,'制度詳細'!$J$36&lt;=EOMONTH(L$100,0)),"◆","")))</x:f>
      </x:c>
      <x:c r="M108" s="57" t="str">
        <x:f>IF('制度詳細'!$H$36="",IF('制度詳細'!$J$36="","",IF(AND('制度詳細'!$J$36&gt;=M$100,'制度詳細'!$J$36&lt;=EOMONTH(M$100,0)),"◆","")),IF(MAX('制度詳細'!$H$36,M$100)&lt;=MIN(IF('制度詳細'!$I$36="",EOMONTH(M$100,0),'制度詳細'!$I$36),EOMONTH(M$100,0)),"■",IF(AND('制度詳細'!$J$36&lt;&gt;"",'制度詳細'!$J$36&gt;=M$100,'制度詳細'!$J$36&lt;=EOMONTH(M$100,0)),"◆","")))</x:f>
      </x:c>
      <x:c r="N108" s="57" t="str">
        <x:f>IF('制度詳細'!$H$36="",IF('制度詳細'!$J$36="","",IF(AND('制度詳細'!$J$36&gt;=N$100,'制度詳細'!$J$36&lt;=EOMONTH(N$100,0)),"◆","")),IF(MAX('制度詳細'!$H$36,N$100)&lt;=MIN(IF('制度詳細'!$I$36="",EOMONTH(N$100,0),'制度詳細'!$I$36),EOMONTH(N$100,0)),"■",IF(AND('制度詳細'!$J$36&lt;&gt;"",'制度詳細'!$J$36&gt;=N$100,'制度詳細'!$J$36&lt;=EOMONTH(N$100,0)),"◆","")))</x:f>
      </x:c>
      <x:c r="O108" s="57" t="str">
        <x:f>IF('制度詳細'!$H$36="",IF('制度詳細'!$J$36="","",IF(AND('制度詳細'!$J$36&gt;=O$100,'制度詳細'!$J$36&lt;=EOMONTH(O$100,0)),"◆","")),IF(MAX('制度詳細'!$H$36,O$100)&lt;=MIN(IF('制度詳細'!$I$36="",EOMONTH(O$100,0),'制度詳細'!$I$36),EOMONTH(O$100,0)),"■",IF(AND('制度詳細'!$J$36&lt;&gt;"",'制度詳細'!$J$36&gt;=O$100,'制度詳細'!$J$36&lt;=EOMONTH(O$100,0)),"◆","")))</x:f>
      </x:c>
      <x:c r="P108" s="57" t="str">
        <x:f>IF('制度詳細'!$H$36="",IF('制度詳細'!$J$36="","",IF(AND('制度詳細'!$J$36&gt;=P$100,'制度詳細'!$J$36&lt;=EOMONTH(P$100,0)),"◆","")),IF(MAX('制度詳細'!$H$36,P$100)&lt;=MIN(IF('制度詳細'!$I$36="",EOMONTH(P$100,0),'制度詳細'!$I$36),EOMONTH(P$100,0)),"■",IF(AND('制度詳細'!$J$36&lt;&gt;"",'制度詳細'!$J$36&gt;=P$100,'制度詳細'!$J$36&lt;=EOMONTH(P$100,0)),"◆","")))</x:f>
      </x:c>
      <x:c r="Q108" s="57" t="str">
        <x:f>IF('制度詳細'!$H$36="",IF('制度詳細'!$J$36="","",IF(AND('制度詳細'!$J$36&gt;=Q$100,'制度詳細'!$J$36&lt;=EOMONTH(Q$100,0)),"◆","")),IF(MAX('制度詳細'!$H$36,Q$100)&lt;=MIN(IF('制度詳細'!$I$36="",EOMONTH(Q$100,0),'制度詳細'!$I$36),EOMONTH(Q$100,0)),"■",IF(AND('制度詳細'!$J$36&lt;&gt;"",'制度詳細'!$J$36&gt;=Q$100,'制度詳細'!$J$36&lt;=EOMONTH(Q$100,0)),"◆","")))</x:f>
      </x:c>
      <x:c r="R108" s="57" t="str">
        <x:f>IF('制度詳細'!$H$36="",IF('制度詳細'!$J$36="","",IF(AND('制度詳細'!$J$36&gt;=R$100,'制度詳細'!$J$36&lt;=EOMONTH(R$100,0)),"◆","")),IF(MAX('制度詳細'!$H$36,R$100)&lt;=MIN(IF('制度詳細'!$I$36="",EOMONTH(R$100,0),'制度詳細'!$I$36),EOMONTH(R$100,0)),"■",IF(AND('制度詳細'!$J$36&lt;&gt;"",'制度詳細'!$J$36&gt;=R$100,'制度詳細'!$J$36&lt;=EOMONTH(R$100,0)),"◆","")))</x:f>
      </x:c>
      <x:c r="S108" s="57" t="str">
        <x:f>IF('制度詳細'!$H$36="",IF('制度詳細'!$J$36="","",IF(AND('制度詳細'!$J$36&gt;=S$100,'制度詳細'!$J$36&lt;=EOMONTH(S$100,0)),"◆","")),IF(MAX('制度詳細'!$H$36,S$100)&lt;=MIN(IF('制度詳細'!$I$36="",EOMONTH(S$100,0),'制度詳細'!$I$36),EOMONTH(S$100,0)),"■",IF(AND('制度詳細'!$J$36&lt;&gt;"",'制度詳細'!$J$36&gt;=S$100,'制度詳細'!$J$36&lt;=EOMONTH(S$100,0)),"◆","")))</x:f>
      </x:c>
      <x:c r="T108" s="57" t="str">
        <x:f>IF('制度詳細'!$H$36="",IF('制度詳細'!$J$36="","",IF(AND('制度詳細'!$J$36&gt;=T$100,'制度詳細'!$J$36&lt;=EOMONTH(T$100,0)),"◆","")),IF(MAX('制度詳細'!$H$36,T$100)&lt;=MIN(IF('制度詳細'!$I$36="",EOMONTH(T$100,0),'制度詳細'!$I$36),EOMONTH(T$100,0)),"■",IF(AND('制度詳細'!$J$36&lt;&gt;"",'制度詳細'!$J$36&gt;=T$100,'制度詳細'!$J$36&lt;=EOMONTH(T$100,0)),"◆","")))</x:f>
      </x:c>
      <x:c r="U108" s="57" t="str">
        <x:f>IF('制度詳細'!$H$36="",IF('制度詳細'!$J$36="","",IF(AND('制度詳細'!$J$36&gt;=U$100,'制度詳細'!$J$36&lt;=EOMONTH(U$100,0)),"◆","")),IF(MAX('制度詳細'!$H$36,U$100)&lt;=MIN(IF('制度詳細'!$I$36="",EOMONTH(U$100,0),'制度詳細'!$I$36),EOMONTH(U$100,0)),"■",IF(AND('制度詳細'!$J$36&lt;&gt;"",'制度詳細'!$J$36&gt;=U$100,'制度詳細'!$J$36&lt;=EOMONTH(U$100,0)),"◆","")))</x:f>
      </x:c>
      <x:c r="V108" s="57" t="str">
        <x:f>IF('制度詳細'!$H$36="",IF('制度詳細'!$J$36="","",IF(AND('制度詳細'!$J$36&gt;=V$100,'制度詳細'!$J$36&lt;=EOMONTH(V$100,0)),"◆","")),IF(MAX('制度詳細'!$H$36,V$100)&lt;=MIN(IF('制度詳細'!$I$36="",EOMONTH(V$100,0),'制度詳細'!$I$36),EOMONTH(V$100,0)),"■",IF(AND('制度詳細'!$J$36&lt;&gt;"",'制度詳細'!$J$36&gt;=V$100,'制度詳細'!$J$36&lt;=EOMONTH(V$100,0)),"◆","")))</x:f>
      </x:c>
      <x:c r="W108" s="57" t="str">
        <x:f>IF('制度詳細'!$H$36="",IF('制度詳細'!$J$36="","",IF(AND('制度詳細'!$J$36&gt;=W$100,'制度詳細'!$J$36&lt;=EOMONTH(W$100,0)),"◆","")),IF(MAX('制度詳細'!$H$36,W$100)&lt;=MIN(IF('制度詳細'!$I$36="",EOMONTH(W$100,0),'制度詳細'!$I$36),EOMONTH(W$100,0)),"■",IF(AND('制度詳細'!$J$36&lt;&gt;"",'制度詳細'!$J$36&gt;=W$100,'制度詳細'!$J$36&lt;=EOMONTH(W$100,0)),"◆","")))</x:f>
      </x:c>
      <x:c r="X108" s="57" t="str">
        <x:f>IF('制度詳細'!$H$36="",IF('制度詳細'!$J$36="","",IF(AND('制度詳細'!$J$36&gt;=X$100,'制度詳細'!$J$36&lt;=EOMONTH(X$100,0)),"◆","")),IF(MAX('制度詳細'!$H$36,X$100)&lt;=MIN(IF('制度詳細'!$I$36="",EOMONTH(X$100,0),'制度詳細'!$I$36),EOMONTH(X$100,0)),"■",IF(AND('制度詳細'!$J$36&lt;&gt;"",'制度詳細'!$J$36&gt;=X$100,'制度詳細'!$J$36&lt;=EOMONTH(X$100,0)),"◆","")))</x:f>
      </x:c>
      <x:c r="Y108" s="57" t="str">
        <x:f>IF('制度詳細'!$H$36="",IF('制度詳細'!$J$36="","",IF(AND('制度詳細'!$J$36&gt;=Y$100,'制度詳細'!$J$36&lt;=EOMONTH(Y$100,0)),"◆","")),IF(MAX('制度詳細'!$H$36,Y$100)&lt;=MIN(IF('制度詳細'!$I$36="",EOMONTH(Y$100,0),'制度詳細'!$I$36),EOMONTH(Y$100,0)),"■",IF(AND('制度詳細'!$J$36&lt;&gt;"",'制度詳細'!$J$36&gt;=Y$100,'制度詳細'!$J$36&lt;=EOMONTH(Y$100,0)),"◆","")))</x:f>
      </x:c>
      <x:c r="Z108" s="57" t="str">
        <x:f>IF('制度詳細'!$H$36="",IF('制度詳細'!$J$36="","",IF(AND('制度詳細'!$J$36&gt;=Z$100,'制度詳細'!$J$36&lt;=EOMONTH(Z$100,0)),"◆","")),IF(MAX('制度詳細'!$H$36,Z$100)&lt;=MIN(IF('制度詳細'!$I$36="",EOMONTH(Z$100,0),'制度詳細'!$I$36),EOMONTH(Z$100,0)),"■",IF(AND('制度詳細'!$J$36&lt;&gt;"",'制度詳細'!$J$36&gt;=Z$100,'制度詳細'!$J$36&lt;=EOMONTH(Z$100,0)),"◆","")))</x:f>
      </x:c>
      <x:c r="AA108" s="57" t="str">
        <x:f>IF('制度詳細'!$H$36="",IF('制度詳細'!$J$36="","",IF(AND('制度詳細'!$J$36&gt;=AA$100,'制度詳細'!$J$36&lt;=EOMONTH(AA$100,0)),"◆","")),IF(MAX('制度詳細'!$H$36,AA$100)&lt;=MIN(IF('制度詳細'!$I$36="",EOMONTH(AA$100,0),'制度詳細'!$I$36),EOMONTH(AA$100,0)),"■",IF(AND('制度詳細'!$J$36&lt;&gt;"",'制度詳細'!$J$36&gt;=AA$100,'制度詳細'!$J$36&lt;=EOMONTH(AA$100,0)),"◆","")))</x:f>
      </x:c>
      <x:c r="AB108" s="57" t="str">
        <x:f>IF('制度詳細'!$H$36="",IF('制度詳細'!$J$36="","",IF(AND('制度詳細'!$J$36&gt;=AB$100,'制度詳細'!$J$36&lt;=EOMONTH(AB$100,0)),"◆","")),IF(MAX('制度詳細'!$H$36,AB$100)&lt;=MIN(IF('制度詳細'!$I$36="",EOMONTH(AB$100,0),'制度詳細'!$I$36),EOMONTH(AB$100,0)),"■",IF(AND('制度詳細'!$J$36&lt;&gt;"",'制度詳細'!$J$36&gt;=AB$100,'制度詳細'!$J$36&lt;=EOMONTH(AB$100,0)),"◆","")))</x:f>
      </x:c>
      <x:c r="AC108" s="57" t="str">
        <x:f>IF('制度詳細'!$H$36="",IF('制度詳細'!$J$36="","",IF(AND('制度詳細'!$J$36&gt;=AC$100,'制度詳細'!$J$36&lt;=EOMONTH(AC$100,0)),"◆","")),IF(MAX('制度詳細'!$H$36,AC$100)&lt;=MIN(IF('制度詳細'!$I$36="",EOMONTH(AC$100,0),'制度詳細'!$I$36),EOMONTH(AC$100,0)),"■",IF(AND('制度詳細'!$J$36&lt;&gt;"",'制度詳細'!$J$36&gt;=AC$100,'制度詳細'!$J$36&lt;=EOMONTH(AC$100,0)),"◆","")))</x:f>
      </x:c>
      <x:c r="AD108" s="57" t="str">
        <x:f>IF('制度詳細'!$H$36="",IF('制度詳細'!$J$36="","",IF(AND('制度詳細'!$J$36&gt;=AD$100,'制度詳細'!$J$36&lt;=EOMONTH(AD$100,0)),"◆","")),IF(MAX('制度詳細'!$H$36,AD$100)&lt;=MIN(IF('制度詳細'!$I$36="",EOMONTH(AD$100,0),'制度詳細'!$I$36),EOMONTH(AD$100,0)),"■",IF(AND('制度詳細'!$J$36&lt;&gt;"",'制度詳細'!$J$36&gt;=AD$100,'制度詳細'!$J$36&lt;=EOMONTH(AD$100,0)),"◆","")))</x:f>
      </x:c>
      <x:c r="AE108" s="57" t="str">
        <x:f>IF('制度詳細'!$H$36="",IF('制度詳細'!$J$36="","",IF(AND('制度詳細'!$J$36&gt;=AE$100,'制度詳細'!$J$36&lt;=EOMONTH(AE$100,0)),"◆","")),IF(MAX('制度詳細'!$H$36,AE$100)&lt;=MIN(IF('制度詳細'!$I$36="",EOMONTH(AE$100,0),'制度詳細'!$I$36),EOMONTH(AE$100,0)),"■",IF(AND('制度詳細'!$J$36&lt;&gt;"",'制度詳細'!$J$36&gt;=AE$100,'制度詳細'!$J$36&lt;=EOMONTH(AE$100,0)),"◆","")))</x:f>
      </x:c>
      <x:c r="AF108" s="57" t="str">
        <x:f>IF('制度詳細'!$H$36="",IF('制度詳細'!$J$36="","",IF(AND('制度詳細'!$J$36&gt;=AF$100,'制度詳細'!$J$36&lt;=EOMONTH(AF$100,0)),"◆","")),IF(MAX('制度詳細'!$H$36,AF$100)&lt;=MIN(IF('制度詳細'!$I$36="",EOMONTH(AF$100,0),'制度詳細'!$I$36),EOMONTH(AF$100,0)),"■",IF(AND('制度詳細'!$J$36&lt;&gt;"",'制度詳細'!$J$36&gt;=AF$100,'制度詳細'!$J$36&lt;=EOMONTH(AF$100,0)),"◆","")))</x:f>
      </x:c>
      <x:c r="AG108" s="57" t="str">
        <x:f>IF('制度詳細'!$H$36="",IF('制度詳細'!$J$36="","",IF(AND('制度詳細'!$J$36&gt;=AG$100,'制度詳細'!$J$36&lt;=EOMONTH(AG$100,0)),"◆","")),IF(MAX('制度詳細'!$H$36,AG$100)&lt;=MIN(IF('制度詳細'!$I$36="",EOMONTH(AG$100,0),'制度詳細'!$I$36),EOMONTH(AG$100,0)),"■",IF(AND('制度詳細'!$J$36&lt;&gt;"",'制度詳細'!$J$36&gt;=AG$100,'制度詳細'!$J$36&lt;=EOMONTH(AG$100,0)),"◆","")))</x:f>
      </x:c>
      <x:c r="AH108" s="57" t="str">
        <x:f>IF('制度詳細'!$H$36="",IF('制度詳細'!$J$36="","",IF(AND('制度詳細'!$J$36&gt;=AH$100,'制度詳細'!$J$36&lt;=EOMONTH(AH$100,0)),"◆","")),IF(MAX('制度詳細'!$H$36,AH$100)&lt;=MIN(IF('制度詳細'!$I$36="",EOMONTH(AH$100,0),'制度詳細'!$I$36),EOMONTH(AH$100,0)),"■",IF(AND('制度詳細'!$J$36&lt;&gt;"",'制度詳細'!$J$36&gt;=AH$100,'制度詳細'!$J$36&lt;=EOMONTH(AH$100,0)),"◆","")))</x:f>
      </x:c>
      <x:c r="AI108" s="57" t="str">
        <x:f>IF('制度詳細'!$H$36="",IF('制度詳細'!$J$36="","",IF(AND('制度詳細'!$J$36&gt;=AI$100,'制度詳細'!$J$36&lt;=EOMONTH(AI$100,0)),"◆","")),IF(MAX('制度詳細'!$H$36,AI$100)&lt;=MIN(IF('制度詳細'!$I$36="",EOMONTH(AI$100,0),'制度詳細'!$I$36),EOMONTH(AI$100,0)),"■",IF(AND('制度詳細'!$J$36&lt;&gt;"",'制度詳細'!$J$36&gt;=AI$100,'制度詳細'!$J$36&lt;=EOMONTH(AI$100,0)),"◆","")))</x:f>
      </x:c>
      <x:c r="AJ108" s="57" t="str">
        <x:f>IF('制度詳細'!$H$36="",IF('制度詳細'!$J$36="","",IF(AND('制度詳細'!$J$36&gt;=AJ$100,'制度詳細'!$J$36&lt;=EOMONTH(AJ$100,0)),"◆","")),IF(MAX('制度詳細'!$H$36,AJ$100)&lt;=MIN(IF('制度詳細'!$I$36="",EOMONTH(AJ$100,0),'制度詳細'!$I$36),EOMONTH(AJ$100,0)),"■",IF(AND('制度詳細'!$J$36&lt;&gt;"",'制度詳細'!$J$36&gt;=AJ$100,'制度詳細'!$J$36&lt;=EOMONTH(AJ$100,0)),"◆","")))</x:f>
      </x:c>
      <x:c r="AK108" s="57" t="str">
        <x:f>IF('制度詳細'!$H$36="",IF('制度詳細'!$J$36="","",IF(AND('制度詳細'!$J$36&gt;=AK$100,'制度詳細'!$J$36&lt;=EOMONTH(AK$100,0)),"◆","")),IF(MAX('制度詳細'!$H$36,AK$100)&lt;=MIN(IF('制度詳細'!$I$36="",EOMONTH(AK$100,0),'制度詳細'!$I$36),EOMONTH(AK$100,0)),"■",IF(AND('制度詳細'!$J$36&lt;&gt;"",'制度詳細'!$J$36&gt;=AK$100,'制度詳細'!$J$36&lt;=EOMONTH(AK$100,0)),"◆","")))</x:f>
      </x:c>
      <x:c r="AL108" s="57" t="str">
        <x:f>IF('制度詳細'!$H$36="",IF('制度詳細'!$J$36="","",IF(AND('制度詳細'!$J$36&gt;=AL$100,'制度詳細'!$J$36&lt;=EOMONTH(AL$100,0)),"◆","")),IF(MAX('制度詳細'!$H$36,AL$100)&lt;=MIN(IF('制度詳細'!$I$36="",EOMONTH(AL$100,0),'制度詳細'!$I$36),EOMONTH(AL$100,0)),"■",IF(AND('制度詳細'!$J$36&lt;&gt;"",'制度詳細'!$J$36&gt;=AL$100,'制度詳細'!$J$36&lt;=EOMONTH(AL$100,0)),"◆","")))</x:f>
      </x:c>
      <x:c r="AM108" s="57" t="str">
        <x:f>IF('制度詳細'!$H$36="",IF('制度詳細'!$J$36="","",IF(AND('制度詳細'!$J$36&gt;=AM$100,'制度詳細'!$J$36&lt;=EOMONTH(AM$100,0)),"◆","")),IF(MAX('制度詳細'!$H$36,AM$100)&lt;=MIN(IF('制度詳細'!$I$36="",EOMONTH(AM$100,0),'制度詳細'!$I$36),EOMONTH(AM$100,0)),"■",IF(AND('制度詳細'!$J$36&lt;&gt;"",'制度詳細'!$J$36&gt;=AM$100,'制度詳細'!$J$36&lt;=EOMONTH(AM$100,0)),"◆","")))</x:f>
      </x:c>
      <x:c r="AN108" s="57" t="str">
        <x:f>IF('制度詳細'!$H$36="",IF('制度詳細'!$J$36="","",IF(AND('制度詳細'!$J$36&gt;=AN$100,'制度詳細'!$J$36&lt;=EOMONTH(AN$100,0)),"◆","")),IF(MAX('制度詳細'!$H$36,AN$100)&lt;=MIN(IF('制度詳細'!$I$36="",EOMONTH(AN$100,0),'制度詳細'!$I$36),EOMONTH(AN$100,0)),"■",IF(AND('制度詳細'!$J$36&lt;&gt;"",'制度詳細'!$J$36&gt;=AN$100,'制度詳細'!$J$36&lt;=EOMONTH(AN$100,0)),"◆","")))</x:f>
      </x:c>
      <x:c r="AO108" s="57" t="str">
        <x:f>IF('制度詳細'!$H$36="",IF('制度詳細'!$J$36="","",IF(AND('制度詳細'!$J$36&gt;=AO$100,'制度詳細'!$J$36&lt;=EOMONTH(AO$100,0)),"◆","")),IF(MAX('制度詳細'!$H$36,AO$100)&lt;=MIN(IF('制度詳細'!$I$36="",EOMONTH(AO$100,0),'制度詳細'!$I$36),EOMONTH(AO$100,0)),"■",IF(AND('制度詳細'!$J$36&lt;&gt;"",'制度詳細'!$J$36&gt;=AO$100,'制度詳細'!$J$36&lt;=EOMONTH(AO$100,0)),"◆","")))</x:f>
      </x:c>
      <x:c r="AP108" s="57" t="str">
        <x:f>IF('制度詳細'!$H$36="",IF('制度詳細'!$J$36="","",IF(AND('制度詳細'!$J$36&gt;=AP$100,'制度詳細'!$J$36&lt;=EOMONTH(AP$100,0)),"◆","")),IF(MAX('制度詳細'!$H$36,AP$100)&lt;=MIN(IF('制度詳細'!$I$36="",EOMONTH(AP$100,0),'制度詳細'!$I$36),EOMONTH(AP$100,0)),"■",IF(AND('制度詳細'!$J$36&lt;&gt;"",'制度詳細'!$J$36&gt;=AP$100,'制度詳細'!$J$36&lt;=EOMONTH(AP$100,0)),"◆","")))</x:f>
      </x:c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</x:row>
    <x:row r="109" ht="30" customHeight="1">
      <x:c r="A109" s="54" t="str">
        <x:v>VN09 国内車：登録料50%減2023</x:v>
      </x:c>
      <x:c r="B109" s="54"/>
      <x:c r="C109" s="54"/>
      <x:c r="D109" s="54"/>
      <x:c r="E109" s="54"/>
      <x:c r="F109" s="54"/>
      <x:c r="G109" s="57" t="str">
        <x:f>IF('制度詳細'!$H$37="",IF('制度詳細'!$J$37="","",IF(AND('制度詳細'!$J$37&gt;=G$100,'制度詳細'!$J$37&lt;=EOMONTH(G$100,0)),"◆","")),IF(MAX('制度詳細'!$H$37,G$100)&lt;=MIN(IF('制度詳細'!$I$37="",EOMONTH(G$100,0),'制度詳細'!$I$37),EOMONTH(G$100,0)),"■",IF(AND('制度詳細'!$J$37&lt;&gt;"",'制度詳細'!$J$37&gt;=G$100,'制度詳細'!$J$37&lt;=EOMONTH(G$100,0)),"◆","")))</x:f>
      </x:c>
      <x:c r="H109" s="57" t="str">
        <x:f>IF('制度詳細'!$H$37="",IF('制度詳細'!$J$37="","",IF(AND('制度詳細'!$J$37&gt;=H$100,'制度詳細'!$J$37&lt;=EOMONTH(H$100,0)),"◆","")),IF(MAX('制度詳細'!$H$37,H$100)&lt;=MIN(IF('制度詳細'!$I$37="",EOMONTH(H$100,0),'制度詳細'!$I$37),EOMONTH(H$100,0)),"■",IF(AND('制度詳細'!$J$37&lt;&gt;"",'制度詳細'!$J$37&gt;=H$100,'制度詳細'!$J$37&lt;=EOMONTH(H$100,0)),"◆","")))</x:f>
      </x:c>
      <x:c r="I109" s="57" t="str">
        <x:f>IF('制度詳細'!$H$37="",IF('制度詳細'!$J$37="","",IF(AND('制度詳細'!$J$37&gt;=I$100,'制度詳細'!$J$37&lt;=EOMONTH(I$100,0)),"◆","")),IF(MAX('制度詳細'!$H$37,I$100)&lt;=MIN(IF('制度詳細'!$I$37="",EOMONTH(I$100,0),'制度詳細'!$I$37),EOMONTH(I$100,0)),"■",IF(AND('制度詳細'!$J$37&lt;&gt;"",'制度詳細'!$J$37&gt;=I$100,'制度詳細'!$J$37&lt;=EOMONTH(I$100,0)),"◆","")))</x:f>
      </x:c>
      <x:c r="J109" s="57" t="str">
        <x:f>IF('制度詳細'!$H$37="",IF('制度詳細'!$J$37="","",IF(AND('制度詳細'!$J$37&gt;=J$100,'制度詳細'!$J$37&lt;=EOMONTH(J$100,0)),"◆","")),IF(MAX('制度詳細'!$H$37,J$100)&lt;=MIN(IF('制度詳細'!$I$37="",EOMONTH(J$100,0),'制度詳細'!$I$37),EOMONTH(J$100,0)),"■",IF(AND('制度詳細'!$J$37&lt;&gt;"",'制度詳細'!$J$37&gt;=J$100,'制度詳細'!$J$37&lt;=EOMONTH(J$100,0)),"◆","")))</x:f>
      </x:c>
      <x:c r="K109" s="57" t="str">
        <x:f>IF('制度詳細'!$H$37="",IF('制度詳細'!$J$37="","",IF(AND('制度詳細'!$J$37&gt;=K$100,'制度詳細'!$J$37&lt;=EOMONTH(K$100,0)),"◆","")),IF(MAX('制度詳細'!$H$37,K$100)&lt;=MIN(IF('制度詳細'!$I$37="",EOMONTH(K$100,0),'制度詳細'!$I$37),EOMONTH(K$100,0)),"■",IF(AND('制度詳細'!$J$37&lt;&gt;"",'制度詳細'!$J$37&gt;=K$100,'制度詳細'!$J$37&lt;=EOMONTH(K$100,0)),"◆","")))</x:f>
      </x:c>
      <x:c r="L109" s="57" t="str">
        <x:f>IF('制度詳細'!$H$37="",IF('制度詳細'!$J$37="","",IF(AND('制度詳細'!$J$37&gt;=L$100,'制度詳細'!$J$37&lt;=EOMONTH(L$100,0)),"◆","")),IF(MAX('制度詳細'!$H$37,L$100)&lt;=MIN(IF('制度詳細'!$I$37="",EOMONTH(L$100,0),'制度詳細'!$I$37),EOMONTH(L$100,0)),"■",IF(AND('制度詳細'!$J$37&lt;&gt;"",'制度詳細'!$J$37&gt;=L$100,'制度詳細'!$J$37&lt;=EOMONTH(L$100,0)),"◆","")))</x:f>
      </x:c>
      <x:c r="M109" s="57" t="str">
        <x:f>IF('制度詳細'!$H$37="",IF('制度詳細'!$J$37="","",IF(AND('制度詳細'!$J$37&gt;=M$100,'制度詳細'!$J$37&lt;=EOMONTH(M$100,0)),"◆","")),IF(MAX('制度詳細'!$H$37,M$100)&lt;=MIN(IF('制度詳細'!$I$37="",EOMONTH(M$100,0),'制度詳細'!$I$37),EOMONTH(M$100,0)),"■",IF(AND('制度詳細'!$J$37&lt;&gt;"",'制度詳細'!$J$37&gt;=M$100,'制度詳細'!$J$37&lt;=EOMONTH(M$100,0)),"◆","")))</x:f>
      </x:c>
      <x:c r="N109" s="57" t="str">
        <x:f>IF('制度詳細'!$H$37="",IF('制度詳細'!$J$37="","",IF(AND('制度詳細'!$J$37&gt;=N$100,'制度詳細'!$J$37&lt;=EOMONTH(N$100,0)),"◆","")),IF(MAX('制度詳細'!$H$37,N$100)&lt;=MIN(IF('制度詳細'!$I$37="",EOMONTH(N$100,0),'制度詳細'!$I$37),EOMONTH(N$100,0)),"■",IF(AND('制度詳細'!$J$37&lt;&gt;"",'制度詳細'!$J$37&gt;=N$100,'制度詳細'!$J$37&lt;=EOMONTH(N$100,0)),"◆","")))</x:f>
      </x:c>
      <x:c r="O109" s="57" t="str">
        <x:f>IF('制度詳細'!$H$37="",IF('制度詳細'!$J$37="","",IF(AND('制度詳細'!$J$37&gt;=O$100,'制度詳細'!$J$37&lt;=EOMONTH(O$100,0)),"◆","")),IF(MAX('制度詳細'!$H$37,O$100)&lt;=MIN(IF('制度詳細'!$I$37="",EOMONTH(O$100,0),'制度詳細'!$I$37),EOMONTH(O$100,0)),"■",IF(AND('制度詳細'!$J$37&lt;&gt;"",'制度詳細'!$J$37&gt;=O$100,'制度詳細'!$J$37&lt;=EOMONTH(O$100,0)),"◆","")))</x:f>
      </x:c>
      <x:c r="P109" s="57" t="str">
        <x:f>IF('制度詳細'!$H$37="",IF('制度詳細'!$J$37="","",IF(AND('制度詳細'!$J$37&gt;=P$100,'制度詳細'!$J$37&lt;=EOMONTH(P$100,0)),"◆","")),IF(MAX('制度詳細'!$H$37,P$100)&lt;=MIN(IF('制度詳細'!$I$37="",EOMONTH(P$100,0),'制度詳細'!$I$37),EOMONTH(P$100,0)),"■",IF(AND('制度詳細'!$J$37&lt;&gt;"",'制度詳細'!$J$37&gt;=P$100,'制度詳細'!$J$37&lt;=EOMONTH(P$100,0)),"◆","")))</x:f>
      </x:c>
      <x:c r="Q109" s="57" t="str">
        <x:f>IF('制度詳細'!$H$37="",IF('制度詳細'!$J$37="","",IF(AND('制度詳細'!$J$37&gt;=Q$100,'制度詳細'!$J$37&lt;=EOMONTH(Q$100,0)),"◆","")),IF(MAX('制度詳細'!$H$37,Q$100)&lt;=MIN(IF('制度詳細'!$I$37="",EOMONTH(Q$100,0),'制度詳細'!$I$37),EOMONTH(Q$100,0)),"■",IF(AND('制度詳細'!$J$37&lt;&gt;"",'制度詳細'!$J$37&gt;=Q$100,'制度詳細'!$J$37&lt;=EOMONTH(Q$100,0)),"◆","")))</x:f>
      </x:c>
      <x:c r="R109" s="57" t="str">
        <x:f>IF('制度詳細'!$H$37="",IF('制度詳細'!$J$37="","",IF(AND('制度詳細'!$J$37&gt;=R$100,'制度詳細'!$J$37&lt;=EOMONTH(R$100,0)),"◆","")),IF(MAX('制度詳細'!$H$37,R$100)&lt;=MIN(IF('制度詳細'!$I$37="",EOMONTH(R$100,0),'制度詳細'!$I$37),EOMONTH(R$100,0)),"■",IF(AND('制度詳細'!$J$37&lt;&gt;"",'制度詳細'!$J$37&gt;=R$100,'制度詳細'!$J$37&lt;=EOMONTH(R$100,0)),"◆","")))</x:f>
      </x:c>
      <x:c r="S109" s="57" t="str">
        <x:f>IF('制度詳細'!$H$37="",IF('制度詳細'!$J$37="","",IF(AND('制度詳細'!$J$37&gt;=S$100,'制度詳細'!$J$37&lt;=EOMONTH(S$100,0)),"◆","")),IF(MAX('制度詳細'!$H$37,S$100)&lt;=MIN(IF('制度詳細'!$I$37="",EOMONTH(S$100,0),'制度詳細'!$I$37),EOMONTH(S$100,0)),"■",IF(AND('制度詳細'!$J$37&lt;&gt;"",'制度詳細'!$J$37&gt;=S$100,'制度詳細'!$J$37&lt;=EOMONTH(S$100,0)),"◆","")))</x:f>
      </x:c>
      <x:c r="T109" s="57" t="str">
        <x:f>IF('制度詳細'!$H$37="",IF('制度詳細'!$J$37="","",IF(AND('制度詳細'!$J$37&gt;=T$100,'制度詳細'!$J$37&lt;=EOMONTH(T$100,0)),"◆","")),IF(MAX('制度詳細'!$H$37,T$100)&lt;=MIN(IF('制度詳細'!$I$37="",EOMONTH(T$100,0),'制度詳細'!$I$37),EOMONTH(T$100,0)),"■",IF(AND('制度詳細'!$J$37&lt;&gt;"",'制度詳細'!$J$37&gt;=T$100,'制度詳細'!$J$37&lt;=EOMONTH(T$100,0)),"◆","")))</x:f>
      </x:c>
      <x:c r="U109" s="57" t="str">
        <x:f>IF('制度詳細'!$H$37="",IF('制度詳細'!$J$37="","",IF(AND('制度詳細'!$J$37&gt;=U$100,'制度詳細'!$J$37&lt;=EOMONTH(U$100,0)),"◆","")),IF(MAX('制度詳細'!$H$37,U$100)&lt;=MIN(IF('制度詳細'!$I$37="",EOMONTH(U$100,0),'制度詳細'!$I$37),EOMONTH(U$100,0)),"■",IF(AND('制度詳細'!$J$37&lt;&gt;"",'制度詳細'!$J$37&gt;=U$100,'制度詳細'!$J$37&lt;=EOMONTH(U$100,0)),"◆","")))</x:f>
      </x:c>
      <x:c r="V109" s="57" t="str">
        <x:f>IF('制度詳細'!$H$37="",IF('制度詳細'!$J$37="","",IF(AND('制度詳細'!$J$37&gt;=V$100,'制度詳細'!$J$37&lt;=EOMONTH(V$100,0)),"◆","")),IF(MAX('制度詳細'!$H$37,V$100)&lt;=MIN(IF('制度詳細'!$I$37="",EOMONTH(V$100,0),'制度詳細'!$I$37),EOMONTH(V$100,0)),"■",IF(AND('制度詳細'!$J$37&lt;&gt;"",'制度詳細'!$J$37&gt;=V$100,'制度詳細'!$J$37&lt;=EOMONTH(V$100,0)),"◆","")))</x:f>
      </x:c>
      <x:c r="W109" s="57" t="str">
        <x:f>IF('制度詳細'!$H$37="",IF('制度詳細'!$J$37="","",IF(AND('制度詳細'!$J$37&gt;=W$100,'制度詳細'!$J$37&lt;=EOMONTH(W$100,0)),"◆","")),IF(MAX('制度詳細'!$H$37,W$100)&lt;=MIN(IF('制度詳細'!$I$37="",EOMONTH(W$100,0),'制度詳細'!$I$37),EOMONTH(W$100,0)),"■",IF(AND('制度詳細'!$J$37&lt;&gt;"",'制度詳細'!$J$37&gt;=W$100,'制度詳細'!$J$37&lt;=EOMONTH(W$100,0)),"◆","")))</x:f>
      </x:c>
      <x:c r="X109" s="57" t="str">
        <x:f>IF('制度詳細'!$H$37="",IF('制度詳細'!$J$37="","",IF(AND('制度詳細'!$J$37&gt;=X$100,'制度詳細'!$J$37&lt;=EOMONTH(X$100,0)),"◆","")),IF(MAX('制度詳細'!$H$37,X$100)&lt;=MIN(IF('制度詳細'!$I$37="",EOMONTH(X$100,0),'制度詳細'!$I$37),EOMONTH(X$100,0)),"■",IF(AND('制度詳細'!$J$37&lt;&gt;"",'制度詳細'!$J$37&gt;=X$100,'制度詳細'!$J$37&lt;=EOMONTH(X$100,0)),"◆","")))</x:f>
      </x:c>
      <x:c r="Y109" s="57" t="str">
        <x:f>IF('制度詳細'!$H$37="",IF('制度詳細'!$J$37="","",IF(AND('制度詳細'!$J$37&gt;=Y$100,'制度詳細'!$J$37&lt;=EOMONTH(Y$100,0)),"◆","")),IF(MAX('制度詳細'!$H$37,Y$100)&lt;=MIN(IF('制度詳細'!$I$37="",EOMONTH(Y$100,0),'制度詳細'!$I$37),EOMONTH(Y$100,0)),"■",IF(AND('制度詳細'!$J$37&lt;&gt;"",'制度詳細'!$J$37&gt;=Y$100,'制度詳細'!$J$37&lt;=EOMONTH(Y$100,0)),"◆","")))</x:f>
      </x:c>
      <x:c r="Z109" s="57" t="str">
        <x:f>IF('制度詳細'!$H$37="",IF('制度詳細'!$J$37="","",IF(AND('制度詳細'!$J$37&gt;=Z$100,'制度詳細'!$J$37&lt;=EOMONTH(Z$100,0)),"◆","")),IF(MAX('制度詳細'!$H$37,Z$100)&lt;=MIN(IF('制度詳細'!$I$37="",EOMONTH(Z$100,0),'制度詳細'!$I$37),EOMONTH(Z$100,0)),"■",IF(AND('制度詳細'!$J$37&lt;&gt;"",'制度詳細'!$J$37&gt;=Z$100,'制度詳細'!$J$37&lt;=EOMONTH(Z$100,0)),"◆","")))</x:f>
      </x:c>
      <x:c r="AA109" s="57" t="str">
        <x:f>IF('制度詳細'!$H$37="",IF('制度詳細'!$J$37="","",IF(AND('制度詳細'!$J$37&gt;=AA$100,'制度詳細'!$J$37&lt;=EOMONTH(AA$100,0)),"◆","")),IF(MAX('制度詳細'!$H$37,AA$100)&lt;=MIN(IF('制度詳細'!$I$37="",EOMONTH(AA$100,0),'制度詳細'!$I$37),EOMONTH(AA$100,0)),"■",IF(AND('制度詳細'!$J$37&lt;&gt;"",'制度詳細'!$J$37&gt;=AA$100,'制度詳細'!$J$37&lt;=EOMONTH(AA$100,0)),"◆","")))</x:f>
      </x:c>
      <x:c r="AB109" s="57" t="str">
        <x:f>IF('制度詳細'!$H$37="",IF('制度詳細'!$J$37="","",IF(AND('制度詳細'!$J$37&gt;=AB$100,'制度詳細'!$J$37&lt;=EOMONTH(AB$100,0)),"◆","")),IF(MAX('制度詳細'!$H$37,AB$100)&lt;=MIN(IF('制度詳細'!$I$37="",EOMONTH(AB$100,0),'制度詳細'!$I$37),EOMONTH(AB$100,0)),"■",IF(AND('制度詳細'!$J$37&lt;&gt;"",'制度詳細'!$J$37&gt;=AB$100,'制度詳細'!$J$37&lt;=EOMONTH(AB$100,0)),"◆","")))</x:f>
      </x:c>
      <x:c r="AC109" s="57" t="str">
        <x:f>IF('制度詳細'!$H$37="",IF('制度詳細'!$J$37="","",IF(AND('制度詳細'!$J$37&gt;=AC$100,'制度詳細'!$J$37&lt;=EOMONTH(AC$100,0)),"◆","")),IF(MAX('制度詳細'!$H$37,AC$100)&lt;=MIN(IF('制度詳細'!$I$37="",EOMONTH(AC$100,0),'制度詳細'!$I$37),EOMONTH(AC$100,0)),"■",IF(AND('制度詳細'!$J$37&lt;&gt;"",'制度詳細'!$J$37&gt;=AC$100,'制度詳細'!$J$37&lt;=EOMONTH(AC$100,0)),"◆","")))</x:f>
      </x:c>
      <x:c r="AD109" s="57" t="str">
        <x:f>IF('制度詳細'!$H$37="",IF('制度詳細'!$J$37="","",IF(AND('制度詳細'!$J$37&gt;=AD$100,'制度詳細'!$J$37&lt;=EOMONTH(AD$100,0)),"◆","")),IF(MAX('制度詳細'!$H$37,AD$100)&lt;=MIN(IF('制度詳細'!$I$37="",EOMONTH(AD$100,0),'制度詳細'!$I$37),EOMONTH(AD$100,0)),"■",IF(AND('制度詳細'!$J$37&lt;&gt;"",'制度詳細'!$J$37&gt;=AD$100,'制度詳細'!$J$37&lt;=EOMONTH(AD$100,0)),"◆","")))</x:f>
      </x:c>
      <x:c r="AE109" s="57" t="str">
        <x:f>IF('制度詳細'!$H$37="",IF('制度詳細'!$J$37="","",IF(AND('制度詳細'!$J$37&gt;=AE$100,'制度詳細'!$J$37&lt;=EOMONTH(AE$100,0)),"◆","")),IF(MAX('制度詳細'!$H$37,AE$100)&lt;=MIN(IF('制度詳細'!$I$37="",EOMONTH(AE$100,0),'制度詳細'!$I$37),EOMONTH(AE$100,0)),"■",IF(AND('制度詳細'!$J$37&lt;&gt;"",'制度詳細'!$J$37&gt;=AE$100,'制度詳細'!$J$37&lt;=EOMONTH(AE$100,0)),"◆","")))</x:f>
      </x:c>
      <x:c r="AF109" s="57" t="str">
        <x:f>IF('制度詳細'!$H$37="",IF('制度詳細'!$J$37="","",IF(AND('制度詳細'!$J$37&gt;=AF$100,'制度詳細'!$J$37&lt;=EOMONTH(AF$100,0)),"◆","")),IF(MAX('制度詳細'!$H$37,AF$100)&lt;=MIN(IF('制度詳細'!$I$37="",EOMONTH(AF$100,0),'制度詳細'!$I$37),EOMONTH(AF$100,0)),"■",IF(AND('制度詳細'!$J$37&lt;&gt;"",'制度詳細'!$J$37&gt;=AF$100,'制度詳細'!$J$37&lt;=EOMONTH(AF$100,0)),"◆","")))</x:f>
      </x:c>
      <x:c r="AG109" s="57" t="str">
        <x:f>IF('制度詳細'!$H$37="",IF('制度詳細'!$J$37="","",IF(AND('制度詳細'!$J$37&gt;=AG$100,'制度詳細'!$J$37&lt;=EOMONTH(AG$100,0)),"◆","")),IF(MAX('制度詳細'!$H$37,AG$100)&lt;=MIN(IF('制度詳細'!$I$37="",EOMONTH(AG$100,0),'制度詳細'!$I$37),EOMONTH(AG$100,0)),"■",IF(AND('制度詳細'!$J$37&lt;&gt;"",'制度詳細'!$J$37&gt;=AG$100,'制度詳細'!$J$37&lt;=EOMONTH(AG$100,0)),"◆","")))</x:f>
      </x:c>
      <x:c r="AH109" s="57" t="str">
        <x:f>IF('制度詳細'!$H$37="",IF('制度詳細'!$J$37="","",IF(AND('制度詳細'!$J$37&gt;=AH$100,'制度詳細'!$J$37&lt;=EOMONTH(AH$100,0)),"◆","")),IF(MAX('制度詳細'!$H$37,AH$100)&lt;=MIN(IF('制度詳細'!$I$37="",EOMONTH(AH$100,0),'制度詳細'!$I$37),EOMONTH(AH$100,0)),"■",IF(AND('制度詳細'!$J$37&lt;&gt;"",'制度詳細'!$J$37&gt;=AH$100,'制度詳細'!$J$37&lt;=EOMONTH(AH$100,0)),"◆","")))</x:f>
      </x:c>
      <x:c r="AI109" s="57" t="str">
        <x:f>IF('制度詳細'!$H$37="",IF('制度詳細'!$J$37="","",IF(AND('制度詳細'!$J$37&gt;=AI$100,'制度詳細'!$J$37&lt;=EOMONTH(AI$100,0)),"◆","")),IF(MAX('制度詳細'!$H$37,AI$100)&lt;=MIN(IF('制度詳細'!$I$37="",EOMONTH(AI$100,0),'制度詳細'!$I$37),EOMONTH(AI$100,0)),"■",IF(AND('制度詳細'!$J$37&lt;&gt;"",'制度詳細'!$J$37&gt;=AI$100,'制度詳細'!$J$37&lt;=EOMONTH(AI$100,0)),"◆","")))</x:f>
      </x:c>
      <x:c r="AJ109" s="57" t="str">
        <x:f>IF('制度詳細'!$H$37="",IF('制度詳細'!$J$37="","",IF(AND('制度詳細'!$J$37&gt;=AJ$100,'制度詳細'!$J$37&lt;=EOMONTH(AJ$100,0)),"◆","")),IF(MAX('制度詳細'!$H$37,AJ$100)&lt;=MIN(IF('制度詳細'!$I$37="",EOMONTH(AJ$100,0),'制度詳細'!$I$37),EOMONTH(AJ$100,0)),"■",IF(AND('制度詳細'!$J$37&lt;&gt;"",'制度詳細'!$J$37&gt;=AJ$100,'制度詳細'!$J$37&lt;=EOMONTH(AJ$100,0)),"◆","")))</x:f>
      </x:c>
      <x:c r="AK109" s="57" t="str">
        <x:f>IF('制度詳細'!$H$37="",IF('制度詳細'!$J$37="","",IF(AND('制度詳細'!$J$37&gt;=AK$100,'制度詳細'!$J$37&lt;=EOMONTH(AK$100,0)),"◆","")),IF(MAX('制度詳細'!$H$37,AK$100)&lt;=MIN(IF('制度詳細'!$I$37="",EOMONTH(AK$100,0),'制度詳細'!$I$37),EOMONTH(AK$100,0)),"■",IF(AND('制度詳細'!$J$37&lt;&gt;"",'制度詳細'!$J$37&gt;=AK$100,'制度詳細'!$J$37&lt;=EOMONTH(AK$100,0)),"◆","")))</x:f>
      </x:c>
      <x:c r="AL109" s="57" t="str">
        <x:f>IF('制度詳細'!$H$37="",IF('制度詳細'!$J$37="","",IF(AND('制度詳細'!$J$37&gt;=AL$100,'制度詳細'!$J$37&lt;=EOMONTH(AL$100,0)),"◆","")),IF(MAX('制度詳細'!$H$37,AL$100)&lt;=MIN(IF('制度詳細'!$I$37="",EOMONTH(AL$100,0),'制度詳細'!$I$37),EOMONTH(AL$100,0)),"■",IF(AND('制度詳細'!$J$37&lt;&gt;"",'制度詳細'!$J$37&gt;=AL$100,'制度詳細'!$J$37&lt;=EOMONTH(AL$100,0)),"◆","")))</x:f>
      </x:c>
      <x:c r="AM109" s="57" t="str">
        <x:f>IF('制度詳細'!$H$37="",IF('制度詳細'!$J$37="","",IF(AND('制度詳細'!$J$37&gt;=AM$100,'制度詳細'!$J$37&lt;=EOMONTH(AM$100,0)),"◆","")),IF(MAX('制度詳細'!$H$37,AM$100)&lt;=MIN(IF('制度詳細'!$I$37="",EOMONTH(AM$100,0),'制度詳細'!$I$37),EOMONTH(AM$100,0)),"■",IF(AND('制度詳細'!$J$37&lt;&gt;"",'制度詳細'!$J$37&gt;=AM$100,'制度詳細'!$J$37&lt;=EOMONTH(AM$100,0)),"◆","")))</x:f>
      </x:c>
      <x:c r="AN109" s="57" t="str">
        <x:f>IF('制度詳細'!$H$37="",IF('制度詳細'!$J$37="","",IF(AND('制度詳細'!$J$37&gt;=AN$100,'制度詳細'!$J$37&lt;=EOMONTH(AN$100,0)),"◆","")),IF(MAX('制度詳細'!$H$37,AN$100)&lt;=MIN(IF('制度詳細'!$I$37="",EOMONTH(AN$100,0),'制度詳細'!$I$37),EOMONTH(AN$100,0)),"■",IF(AND('制度詳細'!$J$37&lt;&gt;"",'制度詳細'!$J$37&gt;=AN$100,'制度詳細'!$J$37&lt;=EOMONTH(AN$100,0)),"◆","")))</x:f>
      </x:c>
      <x:c r="AO109" s="57" t="str">
        <x:f>IF('制度詳細'!$H$37="",IF('制度詳細'!$J$37="","",IF(AND('制度詳細'!$J$37&gt;=AO$100,'制度詳細'!$J$37&lt;=EOMONTH(AO$100,0)),"◆","")),IF(MAX('制度詳細'!$H$37,AO$100)&lt;=MIN(IF('制度詳細'!$I$37="",EOMONTH(AO$100,0),'制度詳細'!$I$37),EOMONTH(AO$100,0)),"■",IF(AND('制度詳細'!$J$37&lt;&gt;"",'制度詳細'!$J$37&gt;=AO$100,'制度詳細'!$J$37&lt;=EOMONTH(AO$100,0)),"◆","")))</x:f>
      </x:c>
      <x:c r="AP109" s="57" t="str">
        <x:f>IF('制度詳細'!$H$37="",IF('制度詳細'!$J$37="","",IF(AND('制度詳細'!$J$37&gt;=AP$100,'制度詳細'!$J$37&lt;=EOMONTH(AP$100,0)),"◆","")),IF(MAX('制度詳細'!$H$37,AP$100)&lt;=MIN(IF('制度詳細'!$I$37="",EOMONTH(AP$100,0),'制度詳細'!$I$37),EOMONTH(AP$100,0)),"■",IF(AND('制度詳細'!$J$37&lt;&gt;"",'制度詳細'!$J$37&gt;=AP$100,'制度詳細'!$J$37&lt;=EOMONTH(AP$100,0)),"◆","")))</x:f>
      </x:c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</x:row>
    <x:row r="110" ht="30" customHeight="1">
      <x:c r="A110" s="59" t="str">
        <x:v>VN10 国内車：登録料50%減2024</x:v>
      </x:c>
      <x:c r="B110" s="59"/>
      <x:c r="C110" s="59"/>
      <x:c r="D110" s="59"/>
      <x:c r="E110" s="59"/>
      <x:c r="F110" s="59"/>
      <x:c r="G110" s="57" t="str">
        <x:f>IF('制度詳細'!$H$38="",IF('制度詳細'!$J$38="","",IF(AND('制度詳細'!$J$38&gt;=G$100,'制度詳細'!$J$38&lt;=EOMONTH(G$100,0)),"◆","")),IF(MAX('制度詳細'!$H$38,G$100)&lt;=MIN(IF('制度詳細'!$I$38="",EOMONTH(G$100,0),'制度詳細'!$I$38),EOMONTH(G$100,0)),"■",IF(AND('制度詳細'!$J$38&lt;&gt;"",'制度詳細'!$J$38&gt;=G$100,'制度詳細'!$J$38&lt;=EOMONTH(G$100,0)),"◆","")))</x:f>
      </x:c>
      <x:c r="H110" s="57" t="str">
        <x:f>IF('制度詳細'!$H$38="",IF('制度詳細'!$J$38="","",IF(AND('制度詳細'!$J$38&gt;=H$100,'制度詳細'!$J$38&lt;=EOMONTH(H$100,0)),"◆","")),IF(MAX('制度詳細'!$H$38,H$100)&lt;=MIN(IF('制度詳細'!$I$38="",EOMONTH(H$100,0),'制度詳細'!$I$38),EOMONTH(H$100,0)),"■",IF(AND('制度詳細'!$J$38&lt;&gt;"",'制度詳細'!$J$38&gt;=H$100,'制度詳細'!$J$38&lt;=EOMONTH(H$100,0)),"◆","")))</x:f>
      </x:c>
      <x:c r="I110" s="57" t="str">
        <x:f>IF('制度詳細'!$H$38="",IF('制度詳細'!$J$38="","",IF(AND('制度詳細'!$J$38&gt;=I$100,'制度詳細'!$J$38&lt;=EOMONTH(I$100,0)),"◆","")),IF(MAX('制度詳細'!$H$38,I$100)&lt;=MIN(IF('制度詳細'!$I$38="",EOMONTH(I$100,0),'制度詳細'!$I$38),EOMONTH(I$100,0)),"■",IF(AND('制度詳細'!$J$38&lt;&gt;"",'制度詳細'!$J$38&gt;=I$100,'制度詳細'!$J$38&lt;=EOMONTH(I$100,0)),"◆","")))</x:f>
      </x:c>
      <x:c r="J110" s="57" t="str">
        <x:f>IF('制度詳細'!$H$38="",IF('制度詳細'!$J$38="","",IF(AND('制度詳細'!$J$38&gt;=J$100,'制度詳細'!$J$38&lt;=EOMONTH(J$100,0)),"◆","")),IF(MAX('制度詳細'!$H$38,J$100)&lt;=MIN(IF('制度詳細'!$I$38="",EOMONTH(J$100,0),'制度詳細'!$I$38),EOMONTH(J$100,0)),"■",IF(AND('制度詳細'!$J$38&lt;&gt;"",'制度詳細'!$J$38&gt;=J$100,'制度詳細'!$J$38&lt;=EOMONTH(J$100,0)),"◆","")))</x:f>
      </x:c>
      <x:c r="K110" s="57" t="str">
        <x:f>IF('制度詳細'!$H$38="",IF('制度詳細'!$J$38="","",IF(AND('制度詳細'!$J$38&gt;=K$100,'制度詳細'!$J$38&lt;=EOMONTH(K$100,0)),"◆","")),IF(MAX('制度詳細'!$H$38,K$100)&lt;=MIN(IF('制度詳細'!$I$38="",EOMONTH(K$100,0),'制度詳細'!$I$38),EOMONTH(K$100,0)),"■",IF(AND('制度詳細'!$J$38&lt;&gt;"",'制度詳細'!$J$38&gt;=K$100,'制度詳細'!$J$38&lt;=EOMONTH(K$100,0)),"◆","")))</x:f>
      </x:c>
      <x:c r="L110" s="57" t="str">
        <x:f>IF('制度詳細'!$H$38="",IF('制度詳細'!$J$38="","",IF(AND('制度詳細'!$J$38&gt;=L$100,'制度詳細'!$J$38&lt;=EOMONTH(L$100,0)),"◆","")),IF(MAX('制度詳細'!$H$38,L$100)&lt;=MIN(IF('制度詳細'!$I$38="",EOMONTH(L$100,0),'制度詳細'!$I$38),EOMONTH(L$100,0)),"■",IF(AND('制度詳細'!$J$38&lt;&gt;"",'制度詳細'!$J$38&gt;=L$100,'制度詳細'!$J$38&lt;=EOMONTH(L$100,0)),"◆","")))</x:f>
      </x:c>
      <x:c r="M110" s="57" t="str">
        <x:f>IF('制度詳細'!$H$38="",IF('制度詳細'!$J$38="","",IF(AND('制度詳細'!$J$38&gt;=M$100,'制度詳細'!$J$38&lt;=EOMONTH(M$100,0)),"◆","")),IF(MAX('制度詳細'!$H$38,M$100)&lt;=MIN(IF('制度詳細'!$I$38="",EOMONTH(M$100,0),'制度詳細'!$I$38),EOMONTH(M$100,0)),"■",IF(AND('制度詳細'!$J$38&lt;&gt;"",'制度詳細'!$J$38&gt;=M$100,'制度詳細'!$J$38&lt;=EOMONTH(M$100,0)),"◆","")))</x:f>
      </x:c>
      <x:c r="N110" s="57" t="str">
        <x:f>IF('制度詳細'!$H$38="",IF('制度詳細'!$J$38="","",IF(AND('制度詳細'!$J$38&gt;=N$100,'制度詳細'!$J$38&lt;=EOMONTH(N$100,0)),"◆","")),IF(MAX('制度詳細'!$H$38,N$100)&lt;=MIN(IF('制度詳細'!$I$38="",EOMONTH(N$100,0),'制度詳細'!$I$38),EOMONTH(N$100,0)),"■",IF(AND('制度詳細'!$J$38&lt;&gt;"",'制度詳細'!$J$38&gt;=N$100,'制度詳細'!$J$38&lt;=EOMONTH(N$100,0)),"◆","")))</x:f>
        <x:v>◆</x:v>
      </x:c>
      <x:c r="O110" s="57" t="str">
        <x:f>IF('制度詳細'!$H$38="",IF('制度詳細'!$J$38="","",IF(AND('制度詳細'!$J$38&gt;=O$100,'制度詳細'!$J$38&lt;=EOMONTH(O$100,0)),"◆","")),IF(MAX('制度詳細'!$H$38,O$100)&lt;=MIN(IF('制度詳細'!$I$38="",EOMONTH(O$100,0),'制度詳細'!$I$38),EOMONTH(O$100,0)),"■",IF(AND('制度詳細'!$J$38&lt;&gt;"",'制度詳細'!$J$38&gt;=O$100,'制度詳細'!$J$38&lt;=EOMONTH(O$100,0)),"◆","")))</x:f>
        <x:v>■</x:v>
      </x:c>
      <x:c r="P110" s="57" t="str">
        <x:f>IF('制度詳細'!$H$38="",IF('制度詳細'!$J$38="","",IF(AND('制度詳細'!$J$38&gt;=P$100,'制度詳細'!$J$38&lt;=EOMONTH(P$100,0)),"◆","")),IF(MAX('制度詳細'!$H$38,P$100)&lt;=MIN(IF('制度詳細'!$I$38="",EOMONTH(P$100,0),'制度詳細'!$I$38),EOMONTH(P$100,0)),"■",IF(AND('制度詳細'!$J$38&lt;&gt;"",'制度詳細'!$J$38&gt;=P$100,'制度詳細'!$J$38&lt;=EOMONTH(P$100,0)),"◆","")))</x:f>
        <x:v>■</x:v>
      </x:c>
      <x:c r="Q110" s="57" t="str">
        <x:f>IF('制度詳細'!$H$38="",IF('制度詳細'!$J$38="","",IF(AND('制度詳細'!$J$38&gt;=Q$100,'制度詳細'!$J$38&lt;=EOMONTH(Q$100,0)),"◆","")),IF(MAX('制度詳細'!$H$38,Q$100)&lt;=MIN(IF('制度詳細'!$I$38="",EOMONTH(Q$100,0),'制度詳細'!$I$38),EOMONTH(Q$100,0)),"■",IF(AND('制度詳細'!$J$38&lt;&gt;"",'制度詳細'!$J$38&gt;=Q$100,'制度詳細'!$J$38&lt;=EOMONTH(Q$100,0)),"◆","")))</x:f>
        <x:v>■</x:v>
      </x:c>
      <x:c r="R110" s="57" t="str">
        <x:f>IF('制度詳細'!$H$38="",IF('制度詳細'!$J$38="","",IF(AND('制度詳細'!$J$38&gt;=R$100,'制度詳細'!$J$38&lt;=EOMONTH(R$100,0)),"◆","")),IF(MAX('制度詳細'!$H$38,R$100)&lt;=MIN(IF('制度詳細'!$I$38="",EOMONTH(R$100,0),'制度詳細'!$I$38),EOMONTH(R$100,0)),"■",IF(AND('制度詳細'!$J$38&lt;&gt;"",'制度詳細'!$J$38&gt;=R$100,'制度詳細'!$J$38&lt;=EOMONTH(R$100,0)),"◆","")))</x:f>
      </x:c>
      <x:c r="S110" s="57" t="str">
        <x:f>IF('制度詳細'!$H$38="",IF('制度詳細'!$J$38="","",IF(AND('制度詳細'!$J$38&gt;=S$100,'制度詳細'!$J$38&lt;=EOMONTH(S$100,0)),"◆","")),IF(MAX('制度詳細'!$H$38,S$100)&lt;=MIN(IF('制度詳細'!$I$38="",EOMONTH(S$100,0),'制度詳細'!$I$38),EOMONTH(S$100,0)),"■",IF(AND('制度詳細'!$J$38&lt;&gt;"",'制度詳細'!$J$38&gt;=S$100,'制度詳細'!$J$38&lt;=EOMONTH(S$100,0)),"◆","")))</x:f>
      </x:c>
      <x:c r="T110" s="57" t="str">
        <x:f>IF('制度詳細'!$H$38="",IF('制度詳細'!$J$38="","",IF(AND('制度詳細'!$J$38&gt;=T$100,'制度詳細'!$J$38&lt;=EOMONTH(T$100,0)),"◆","")),IF(MAX('制度詳細'!$H$38,T$100)&lt;=MIN(IF('制度詳細'!$I$38="",EOMONTH(T$100,0),'制度詳細'!$I$38),EOMONTH(T$100,0)),"■",IF(AND('制度詳細'!$J$38&lt;&gt;"",'制度詳細'!$J$38&gt;=T$100,'制度詳細'!$J$38&lt;=EOMONTH(T$100,0)),"◆","")))</x:f>
      </x:c>
      <x:c r="U110" s="57" t="str">
        <x:f>IF('制度詳細'!$H$38="",IF('制度詳細'!$J$38="","",IF(AND('制度詳細'!$J$38&gt;=U$100,'制度詳細'!$J$38&lt;=EOMONTH(U$100,0)),"◆","")),IF(MAX('制度詳細'!$H$38,U$100)&lt;=MIN(IF('制度詳細'!$I$38="",EOMONTH(U$100,0),'制度詳細'!$I$38),EOMONTH(U$100,0)),"■",IF(AND('制度詳細'!$J$38&lt;&gt;"",'制度詳細'!$J$38&gt;=U$100,'制度詳細'!$J$38&lt;=EOMONTH(U$100,0)),"◆","")))</x:f>
      </x:c>
      <x:c r="V110" s="57" t="str">
        <x:f>IF('制度詳細'!$H$38="",IF('制度詳細'!$J$38="","",IF(AND('制度詳細'!$J$38&gt;=V$100,'制度詳細'!$J$38&lt;=EOMONTH(V$100,0)),"◆","")),IF(MAX('制度詳細'!$H$38,V$100)&lt;=MIN(IF('制度詳細'!$I$38="",EOMONTH(V$100,0),'制度詳細'!$I$38),EOMONTH(V$100,0)),"■",IF(AND('制度詳細'!$J$38&lt;&gt;"",'制度詳細'!$J$38&gt;=V$100,'制度詳細'!$J$38&lt;=EOMONTH(V$100,0)),"◆","")))</x:f>
      </x:c>
      <x:c r="W110" s="57" t="str">
        <x:f>IF('制度詳細'!$H$38="",IF('制度詳細'!$J$38="","",IF(AND('制度詳細'!$J$38&gt;=W$100,'制度詳細'!$J$38&lt;=EOMONTH(W$100,0)),"◆","")),IF(MAX('制度詳細'!$H$38,W$100)&lt;=MIN(IF('制度詳細'!$I$38="",EOMONTH(W$100,0),'制度詳細'!$I$38),EOMONTH(W$100,0)),"■",IF(AND('制度詳細'!$J$38&lt;&gt;"",'制度詳細'!$J$38&gt;=W$100,'制度詳細'!$J$38&lt;=EOMONTH(W$100,0)),"◆","")))</x:f>
      </x:c>
      <x:c r="X110" s="57" t="str">
        <x:f>IF('制度詳細'!$H$38="",IF('制度詳細'!$J$38="","",IF(AND('制度詳細'!$J$38&gt;=X$100,'制度詳細'!$J$38&lt;=EOMONTH(X$100,0)),"◆","")),IF(MAX('制度詳細'!$H$38,X$100)&lt;=MIN(IF('制度詳細'!$I$38="",EOMONTH(X$100,0),'制度詳細'!$I$38),EOMONTH(X$100,0)),"■",IF(AND('制度詳細'!$J$38&lt;&gt;"",'制度詳細'!$J$38&gt;=X$100,'制度詳細'!$J$38&lt;=EOMONTH(X$100,0)),"◆","")))</x:f>
      </x:c>
      <x:c r="Y110" s="57" t="str">
        <x:f>IF('制度詳細'!$H$38="",IF('制度詳細'!$J$38="","",IF(AND('制度詳細'!$J$38&gt;=Y$100,'制度詳細'!$J$38&lt;=EOMONTH(Y$100,0)),"◆","")),IF(MAX('制度詳細'!$H$38,Y$100)&lt;=MIN(IF('制度詳細'!$I$38="",EOMONTH(Y$100,0),'制度詳細'!$I$38),EOMONTH(Y$100,0)),"■",IF(AND('制度詳細'!$J$38&lt;&gt;"",'制度詳細'!$J$38&gt;=Y$100,'制度詳細'!$J$38&lt;=EOMONTH(Y$100,0)),"◆","")))</x:f>
      </x:c>
      <x:c r="Z110" s="57" t="str">
        <x:f>IF('制度詳細'!$H$38="",IF('制度詳細'!$J$38="","",IF(AND('制度詳細'!$J$38&gt;=Z$100,'制度詳細'!$J$38&lt;=EOMONTH(Z$100,0)),"◆","")),IF(MAX('制度詳細'!$H$38,Z$100)&lt;=MIN(IF('制度詳細'!$I$38="",EOMONTH(Z$100,0),'制度詳細'!$I$38),EOMONTH(Z$100,0)),"■",IF(AND('制度詳細'!$J$38&lt;&gt;"",'制度詳細'!$J$38&gt;=Z$100,'制度詳細'!$J$38&lt;=EOMONTH(Z$100,0)),"◆","")))</x:f>
      </x:c>
      <x:c r="AA110" s="57" t="str">
        <x:f>IF('制度詳細'!$H$38="",IF('制度詳細'!$J$38="","",IF(AND('制度詳細'!$J$38&gt;=AA$100,'制度詳細'!$J$38&lt;=EOMONTH(AA$100,0)),"◆","")),IF(MAX('制度詳細'!$H$38,AA$100)&lt;=MIN(IF('制度詳細'!$I$38="",EOMONTH(AA$100,0),'制度詳細'!$I$38),EOMONTH(AA$100,0)),"■",IF(AND('制度詳細'!$J$38&lt;&gt;"",'制度詳細'!$J$38&gt;=AA$100,'制度詳細'!$J$38&lt;=EOMONTH(AA$100,0)),"◆","")))</x:f>
      </x:c>
      <x:c r="AB110" s="57" t="str">
        <x:f>IF('制度詳細'!$H$38="",IF('制度詳細'!$J$38="","",IF(AND('制度詳細'!$J$38&gt;=AB$100,'制度詳細'!$J$38&lt;=EOMONTH(AB$100,0)),"◆","")),IF(MAX('制度詳細'!$H$38,AB$100)&lt;=MIN(IF('制度詳細'!$I$38="",EOMONTH(AB$100,0),'制度詳細'!$I$38),EOMONTH(AB$100,0)),"■",IF(AND('制度詳細'!$J$38&lt;&gt;"",'制度詳細'!$J$38&gt;=AB$100,'制度詳細'!$J$38&lt;=EOMONTH(AB$100,0)),"◆","")))</x:f>
      </x:c>
      <x:c r="AC110" s="57" t="str">
        <x:f>IF('制度詳細'!$H$38="",IF('制度詳細'!$J$38="","",IF(AND('制度詳細'!$J$38&gt;=AC$100,'制度詳細'!$J$38&lt;=EOMONTH(AC$100,0)),"◆","")),IF(MAX('制度詳細'!$H$38,AC$100)&lt;=MIN(IF('制度詳細'!$I$38="",EOMONTH(AC$100,0),'制度詳細'!$I$38),EOMONTH(AC$100,0)),"■",IF(AND('制度詳細'!$J$38&lt;&gt;"",'制度詳細'!$J$38&gt;=AC$100,'制度詳細'!$J$38&lt;=EOMONTH(AC$100,0)),"◆","")))</x:f>
      </x:c>
      <x:c r="AD110" s="57" t="str">
        <x:f>IF('制度詳細'!$H$38="",IF('制度詳細'!$J$38="","",IF(AND('制度詳細'!$J$38&gt;=AD$100,'制度詳細'!$J$38&lt;=EOMONTH(AD$100,0)),"◆","")),IF(MAX('制度詳細'!$H$38,AD$100)&lt;=MIN(IF('制度詳細'!$I$38="",EOMONTH(AD$100,0),'制度詳細'!$I$38),EOMONTH(AD$100,0)),"■",IF(AND('制度詳細'!$J$38&lt;&gt;"",'制度詳細'!$J$38&gt;=AD$100,'制度詳細'!$J$38&lt;=EOMONTH(AD$100,0)),"◆","")))</x:f>
      </x:c>
      <x:c r="AE110" s="57" t="str">
        <x:f>IF('制度詳細'!$H$38="",IF('制度詳細'!$J$38="","",IF(AND('制度詳細'!$J$38&gt;=AE$100,'制度詳細'!$J$38&lt;=EOMONTH(AE$100,0)),"◆","")),IF(MAX('制度詳細'!$H$38,AE$100)&lt;=MIN(IF('制度詳細'!$I$38="",EOMONTH(AE$100,0),'制度詳細'!$I$38),EOMONTH(AE$100,0)),"■",IF(AND('制度詳細'!$J$38&lt;&gt;"",'制度詳細'!$J$38&gt;=AE$100,'制度詳細'!$J$38&lt;=EOMONTH(AE$100,0)),"◆","")))</x:f>
      </x:c>
      <x:c r="AF110" s="57" t="str">
        <x:f>IF('制度詳細'!$H$38="",IF('制度詳細'!$J$38="","",IF(AND('制度詳細'!$J$38&gt;=AF$100,'制度詳細'!$J$38&lt;=EOMONTH(AF$100,0)),"◆","")),IF(MAX('制度詳細'!$H$38,AF$100)&lt;=MIN(IF('制度詳細'!$I$38="",EOMONTH(AF$100,0),'制度詳細'!$I$38),EOMONTH(AF$100,0)),"■",IF(AND('制度詳細'!$J$38&lt;&gt;"",'制度詳細'!$J$38&gt;=AF$100,'制度詳細'!$J$38&lt;=EOMONTH(AF$100,0)),"◆","")))</x:f>
      </x:c>
      <x:c r="AG110" s="57" t="str">
        <x:f>IF('制度詳細'!$H$38="",IF('制度詳細'!$J$38="","",IF(AND('制度詳細'!$J$38&gt;=AG$100,'制度詳細'!$J$38&lt;=EOMONTH(AG$100,0)),"◆","")),IF(MAX('制度詳細'!$H$38,AG$100)&lt;=MIN(IF('制度詳細'!$I$38="",EOMONTH(AG$100,0),'制度詳細'!$I$38),EOMONTH(AG$100,0)),"■",IF(AND('制度詳細'!$J$38&lt;&gt;"",'制度詳細'!$J$38&gt;=AG$100,'制度詳細'!$J$38&lt;=EOMONTH(AG$100,0)),"◆","")))</x:f>
      </x:c>
      <x:c r="AH110" s="57" t="str">
        <x:f>IF('制度詳細'!$H$38="",IF('制度詳細'!$J$38="","",IF(AND('制度詳細'!$J$38&gt;=AH$100,'制度詳細'!$J$38&lt;=EOMONTH(AH$100,0)),"◆","")),IF(MAX('制度詳細'!$H$38,AH$100)&lt;=MIN(IF('制度詳細'!$I$38="",EOMONTH(AH$100,0),'制度詳細'!$I$38),EOMONTH(AH$100,0)),"■",IF(AND('制度詳細'!$J$38&lt;&gt;"",'制度詳細'!$J$38&gt;=AH$100,'制度詳細'!$J$38&lt;=EOMONTH(AH$100,0)),"◆","")))</x:f>
      </x:c>
      <x:c r="AI110" s="57" t="str">
        <x:f>IF('制度詳細'!$H$38="",IF('制度詳細'!$J$38="","",IF(AND('制度詳細'!$J$38&gt;=AI$100,'制度詳細'!$J$38&lt;=EOMONTH(AI$100,0)),"◆","")),IF(MAX('制度詳細'!$H$38,AI$100)&lt;=MIN(IF('制度詳細'!$I$38="",EOMONTH(AI$100,0),'制度詳細'!$I$38),EOMONTH(AI$100,0)),"■",IF(AND('制度詳細'!$J$38&lt;&gt;"",'制度詳細'!$J$38&gt;=AI$100,'制度詳細'!$J$38&lt;=EOMONTH(AI$100,0)),"◆","")))</x:f>
      </x:c>
      <x:c r="AJ110" s="57" t="str">
        <x:f>IF('制度詳細'!$H$38="",IF('制度詳細'!$J$38="","",IF(AND('制度詳細'!$J$38&gt;=AJ$100,'制度詳細'!$J$38&lt;=EOMONTH(AJ$100,0)),"◆","")),IF(MAX('制度詳細'!$H$38,AJ$100)&lt;=MIN(IF('制度詳細'!$I$38="",EOMONTH(AJ$100,0),'制度詳細'!$I$38),EOMONTH(AJ$100,0)),"■",IF(AND('制度詳細'!$J$38&lt;&gt;"",'制度詳細'!$J$38&gt;=AJ$100,'制度詳細'!$J$38&lt;=EOMONTH(AJ$100,0)),"◆","")))</x:f>
      </x:c>
      <x:c r="AK110" s="57" t="str">
        <x:f>IF('制度詳細'!$H$38="",IF('制度詳細'!$J$38="","",IF(AND('制度詳細'!$J$38&gt;=AK$100,'制度詳細'!$J$38&lt;=EOMONTH(AK$100,0)),"◆","")),IF(MAX('制度詳細'!$H$38,AK$100)&lt;=MIN(IF('制度詳細'!$I$38="",EOMONTH(AK$100,0),'制度詳細'!$I$38),EOMONTH(AK$100,0)),"■",IF(AND('制度詳細'!$J$38&lt;&gt;"",'制度詳細'!$J$38&gt;=AK$100,'制度詳細'!$J$38&lt;=EOMONTH(AK$100,0)),"◆","")))</x:f>
      </x:c>
      <x:c r="AL110" s="57" t="str">
        <x:f>IF('制度詳細'!$H$38="",IF('制度詳細'!$J$38="","",IF(AND('制度詳細'!$J$38&gt;=AL$100,'制度詳細'!$J$38&lt;=EOMONTH(AL$100,0)),"◆","")),IF(MAX('制度詳細'!$H$38,AL$100)&lt;=MIN(IF('制度詳細'!$I$38="",EOMONTH(AL$100,0),'制度詳細'!$I$38),EOMONTH(AL$100,0)),"■",IF(AND('制度詳細'!$J$38&lt;&gt;"",'制度詳細'!$J$38&gt;=AL$100,'制度詳細'!$J$38&lt;=EOMONTH(AL$100,0)),"◆","")))</x:f>
      </x:c>
      <x:c r="AM110" s="57" t="str">
        <x:f>IF('制度詳細'!$H$38="",IF('制度詳細'!$J$38="","",IF(AND('制度詳細'!$J$38&gt;=AM$100,'制度詳細'!$J$38&lt;=EOMONTH(AM$100,0)),"◆","")),IF(MAX('制度詳細'!$H$38,AM$100)&lt;=MIN(IF('制度詳細'!$I$38="",EOMONTH(AM$100,0),'制度詳細'!$I$38),EOMONTH(AM$100,0)),"■",IF(AND('制度詳細'!$J$38&lt;&gt;"",'制度詳細'!$J$38&gt;=AM$100,'制度詳細'!$J$38&lt;=EOMONTH(AM$100,0)),"◆","")))</x:f>
      </x:c>
      <x:c r="AN110" s="57" t="str">
        <x:f>IF('制度詳細'!$H$38="",IF('制度詳細'!$J$38="","",IF(AND('制度詳細'!$J$38&gt;=AN$100,'制度詳細'!$J$38&lt;=EOMONTH(AN$100,0)),"◆","")),IF(MAX('制度詳細'!$H$38,AN$100)&lt;=MIN(IF('制度詳細'!$I$38="",EOMONTH(AN$100,0),'制度詳細'!$I$38),EOMONTH(AN$100,0)),"■",IF(AND('制度詳細'!$J$38&lt;&gt;"",'制度詳細'!$J$38&gt;=AN$100,'制度詳細'!$J$38&lt;=EOMONTH(AN$100,0)),"◆","")))</x:f>
      </x:c>
      <x:c r="AO110" s="57" t="str">
        <x:f>IF('制度詳細'!$H$38="",IF('制度詳細'!$J$38="","",IF(AND('制度詳細'!$J$38&gt;=AO$100,'制度詳細'!$J$38&lt;=EOMONTH(AO$100,0)),"◆","")),IF(MAX('制度詳細'!$H$38,AO$100)&lt;=MIN(IF('制度詳細'!$I$38="",EOMONTH(AO$100,0),'制度詳細'!$I$38),EOMONTH(AO$100,0)),"■",IF(AND('制度詳細'!$J$38&lt;&gt;"",'制度詳細'!$J$38&gt;=AO$100,'制度詳細'!$J$38&lt;=EOMONTH(AO$100,0)),"◆","")))</x:f>
      </x:c>
      <x:c r="AP110" s="57" t="str">
        <x:f>IF('制度詳細'!$H$38="",IF('制度詳細'!$J$38="","",IF(AND('制度詳細'!$J$38&gt;=AP$100,'制度詳細'!$J$38&lt;=EOMONTH(AP$100,0)),"◆","")),IF(MAX('制度詳細'!$H$38,AP$100)&lt;=MIN(IF('制度詳細'!$I$38="",EOMONTH(AP$100,0),'制度詳細'!$I$38),EOMONTH(AP$100,0)),"■",IF(AND('制度詳細'!$J$38&lt;&gt;"",'制度詳細'!$J$38&gt;=AP$100,'制度詳細'!$J$38&lt;=EOMONTH(AP$100,0)),"◆","")))</x:f>
      </x:c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</x:row>
    <x:row r="113" ht="38" customHeight="1">
      <x:c r="A113" s="4" t="str">
        <x:v>05  フィリピン</x:v>
      </x:c>
      <x:c r="B113" s="4" t="str">
        <x:v>05  フィリピン</x:v>
      </x:c>
      <x:c r="C113" s="4" t="str">
        <x:v>05  フィリピン</x:v>
      </x:c>
      <x:c r="D113" s="4" t="str">
        <x:v>05  フィリピン</x:v>
      </x:c>
      <x:c r="E113" s="4" t="str">
        <x:v>05  フィリピン</x:v>
      </x:c>
      <x:c r="F113" s="4" t="str">
        <x:v>05  フィリピン</x:v>
      </x:c>
      <x:c r="G113" s="4" t="str">
        <x:v>05  フィリピン</x:v>
      </x:c>
      <x:c r="H113" s="4" t="str">
        <x:v>05  フィリピン</x:v>
      </x:c>
      <x:c r="I113" s="4" t="str">
        <x:v>05  フィリピン</x:v>
      </x:c>
      <x:c r="J113" s="4" t="str">
        <x:v>05  フィリピン</x:v>
      </x:c>
      <x:c r="K113" s="4" t="str">
        <x:v>05  フィリピン</x:v>
      </x:c>
      <x:c r="L113" s="4" t="str">
        <x:v>05  フィリピン</x:v>
      </x:c>
      <x:c r="M113" s="4" t="str">
        <x:v>05  フィリピン</x:v>
      </x:c>
      <x:c r="N113" s="4" t="str">
        <x:v>05  フィリピン</x:v>
      </x:c>
      <x:c r="O113" s="4" t="str">
        <x:v>05  フィリピン</x:v>
      </x:c>
      <x:c r="P113" s="4" t="str">
        <x:v>05  フィリピン</x:v>
      </x:c>
      <x:c r="Q113" s="4" t="str">
        <x:v>05  フィリピン</x:v>
      </x:c>
      <x:c r="R113" s="4" t="str">
        <x:v>05  フィリピン</x:v>
      </x:c>
      <x:c r="S113" s="4" t="str">
        <x:v>05  フィリピン</x:v>
      </x:c>
      <x:c r="T113" s="4" t="str">
        <x:v>05  フィリピン</x:v>
      </x:c>
      <x:c r="U113" s="4" t="str">
        <x:v>05  フィリピン</x:v>
      </x:c>
      <x:c r="V113" s="4" t="str">
        <x:v>05  フィリピン</x:v>
      </x:c>
      <x:c r="W113" s="4" t="str">
        <x:v>05  フィリピン</x:v>
      </x:c>
      <x:c r="X113" s="4" t="str">
        <x:v>05  フィリピン</x:v>
      </x:c>
      <x:c r="Y113" s="4" t="str">
        <x:v>05  フィリピン</x:v>
      </x:c>
      <x:c r="Z113" s="4" t="str">
        <x:v>05  フィリピン</x:v>
      </x:c>
      <x:c r="AA113" s="4" t="str">
        <x:v>05  フィリピン</x:v>
      </x:c>
      <x:c r="AB113" s="4" t="str">
        <x:v>05  フィリピン</x:v>
      </x:c>
      <x:c r="AC113" s="4" t="str">
        <x:v>05  フィリピン</x:v>
      </x:c>
      <x:c r="AD113" s="4" t="str">
        <x:v>05  フィリピン</x:v>
      </x:c>
      <x:c r="AE113" s="4" t="str">
        <x:v>05  フィリピン</x:v>
      </x:c>
      <x:c r="AF113" s="4" t="str">
        <x:v>05  フィリピン</x:v>
      </x:c>
      <x:c r="AG113" s="4" t="str">
        <x:v>05  フィリピン</x:v>
      </x:c>
      <x:c r="AH113" s="4" t="str">
        <x:v>05  フィリピン</x:v>
      </x:c>
      <x:c r="AI113" s="4" t="str">
        <x:v>05  フィリピン</x:v>
      </x:c>
      <x:c r="AJ113" s="4" t="str">
        <x:v>05  フィリピン</x:v>
      </x:c>
      <x:c r="AK113" s="4" t="str">
        <x:v>05  フィリピン</x:v>
      </x:c>
      <x:c r="AL113" s="4" t="str">
        <x:v>05  フィリピン</x:v>
      </x:c>
      <x:c r="AM113" s="4" t="str">
        <x:v>05  フィリピン</x:v>
      </x:c>
      <x:c r="AN113" s="4" t="str">
        <x:v>05  フィリピン</x:v>
      </x:c>
      <x:c r="AO113" s="4" t="str">
        <x:v>05  フィリピン</x:v>
      </x:c>
      <x:c r="AP113" s="4" t="str">
        <x:v>05  フィリピン</x:v>
      </x:c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</x:row>
    <x:row r="114" ht="34" customHeight="1">
      <x:c r="A114" s="7" t="str">
        <x:v>販売系列：初期値はBEV/HEV/ICE。販売未入力のため線なし。台数・統計範囲をそろえ、制度の対象条件と照合する。</x:v>
      </x:c>
      <x:c r="B114" s="7" t="str">
        <x:v>販売系列：初期値はBEV/HEV/ICE。販売未入力のため線なし。台数・統計範囲をそろえ、制度の対象条件と照合する。</x:v>
      </x:c>
      <x:c r="C114" s="7" t="str">
        <x:v>販売系列：初期値はBEV/HEV/ICE。販売未入力のため線なし。台数・統計範囲をそろえ、制度の対象条件と照合する。</x:v>
      </x:c>
      <x:c r="D114" s="7" t="str">
        <x:v>販売系列：初期値はBEV/HEV/ICE。販売未入力のため線なし。台数・統計範囲をそろえ、制度の対象条件と照合する。</x:v>
      </x:c>
      <x:c r="E114" s="7" t="str">
        <x:v>販売系列：初期値はBEV/HEV/ICE。販売未入力のため線なし。台数・統計範囲をそろえ、制度の対象条件と照合する。</x:v>
      </x:c>
      <x:c r="F114" s="7" t="str">
        <x:v>販売系列：初期値はBEV/HEV/ICE。販売未入力のため線なし。台数・統計範囲をそろえ、制度の対象条件と照合する。</x:v>
      </x:c>
      <x:c r="G114" s="7" t="str">
        <x:v>販売系列：初期値はBEV/HEV/ICE。販売未入力のため線なし。台数・統計範囲をそろえ、制度の対象条件と照合する。</x:v>
      </x:c>
      <x:c r="H114" s="7" t="str">
        <x:v>販売系列：初期値はBEV/HEV/ICE。販売未入力のため線なし。台数・統計範囲をそろえ、制度の対象条件と照合する。</x:v>
      </x:c>
      <x:c r="I114" s="7" t="str">
        <x:v>販売系列：初期値はBEV/HEV/ICE。販売未入力のため線なし。台数・統計範囲をそろえ、制度の対象条件と照合する。</x:v>
      </x:c>
      <x:c r="J114" s="7" t="str">
        <x:v>販売系列：初期値はBEV/HEV/ICE。販売未入力のため線なし。台数・統計範囲をそろえ、制度の対象条件と照合する。</x:v>
      </x:c>
      <x:c r="K114" s="7" t="str">
        <x:v>販売系列：初期値はBEV/HEV/ICE。販売未入力のため線なし。台数・統計範囲をそろえ、制度の対象条件と照合する。</x:v>
      </x:c>
      <x:c r="L114" s="7" t="str">
        <x:v>販売系列：初期値はBEV/HEV/ICE。販売未入力のため線なし。台数・統計範囲をそろえ、制度の対象条件と照合する。</x:v>
      </x:c>
      <x:c r="M114" s="7" t="str">
        <x:v>販売系列：初期値はBEV/HEV/ICE。販売未入力のため線なし。台数・統計範囲をそろえ、制度の対象条件と照合する。</x:v>
      </x:c>
      <x:c r="N114" s="7" t="str">
        <x:v>販売系列：初期値はBEV/HEV/ICE。販売未入力のため線なし。台数・統計範囲をそろえ、制度の対象条件と照合する。</x:v>
      </x:c>
      <x:c r="O114" s="7" t="str">
        <x:v>販売系列：初期値はBEV/HEV/ICE。販売未入力のため線なし。台数・統計範囲をそろえ、制度の対象条件と照合する。</x:v>
      </x:c>
      <x:c r="P114" s="7" t="str">
        <x:v>販売系列：初期値はBEV/HEV/ICE。販売未入力のため線なし。台数・統計範囲をそろえ、制度の対象条件と照合する。</x:v>
      </x:c>
      <x:c r="Q114" s="7" t="str">
        <x:v>販売系列：初期値はBEV/HEV/ICE。販売未入力のため線なし。台数・統計範囲をそろえ、制度の対象条件と照合する。</x:v>
      </x:c>
      <x:c r="R114" s="7" t="str">
        <x:v>販売系列：初期値はBEV/HEV/ICE。販売未入力のため線なし。台数・統計範囲をそろえ、制度の対象条件と照合する。</x:v>
      </x:c>
      <x:c r="S114" s="7" t="str">
        <x:v>販売系列：初期値はBEV/HEV/ICE。販売未入力のため線なし。台数・統計範囲をそろえ、制度の対象条件と照合する。</x:v>
      </x:c>
      <x:c r="T114" s="7" t="str">
        <x:v>販売系列：初期値はBEV/HEV/ICE。販売未入力のため線なし。台数・統計範囲をそろえ、制度の対象条件と照合する。</x:v>
      </x:c>
      <x:c r="U114" s="7" t="str">
        <x:v>販売系列：初期値はBEV/HEV/ICE。販売未入力のため線なし。台数・統計範囲をそろえ、制度の対象条件と照合する。</x:v>
      </x:c>
      <x:c r="V114" s="7" t="str">
        <x:v>販売系列：初期値はBEV/HEV/ICE。販売未入力のため線なし。台数・統計範囲をそろえ、制度の対象条件と照合する。</x:v>
      </x:c>
      <x:c r="W114" s="7" t="str">
        <x:v>販売系列：初期値はBEV/HEV/ICE。販売未入力のため線なし。台数・統計範囲をそろえ、制度の対象条件と照合する。</x:v>
      </x:c>
      <x:c r="X114" s="7" t="str">
        <x:v>販売系列：初期値はBEV/HEV/ICE。販売未入力のため線なし。台数・統計範囲をそろえ、制度の対象条件と照合する。</x:v>
      </x:c>
      <x:c r="Y114" s="7" t="str">
        <x:v>販売系列：初期値はBEV/HEV/ICE。販売未入力のため線なし。台数・統計範囲をそろえ、制度の対象条件と照合する。</x:v>
      </x:c>
      <x:c r="Z114" s="7" t="str">
        <x:v>販売系列：初期値はBEV/HEV/ICE。販売未入力のため線なし。台数・統計範囲をそろえ、制度の対象条件と照合する。</x:v>
      </x:c>
      <x:c r="AA114" s="7" t="str">
        <x:v>販売系列：初期値はBEV/HEV/ICE。販売未入力のため線なし。台数・統計範囲をそろえ、制度の対象条件と照合する。</x:v>
      </x:c>
      <x:c r="AB114" s="7" t="str">
        <x:v>販売系列：初期値はBEV/HEV/ICE。販売未入力のため線なし。台数・統計範囲をそろえ、制度の対象条件と照合する。</x:v>
      </x:c>
      <x:c r="AC114" s="7" t="str">
        <x:v>販売系列：初期値はBEV/HEV/ICE。販売未入力のため線なし。台数・統計範囲をそろえ、制度の対象条件と照合する。</x:v>
      </x:c>
      <x:c r="AD114" s="7" t="str">
        <x:v>販売系列：初期値はBEV/HEV/ICE。販売未入力のため線なし。台数・統計範囲をそろえ、制度の対象条件と照合する。</x:v>
      </x:c>
      <x:c r="AE114" s="7" t="str">
        <x:v>販売系列：初期値はBEV/HEV/ICE。販売未入力のため線なし。台数・統計範囲をそろえ、制度の対象条件と照合する。</x:v>
      </x:c>
      <x:c r="AF114" s="7" t="str">
        <x:v>販売系列：初期値はBEV/HEV/ICE。販売未入力のため線なし。台数・統計範囲をそろえ、制度の対象条件と照合する。</x:v>
      </x:c>
      <x:c r="AG114" s="7" t="str">
        <x:v>販売系列：初期値はBEV/HEV/ICE。販売未入力のため線なし。台数・統計範囲をそろえ、制度の対象条件と照合する。</x:v>
      </x:c>
      <x:c r="AH114" s="7" t="str">
        <x:v>販売系列：初期値はBEV/HEV/ICE。販売未入力のため線なし。台数・統計範囲をそろえ、制度の対象条件と照合する。</x:v>
      </x:c>
      <x:c r="AI114" s="7" t="str">
        <x:v>販売系列：初期値はBEV/HEV/ICE。販売未入力のため線なし。台数・統計範囲をそろえ、制度の対象条件と照合する。</x:v>
      </x:c>
      <x:c r="AJ114" s="7" t="str">
        <x:v>販売系列：初期値はBEV/HEV/ICE。販売未入力のため線なし。台数・統計範囲をそろえ、制度の対象条件と照合する。</x:v>
      </x:c>
      <x:c r="AK114" s="7" t="str">
        <x:v>販売系列：初期値はBEV/HEV/ICE。販売未入力のため線なし。台数・統計範囲をそろえ、制度の対象条件と照合する。</x:v>
      </x:c>
      <x:c r="AL114" s="7" t="str">
        <x:v>販売系列：初期値はBEV/HEV/ICE。販売未入力のため線なし。台数・統計範囲をそろえ、制度の対象条件と照合する。</x:v>
      </x:c>
      <x:c r="AM114" s="7" t="str">
        <x:v>販売系列：初期値はBEV/HEV/ICE。販売未入力のため線なし。台数・統計範囲をそろえ、制度の対象条件と照合する。</x:v>
      </x:c>
      <x:c r="AN114" s="7" t="str">
        <x:v>販売系列：初期値はBEV/HEV/ICE。販売未入力のため線なし。台数・統計範囲をそろえ、制度の対象条件と照合する。</x:v>
      </x:c>
      <x:c r="AO114" s="7" t="str">
        <x:v>販売系列：初期値はBEV/HEV/ICE。販売未入力のため線なし。台数・統計範囲をそろえ、制度の対象条件と照合する。</x:v>
      </x:c>
      <x:c r="AP114" s="7" t="str">
        <x:v>販売系列：初期値はBEV/HEV/ICE。販売未入力のため線なし。台数・統計範囲をそろえ、制度の対象条件と照合する。</x:v>
      </x:c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</x:row>
    <x:row r="115" ht="23" customHeight="1">
      <x:c r="A115" s="37" t="str">
        <x:v>着目点
2024年7月、関税優遇がHybridへ拡大。
2025年認定明確化は新規減税とは別。</x:v>
      </x:c>
      <x:c r="B115" s="37"/>
      <x:c r="C115" s="37"/>
      <x:c r="D115" s="37"/>
      <x:c r="E115" s="37"/>
      <x:c r="F115" s="37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</x:row>
    <x:row r="116" ht="23" customHeight="1">
      <x:c r="A116" s="37"/>
      <x:c r="B116" s="37"/>
      <x:c r="C116" s="37"/>
      <x:c r="D116" s="37"/>
      <x:c r="E116" s="37"/>
      <x:c r="F116" s="37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</x:row>
    <x:row r="117" ht="23" customHeight="1">
      <x:c r="A117" s="37"/>
      <x:c r="B117" s="37"/>
      <x:c r="C117" s="37"/>
      <x:c r="D117" s="37"/>
      <x:c r="E117" s="37"/>
      <x:c r="F117" s="37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</x:row>
    <x:row r="118" ht="23" customHeight="1">
      <x:c r="A118" s="37"/>
      <x:c r="B118" s="37"/>
      <x:c r="C118" s="37"/>
      <x:c r="D118" s="37"/>
      <x:c r="E118" s="37"/>
      <x:c r="F118" s="37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</x:row>
    <x:row r="119" ht="23" customHeight="1">
      <x:c r="A119" s="37"/>
      <x:c r="B119" s="37"/>
      <x:c r="C119" s="37"/>
      <x:c r="D119" s="37"/>
      <x:c r="E119" s="37"/>
      <x:c r="F119" s="37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</x:row>
    <x:row r="120" ht="23" customHeight="1">
      <x:c r="A120" s="37"/>
      <x:c r="B120" s="37"/>
      <x:c r="C120" s="37"/>
      <x:c r="D120" s="37"/>
      <x:c r="E120" s="37"/>
      <x:c r="F120" s="37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</x:row>
    <x:row r="121" ht="23" customHeight="1">
      <x:c r="A121" s="37"/>
      <x:c r="B121" s="37"/>
      <x:c r="C121" s="37"/>
      <x:c r="D121" s="37"/>
      <x:c r="E121" s="37"/>
      <x:c r="F121" s="37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</x:row>
    <x:row r="122" ht="23" customHeight="1">
      <x:c r="A122" s="37"/>
      <x:c r="B122" s="37"/>
      <x:c r="C122" s="37"/>
      <x:c r="D122" s="37"/>
      <x:c r="E122" s="37"/>
      <x:c r="F122" s="37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</x:row>
    <x:row r="123" ht="23" customHeight="1">
      <x:c r="A123" s="37"/>
      <x:c r="B123" s="37"/>
      <x:c r="C123" s="37"/>
      <x:c r="D123" s="37"/>
      <x:c r="E123" s="37"/>
      <x:c r="F123" s="37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</x:row>
    <x:row r="124" ht="23" customHeight="1">
      <x:c r="A124" s="37"/>
      <x:c r="B124" s="37"/>
      <x:c r="C124" s="37"/>
      <x:c r="D124" s="37"/>
      <x:c r="E124" s="37"/>
      <x:c r="F124" s="37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</x:row>
    <x:row r="125" ht="23" customHeight="1">
      <x:c r="A125" s="37"/>
      <x:c r="B125" s="37"/>
      <x:c r="C125" s="37"/>
      <x:c r="D125" s="37"/>
      <x:c r="E125" s="37"/>
      <x:c r="F125" s="37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</x:row>
    <x:row r="126" ht="23" customHeight="1">
      <x:c r="A126" s="37"/>
      <x:c r="B126" s="37"/>
      <x:c r="C126" s="37"/>
      <x:c r="D126" s="37"/>
      <x:c r="E126" s="37"/>
      <x:c r="F126" s="37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</x:row>
    <x:row r="127" ht="22" customHeight="1">
      <x:c r="A127" s="40" t="str">
        <x:f>'月次販売入力'!N6</x:f>
        <x:v>BEV</x:v>
      </x:c>
      <x:c r="B127" s="40"/>
      <x:c r="C127" s="43" t="str">
        <x:f>'月次販売入力'!O6</x:f>
        <x:v>HEV</x:v>
      </x:c>
      <x:c r="D127" s="43"/>
      <x:c r="E127" s="46" t="str">
        <x:f>'月次販売入力'!P6</x:f>
        <x:v>ICE</x:v>
      </x:c>
      <x:c r="F127" s="46"/>
      <x:c r="G127" s="48" t="str">
        <x:f>IF(OR(MONTH(G128)=1,0=0),TEXT(G128,"yyyy"),"")</x:f>
        <x:v>2024</x:v>
      </x:c>
      <x:c r="H127" s="48" t="str">
        <x:f>IF(OR(MONTH(H128)=1,1=0),TEXT(H128,"yyyy"),"")</x:f>
      </x:c>
      <x:c r="I127" s="48" t="str">
        <x:f>IF(OR(MONTH(I128)=1,2=0),TEXT(I128,"yyyy"),"")</x:f>
      </x:c>
      <x:c r="J127" s="48" t="str">
        <x:f>IF(OR(MONTH(J128)=1,3=0),TEXT(J128,"yyyy"),"")</x:f>
      </x:c>
      <x:c r="K127" s="48" t="str">
        <x:f>IF(OR(MONTH(K128)=1,4=0),TEXT(K128,"yyyy"),"")</x:f>
      </x:c>
      <x:c r="L127" s="48" t="str">
        <x:f>IF(OR(MONTH(L128)=1,5=0),TEXT(L128,"yyyy"),"")</x:f>
      </x:c>
      <x:c r="M127" s="48" t="str">
        <x:f>IF(OR(MONTH(M128)=1,6=0),TEXT(M128,"yyyy"),"")</x:f>
      </x:c>
      <x:c r="N127" s="48" t="str">
        <x:f>IF(OR(MONTH(N128)=1,7=0),TEXT(N128,"yyyy"),"")</x:f>
      </x:c>
      <x:c r="O127" s="48" t="str">
        <x:f>IF(OR(MONTH(O128)=1,8=0),TEXT(O128,"yyyy"),"")</x:f>
      </x:c>
      <x:c r="P127" s="48" t="str">
        <x:f>IF(OR(MONTH(P128)=1,9=0),TEXT(P128,"yyyy"),"")</x:f>
      </x:c>
      <x:c r="Q127" s="48" t="str">
        <x:f>IF(OR(MONTH(Q128)=1,10=0),TEXT(Q128,"yyyy"),"")</x:f>
      </x:c>
      <x:c r="R127" s="48" t="str">
        <x:f>IF(OR(MONTH(R128)=1,11=0),TEXT(R128,"yyyy"),"")</x:f>
      </x:c>
      <x:c r="S127" s="48" t="str">
        <x:f>IF(OR(MONTH(S128)=1,12=0),TEXT(S128,"yyyy"),"")</x:f>
        <x:v>2025</x:v>
      </x:c>
      <x:c r="T127" s="48" t="str">
        <x:f>IF(OR(MONTH(T128)=1,13=0),TEXT(T128,"yyyy"),"")</x:f>
      </x:c>
      <x:c r="U127" s="48" t="str">
        <x:f>IF(OR(MONTH(U128)=1,14=0),TEXT(U128,"yyyy"),"")</x:f>
      </x:c>
      <x:c r="V127" s="48" t="str">
        <x:f>IF(OR(MONTH(V128)=1,15=0),TEXT(V128,"yyyy"),"")</x:f>
      </x:c>
      <x:c r="W127" s="48" t="str">
        <x:f>IF(OR(MONTH(W128)=1,16=0),TEXT(W128,"yyyy"),"")</x:f>
      </x:c>
      <x:c r="X127" s="48" t="str">
        <x:f>IF(OR(MONTH(X128)=1,17=0),TEXT(X128,"yyyy"),"")</x:f>
      </x:c>
      <x:c r="Y127" s="48" t="str">
        <x:f>IF(OR(MONTH(Y128)=1,18=0),TEXT(Y128,"yyyy"),"")</x:f>
      </x:c>
      <x:c r="Z127" s="48" t="str">
        <x:f>IF(OR(MONTH(Z128)=1,19=0),TEXT(Z128,"yyyy"),"")</x:f>
      </x:c>
      <x:c r="AA127" s="48" t="str">
        <x:f>IF(OR(MONTH(AA128)=1,20=0),TEXT(AA128,"yyyy"),"")</x:f>
      </x:c>
      <x:c r="AB127" s="48" t="str">
        <x:f>IF(OR(MONTH(AB128)=1,21=0),TEXT(AB128,"yyyy"),"")</x:f>
      </x:c>
      <x:c r="AC127" s="48" t="str">
        <x:f>IF(OR(MONTH(AC128)=1,22=0),TEXT(AC128,"yyyy"),"")</x:f>
      </x:c>
      <x:c r="AD127" s="48" t="str">
        <x:f>IF(OR(MONTH(AD128)=1,23=0),TEXT(AD128,"yyyy"),"")</x:f>
      </x:c>
      <x:c r="AE127" s="48" t="str">
        <x:f>IF(OR(MONTH(AE128)=1,24=0),TEXT(AE128,"yyyy"),"")</x:f>
        <x:v>2026</x:v>
      </x:c>
      <x:c r="AF127" s="48" t="str">
        <x:f>IF(OR(MONTH(AF128)=1,25=0),TEXT(AF128,"yyyy"),"")</x:f>
      </x:c>
      <x:c r="AG127" s="48" t="str">
        <x:f>IF(OR(MONTH(AG128)=1,26=0),TEXT(AG128,"yyyy"),"")</x:f>
      </x:c>
      <x:c r="AH127" s="48" t="str">
        <x:f>IF(OR(MONTH(AH128)=1,27=0),TEXT(AH128,"yyyy"),"")</x:f>
      </x:c>
      <x:c r="AI127" s="48" t="str">
        <x:f>IF(OR(MONTH(AI128)=1,28=0),TEXT(AI128,"yyyy"),"")</x:f>
      </x:c>
      <x:c r="AJ127" s="48" t="str">
        <x:f>IF(OR(MONTH(AJ128)=1,29=0),TEXT(AJ128,"yyyy"),"")</x:f>
      </x:c>
      <x:c r="AK127" s="48" t="str">
        <x:f>IF(OR(MONTH(AK128)=1,30=0),TEXT(AK128,"yyyy"),"")</x:f>
      </x:c>
      <x:c r="AL127" s="48" t="str">
        <x:f>IF(OR(MONTH(AL128)=1,31=0),TEXT(AL128,"yyyy"),"")</x:f>
      </x:c>
      <x:c r="AM127" s="48" t="str">
        <x:f>IF(OR(MONTH(AM128)=1,32=0),TEXT(AM128,"yyyy"),"")</x:f>
      </x:c>
      <x:c r="AN127" s="48" t="str">
        <x:f>IF(OR(MONTH(AN128)=1,33=0),TEXT(AN128,"yyyy"),"")</x:f>
      </x:c>
      <x:c r="AO127" s="48" t="str">
        <x:f>IF(OR(MONTH(AO128)=1,34=0),TEXT(AO128,"yyyy"),"")</x:f>
      </x:c>
      <x:c r="AP127" s="48" t="str">
        <x:f>IF(OR(MONTH(AP128)=1,35=0),TEXT(AP128,"yyyy"),"")</x:f>
      </x:c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</x:row>
    <x:row r="128" ht="35" customHeight="1">
      <x:c r="A128" s="1" t="str">
        <x:v>制度／対象条件は「制度詳細」参照</x:v>
      </x:c>
      <x:c r="B128" s="1"/>
      <x:c r="C128" s="1"/>
      <x:c r="D128" s="1"/>
      <x:c r="E128" s="1"/>
      <x:c r="F128" s="1"/>
      <x:c r="G128" s="52" t="n">
        <x:f>EDATE($E$5,0)</x:f>
        <x:v>45292</x:v>
      </x:c>
      <x:c r="H128" s="52" t="n">
        <x:f>EDATE($E$5,1)</x:f>
        <x:v>45323</x:v>
      </x:c>
      <x:c r="I128" s="52" t="n">
        <x:f>EDATE($E$5,2)</x:f>
        <x:v>45352</x:v>
      </x:c>
      <x:c r="J128" s="52" t="n">
        <x:f>EDATE($E$5,3)</x:f>
        <x:v>45383</x:v>
      </x:c>
      <x:c r="K128" s="52" t="n">
        <x:f>EDATE($E$5,4)</x:f>
        <x:v>45413</x:v>
      </x:c>
      <x:c r="L128" s="52" t="n">
        <x:f>EDATE($E$5,5)</x:f>
        <x:v>45444</x:v>
      </x:c>
      <x:c r="M128" s="52" t="n">
        <x:f>EDATE($E$5,6)</x:f>
        <x:v>45474</x:v>
      </x:c>
      <x:c r="N128" s="52" t="n">
        <x:f>EDATE($E$5,7)</x:f>
        <x:v>45505</x:v>
      </x:c>
      <x:c r="O128" s="52" t="n">
        <x:f>EDATE($E$5,8)</x:f>
        <x:v>45536</x:v>
      </x:c>
      <x:c r="P128" s="52" t="n">
        <x:f>EDATE($E$5,9)</x:f>
        <x:v>45566</x:v>
      </x:c>
      <x:c r="Q128" s="52" t="n">
        <x:f>EDATE($E$5,10)</x:f>
        <x:v>45597</x:v>
      </x:c>
      <x:c r="R128" s="52" t="n">
        <x:f>EDATE($E$5,11)</x:f>
        <x:v>45627</x:v>
      </x:c>
      <x:c r="S128" s="52" t="n">
        <x:f>EDATE($E$5,12)</x:f>
        <x:v>45658</x:v>
      </x:c>
      <x:c r="T128" s="52" t="n">
        <x:f>EDATE($E$5,13)</x:f>
        <x:v>45689</x:v>
      </x:c>
      <x:c r="U128" s="52" t="n">
        <x:f>EDATE($E$5,14)</x:f>
        <x:v>45717</x:v>
      </x:c>
      <x:c r="V128" s="52" t="n">
        <x:f>EDATE($E$5,15)</x:f>
        <x:v>45748</x:v>
      </x:c>
      <x:c r="W128" s="52" t="n">
        <x:f>EDATE($E$5,16)</x:f>
        <x:v>45778</x:v>
      </x:c>
      <x:c r="X128" s="52" t="n">
        <x:f>EDATE($E$5,17)</x:f>
        <x:v>45809</x:v>
      </x:c>
      <x:c r="Y128" s="52" t="n">
        <x:f>EDATE($E$5,18)</x:f>
        <x:v>45839</x:v>
      </x:c>
      <x:c r="Z128" s="52" t="n">
        <x:f>EDATE($E$5,19)</x:f>
        <x:v>45870</x:v>
      </x:c>
      <x:c r="AA128" s="52" t="n">
        <x:f>EDATE($E$5,20)</x:f>
        <x:v>45901</x:v>
      </x:c>
      <x:c r="AB128" s="52" t="n">
        <x:f>EDATE($E$5,21)</x:f>
        <x:v>45931</x:v>
      </x:c>
      <x:c r="AC128" s="52" t="n">
        <x:f>EDATE($E$5,22)</x:f>
        <x:v>45962</x:v>
      </x:c>
      <x:c r="AD128" s="52" t="n">
        <x:f>EDATE($E$5,23)</x:f>
        <x:v>45992</x:v>
      </x:c>
      <x:c r="AE128" s="52" t="n">
        <x:f>EDATE($E$5,24)</x:f>
        <x:v>46023</x:v>
      </x:c>
      <x:c r="AF128" s="52" t="n">
        <x:f>EDATE($E$5,25)</x:f>
        <x:v>46054</x:v>
      </x:c>
      <x:c r="AG128" s="52" t="n">
        <x:f>EDATE($E$5,26)</x:f>
        <x:v>46082</x:v>
      </x:c>
      <x:c r="AH128" s="52" t="n">
        <x:f>EDATE($E$5,27)</x:f>
        <x:v>46113</x:v>
      </x:c>
      <x:c r="AI128" s="52" t="n">
        <x:f>EDATE($E$5,28)</x:f>
        <x:v>46143</x:v>
      </x:c>
      <x:c r="AJ128" s="52" t="n">
        <x:f>EDATE($E$5,29)</x:f>
        <x:v>46174</x:v>
      </x:c>
      <x:c r="AK128" s="52" t="n">
        <x:f>EDATE($E$5,30)</x:f>
        <x:v>46204</x:v>
      </x:c>
      <x:c r="AL128" s="52" t="n">
        <x:f>EDATE($E$5,31)</x:f>
        <x:v>46235</x:v>
      </x:c>
      <x:c r="AM128" s="52" t="n">
        <x:f>EDATE($E$5,32)</x:f>
        <x:v>46266</x:v>
      </x:c>
      <x:c r="AN128" s="52" t="n">
        <x:f>EDATE($E$5,33)</x:f>
        <x:v>46296</x:v>
      </x:c>
      <x:c r="AO128" s="52" t="n">
        <x:f>EDATE($E$5,34)</x:f>
        <x:v>46327</x:v>
      </x:c>
      <x:c r="AP128" s="52" t="n">
        <x:f>EDATE($E$5,35)</x:f>
        <x:v>46357</x:v>
      </x:c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</x:row>
    <x:row r="129" ht="30" customHeight="1">
      <x:c r="A129" s="54" t="str">
        <x:v>PH01 純EV：物品税免除</x:v>
      </x:c>
      <x:c r="B129" s="54"/>
      <x:c r="C129" s="54"/>
      <x:c r="D129" s="54"/>
      <x:c r="E129" s="54"/>
      <x:c r="F129" s="54"/>
      <x:c r="G129" s="57" t="str">
        <x:f>IF('制度詳細'!$H$39="",IF('制度詳細'!$J$39="","",IF(AND('制度詳細'!$J$39&gt;=G$128,'制度詳細'!$J$39&lt;=EOMONTH(G$128,0)),"◆","")),IF(MAX('制度詳細'!$H$39,G$128)&lt;=MIN(IF('制度詳細'!$I$39="",EOMONTH(G$128,0),'制度詳細'!$I$39),EOMONTH(G$128,0)),"■",IF(AND('制度詳細'!$J$39&lt;&gt;"",'制度詳細'!$J$39&gt;=G$128,'制度詳細'!$J$39&lt;=EOMONTH(G$128,0)),"◆","")))</x:f>
        <x:v>■</x:v>
      </x:c>
      <x:c r="H129" s="57" t="str">
        <x:f>IF('制度詳細'!$H$39="",IF('制度詳細'!$J$39="","",IF(AND('制度詳細'!$J$39&gt;=H$128,'制度詳細'!$J$39&lt;=EOMONTH(H$128,0)),"◆","")),IF(MAX('制度詳細'!$H$39,H$128)&lt;=MIN(IF('制度詳細'!$I$39="",EOMONTH(H$128,0),'制度詳細'!$I$39),EOMONTH(H$128,0)),"■",IF(AND('制度詳細'!$J$39&lt;&gt;"",'制度詳細'!$J$39&gt;=H$128,'制度詳細'!$J$39&lt;=EOMONTH(H$128,0)),"◆","")))</x:f>
        <x:v>■</x:v>
      </x:c>
      <x:c r="I129" s="57" t="str">
        <x:f>IF('制度詳細'!$H$39="",IF('制度詳細'!$J$39="","",IF(AND('制度詳細'!$J$39&gt;=I$128,'制度詳細'!$J$39&lt;=EOMONTH(I$128,0)),"◆","")),IF(MAX('制度詳細'!$H$39,I$128)&lt;=MIN(IF('制度詳細'!$I$39="",EOMONTH(I$128,0),'制度詳細'!$I$39),EOMONTH(I$128,0)),"■",IF(AND('制度詳細'!$J$39&lt;&gt;"",'制度詳細'!$J$39&gt;=I$128,'制度詳細'!$J$39&lt;=EOMONTH(I$128,0)),"◆","")))</x:f>
        <x:v>■</x:v>
      </x:c>
      <x:c r="J129" s="57" t="str">
        <x:f>IF('制度詳細'!$H$39="",IF('制度詳細'!$J$39="","",IF(AND('制度詳細'!$J$39&gt;=J$128,'制度詳細'!$J$39&lt;=EOMONTH(J$128,0)),"◆","")),IF(MAX('制度詳細'!$H$39,J$128)&lt;=MIN(IF('制度詳細'!$I$39="",EOMONTH(J$128,0),'制度詳細'!$I$39),EOMONTH(J$128,0)),"■",IF(AND('制度詳細'!$J$39&lt;&gt;"",'制度詳細'!$J$39&gt;=J$128,'制度詳細'!$J$39&lt;=EOMONTH(J$128,0)),"◆","")))</x:f>
        <x:v>■</x:v>
      </x:c>
      <x:c r="K129" s="57" t="str">
        <x:f>IF('制度詳細'!$H$39="",IF('制度詳細'!$J$39="","",IF(AND('制度詳細'!$J$39&gt;=K$128,'制度詳細'!$J$39&lt;=EOMONTH(K$128,0)),"◆","")),IF(MAX('制度詳細'!$H$39,K$128)&lt;=MIN(IF('制度詳細'!$I$39="",EOMONTH(K$128,0),'制度詳細'!$I$39),EOMONTH(K$128,0)),"■",IF(AND('制度詳細'!$J$39&lt;&gt;"",'制度詳細'!$J$39&gt;=K$128,'制度詳細'!$J$39&lt;=EOMONTH(K$128,0)),"◆","")))</x:f>
        <x:v>■</x:v>
      </x:c>
      <x:c r="L129" s="57" t="str">
        <x:f>IF('制度詳細'!$H$39="",IF('制度詳細'!$J$39="","",IF(AND('制度詳細'!$J$39&gt;=L$128,'制度詳細'!$J$39&lt;=EOMONTH(L$128,0)),"◆","")),IF(MAX('制度詳細'!$H$39,L$128)&lt;=MIN(IF('制度詳細'!$I$39="",EOMONTH(L$128,0),'制度詳細'!$I$39),EOMONTH(L$128,0)),"■",IF(AND('制度詳細'!$J$39&lt;&gt;"",'制度詳細'!$J$39&gt;=L$128,'制度詳細'!$J$39&lt;=EOMONTH(L$128,0)),"◆","")))</x:f>
        <x:v>■</x:v>
      </x:c>
      <x:c r="M129" s="57" t="str">
        <x:f>IF('制度詳細'!$H$39="",IF('制度詳細'!$J$39="","",IF(AND('制度詳細'!$J$39&gt;=M$128,'制度詳細'!$J$39&lt;=EOMONTH(M$128,0)),"◆","")),IF(MAX('制度詳細'!$H$39,M$128)&lt;=MIN(IF('制度詳細'!$I$39="",EOMONTH(M$128,0),'制度詳細'!$I$39),EOMONTH(M$128,0)),"■",IF(AND('制度詳細'!$J$39&lt;&gt;"",'制度詳細'!$J$39&gt;=M$128,'制度詳細'!$J$39&lt;=EOMONTH(M$128,0)),"◆","")))</x:f>
        <x:v>■</x:v>
      </x:c>
      <x:c r="N129" s="57" t="str">
        <x:f>IF('制度詳細'!$H$39="",IF('制度詳細'!$J$39="","",IF(AND('制度詳細'!$J$39&gt;=N$128,'制度詳細'!$J$39&lt;=EOMONTH(N$128,0)),"◆","")),IF(MAX('制度詳細'!$H$39,N$128)&lt;=MIN(IF('制度詳細'!$I$39="",EOMONTH(N$128,0),'制度詳細'!$I$39),EOMONTH(N$128,0)),"■",IF(AND('制度詳細'!$J$39&lt;&gt;"",'制度詳細'!$J$39&gt;=N$128,'制度詳細'!$J$39&lt;=EOMONTH(N$128,0)),"◆","")))</x:f>
        <x:v>■</x:v>
      </x:c>
      <x:c r="O129" s="57" t="str">
        <x:f>IF('制度詳細'!$H$39="",IF('制度詳細'!$J$39="","",IF(AND('制度詳細'!$J$39&gt;=O$128,'制度詳細'!$J$39&lt;=EOMONTH(O$128,0)),"◆","")),IF(MAX('制度詳細'!$H$39,O$128)&lt;=MIN(IF('制度詳細'!$I$39="",EOMONTH(O$128,0),'制度詳細'!$I$39),EOMONTH(O$128,0)),"■",IF(AND('制度詳細'!$J$39&lt;&gt;"",'制度詳細'!$J$39&gt;=O$128,'制度詳細'!$J$39&lt;=EOMONTH(O$128,0)),"◆","")))</x:f>
        <x:v>■</x:v>
      </x:c>
      <x:c r="P129" s="57" t="str">
        <x:f>IF('制度詳細'!$H$39="",IF('制度詳細'!$J$39="","",IF(AND('制度詳細'!$J$39&gt;=P$128,'制度詳細'!$J$39&lt;=EOMONTH(P$128,0)),"◆","")),IF(MAX('制度詳細'!$H$39,P$128)&lt;=MIN(IF('制度詳細'!$I$39="",EOMONTH(P$128,0),'制度詳細'!$I$39),EOMONTH(P$128,0)),"■",IF(AND('制度詳細'!$J$39&lt;&gt;"",'制度詳細'!$J$39&gt;=P$128,'制度詳細'!$J$39&lt;=EOMONTH(P$128,0)),"◆","")))</x:f>
        <x:v>■</x:v>
      </x:c>
      <x:c r="Q129" s="57" t="str">
        <x:f>IF('制度詳細'!$H$39="",IF('制度詳細'!$J$39="","",IF(AND('制度詳細'!$J$39&gt;=Q$128,'制度詳細'!$J$39&lt;=EOMONTH(Q$128,0)),"◆","")),IF(MAX('制度詳細'!$H$39,Q$128)&lt;=MIN(IF('制度詳細'!$I$39="",EOMONTH(Q$128,0),'制度詳細'!$I$39),EOMONTH(Q$128,0)),"■",IF(AND('制度詳細'!$J$39&lt;&gt;"",'制度詳細'!$J$39&gt;=Q$128,'制度詳細'!$J$39&lt;=EOMONTH(Q$128,0)),"◆","")))</x:f>
        <x:v>■</x:v>
      </x:c>
      <x:c r="R129" s="57" t="str">
        <x:f>IF('制度詳細'!$H$39="",IF('制度詳細'!$J$39="","",IF(AND('制度詳細'!$J$39&gt;=R$128,'制度詳細'!$J$39&lt;=EOMONTH(R$128,0)),"◆","")),IF(MAX('制度詳細'!$H$39,R$128)&lt;=MIN(IF('制度詳細'!$I$39="",EOMONTH(R$128,0),'制度詳細'!$I$39),EOMONTH(R$128,0)),"■",IF(AND('制度詳細'!$J$39&lt;&gt;"",'制度詳細'!$J$39&gt;=R$128,'制度詳細'!$J$39&lt;=EOMONTH(R$128,0)),"◆","")))</x:f>
        <x:v>■</x:v>
      </x:c>
      <x:c r="S129" s="57" t="str">
        <x:f>IF('制度詳細'!$H$39="",IF('制度詳細'!$J$39="","",IF(AND('制度詳細'!$J$39&gt;=S$128,'制度詳細'!$J$39&lt;=EOMONTH(S$128,0)),"◆","")),IF(MAX('制度詳細'!$H$39,S$128)&lt;=MIN(IF('制度詳細'!$I$39="",EOMONTH(S$128,0),'制度詳細'!$I$39),EOMONTH(S$128,0)),"■",IF(AND('制度詳細'!$J$39&lt;&gt;"",'制度詳細'!$J$39&gt;=S$128,'制度詳細'!$J$39&lt;=EOMONTH(S$128,0)),"◆","")))</x:f>
        <x:v>■</x:v>
      </x:c>
      <x:c r="T129" s="57" t="str">
        <x:f>IF('制度詳細'!$H$39="",IF('制度詳細'!$J$39="","",IF(AND('制度詳細'!$J$39&gt;=T$128,'制度詳細'!$J$39&lt;=EOMONTH(T$128,0)),"◆","")),IF(MAX('制度詳細'!$H$39,T$128)&lt;=MIN(IF('制度詳細'!$I$39="",EOMONTH(T$128,0),'制度詳細'!$I$39),EOMONTH(T$128,0)),"■",IF(AND('制度詳細'!$J$39&lt;&gt;"",'制度詳細'!$J$39&gt;=T$128,'制度詳細'!$J$39&lt;=EOMONTH(T$128,0)),"◆","")))</x:f>
        <x:v>■</x:v>
      </x:c>
      <x:c r="U129" s="57" t="str">
        <x:f>IF('制度詳細'!$H$39="",IF('制度詳細'!$J$39="","",IF(AND('制度詳細'!$J$39&gt;=U$128,'制度詳細'!$J$39&lt;=EOMONTH(U$128,0)),"◆","")),IF(MAX('制度詳細'!$H$39,U$128)&lt;=MIN(IF('制度詳細'!$I$39="",EOMONTH(U$128,0),'制度詳細'!$I$39),EOMONTH(U$128,0)),"■",IF(AND('制度詳細'!$J$39&lt;&gt;"",'制度詳細'!$J$39&gt;=U$128,'制度詳細'!$J$39&lt;=EOMONTH(U$128,0)),"◆","")))</x:f>
        <x:v>■</x:v>
      </x:c>
      <x:c r="V129" s="57" t="str">
        <x:f>IF('制度詳細'!$H$39="",IF('制度詳細'!$J$39="","",IF(AND('制度詳細'!$J$39&gt;=V$128,'制度詳細'!$J$39&lt;=EOMONTH(V$128,0)),"◆","")),IF(MAX('制度詳細'!$H$39,V$128)&lt;=MIN(IF('制度詳細'!$I$39="",EOMONTH(V$128,0),'制度詳細'!$I$39),EOMONTH(V$128,0)),"■",IF(AND('制度詳細'!$J$39&lt;&gt;"",'制度詳細'!$J$39&gt;=V$128,'制度詳細'!$J$39&lt;=EOMONTH(V$128,0)),"◆","")))</x:f>
        <x:v>■</x:v>
      </x:c>
      <x:c r="W129" s="57" t="str">
        <x:f>IF('制度詳細'!$H$39="",IF('制度詳細'!$J$39="","",IF(AND('制度詳細'!$J$39&gt;=W$128,'制度詳細'!$J$39&lt;=EOMONTH(W$128,0)),"◆","")),IF(MAX('制度詳細'!$H$39,W$128)&lt;=MIN(IF('制度詳細'!$I$39="",EOMONTH(W$128,0),'制度詳細'!$I$39),EOMONTH(W$128,0)),"■",IF(AND('制度詳細'!$J$39&lt;&gt;"",'制度詳細'!$J$39&gt;=W$128,'制度詳細'!$J$39&lt;=EOMONTH(W$128,0)),"◆","")))</x:f>
        <x:v>■</x:v>
      </x:c>
      <x:c r="X129" s="57" t="str">
        <x:f>IF('制度詳細'!$H$39="",IF('制度詳細'!$J$39="","",IF(AND('制度詳細'!$J$39&gt;=X$128,'制度詳細'!$J$39&lt;=EOMONTH(X$128,0)),"◆","")),IF(MAX('制度詳細'!$H$39,X$128)&lt;=MIN(IF('制度詳細'!$I$39="",EOMONTH(X$128,0),'制度詳細'!$I$39),EOMONTH(X$128,0)),"■",IF(AND('制度詳細'!$J$39&lt;&gt;"",'制度詳細'!$J$39&gt;=X$128,'制度詳細'!$J$39&lt;=EOMONTH(X$128,0)),"◆","")))</x:f>
        <x:v>■</x:v>
      </x:c>
      <x:c r="Y129" s="57" t="str">
        <x:f>IF('制度詳細'!$H$39="",IF('制度詳細'!$J$39="","",IF(AND('制度詳細'!$J$39&gt;=Y$128,'制度詳細'!$J$39&lt;=EOMONTH(Y$128,0)),"◆","")),IF(MAX('制度詳細'!$H$39,Y$128)&lt;=MIN(IF('制度詳細'!$I$39="",EOMONTH(Y$128,0),'制度詳細'!$I$39),EOMONTH(Y$128,0)),"■",IF(AND('制度詳細'!$J$39&lt;&gt;"",'制度詳細'!$J$39&gt;=Y$128,'制度詳細'!$J$39&lt;=EOMONTH(Y$128,0)),"◆","")))</x:f>
        <x:v>■</x:v>
      </x:c>
      <x:c r="Z129" s="57" t="str">
        <x:f>IF('制度詳細'!$H$39="",IF('制度詳細'!$J$39="","",IF(AND('制度詳細'!$J$39&gt;=Z$128,'制度詳細'!$J$39&lt;=EOMONTH(Z$128,0)),"◆","")),IF(MAX('制度詳細'!$H$39,Z$128)&lt;=MIN(IF('制度詳細'!$I$39="",EOMONTH(Z$128,0),'制度詳細'!$I$39),EOMONTH(Z$128,0)),"■",IF(AND('制度詳細'!$J$39&lt;&gt;"",'制度詳細'!$J$39&gt;=Z$128,'制度詳細'!$J$39&lt;=EOMONTH(Z$128,0)),"◆","")))</x:f>
        <x:v>■</x:v>
      </x:c>
      <x:c r="AA129" s="57" t="str">
        <x:f>IF('制度詳細'!$H$39="",IF('制度詳細'!$J$39="","",IF(AND('制度詳細'!$J$39&gt;=AA$128,'制度詳細'!$J$39&lt;=EOMONTH(AA$128,0)),"◆","")),IF(MAX('制度詳細'!$H$39,AA$128)&lt;=MIN(IF('制度詳細'!$I$39="",EOMONTH(AA$128,0),'制度詳細'!$I$39),EOMONTH(AA$128,0)),"■",IF(AND('制度詳細'!$J$39&lt;&gt;"",'制度詳細'!$J$39&gt;=AA$128,'制度詳細'!$J$39&lt;=EOMONTH(AA$128,0)),"◆","")))</x:f>
        <x:v>■</x:v>
      </x:c>
      <x:c r="AB129" s="57" t="str">
        <x:f>IF('制度詳細'!$H$39="",IF('制度詳細'!$J$39="","",IF(AND('制度詳細'!$J$39&gt;=AB$128,'制度詳細'!$J$39&lt;=EOMONTH(AB$128,0)),"◆","")),IF(MAX('制度詳細'!$H$39,AB$128)&lt;=MIN(IF('制度詳細'!$I$39="",EOMONTH(AB$128,0),'制度詳細'!$I$39),EOMONTH(AB$128,0)),"■",IF(AND('制度詳細'!$J$39&lt;&gt;"",'制度詳細'!$J$39&gt;=AB$128,'制度詳細'!$J$39&lt;=EOMONTH(AB$128,0)),"◆","")))</x:f>
        <x:v>■</x:v>
      </x:c>
      <x:c r="AC129" s="57" t="str">
        <x:f>IF('制度詳細'!$H$39="",IF('制度詳細'!$J$39="","",IF(AND('制度詳細'!$J$39&gt;=AC$128,'制度詳細'!$J$39&lt;=EOMONTH(AC$128,0)),"◆","")),IF(MAX('制度詳細'!$H$39,AC$128)&lt;=MIN(IF('制度詳細'!$I$39="",EOMONTH(AC$128,0),'制度詳細'!$I$39),EOMONTH(AC$128,0)),"■",IF(AND('制度詳細'!$J$39&lt;&gt;"",'制度詳細'!$J$39&gt;=AC$128,'制度詳細'!$J$39&lt;=EOMONTH(AC$128,0)),"◆","")))</x:f>
        <x:v>■</x:v>
      </x:c>
      <x:c r="AD129" s="57" t="str">
        <x:f>IF('制度詳細'!$H$39="",IF('制度詳細'!$J$39="","",IF(AND('制度詳細'!$J$39&gt;=AD$128,'制度詳細'!$J$39&lt;=EOMONTH(AD$128,0)),"◆","")),IF(MAX('制度詳細'!$H$39,AD$128)&lt;=MIN(IF('制度詳細'!$I$39="",EOMONTH(AD$128,0),'制度詳細'!$I$39),EOMONTH(AD$128,0)),"■",IF(AND('制度詳細'!$J$39&lt;&gt;"",'制度詳細'!$J$39&gt;=AD$128,'制度詳細'!$J$39&lt;=EOMONTH(AD$128,0)),"◆","")))</x:f>
        <x:v>■</x:v>
      </x:c>
      <x:c r="AE129" s="57" t="str">
        <x:f>IF('制度詳細'!$H$39="",IF('制度詳細'!$J$39="","",IF(AND('制度詳細'!$J$39&gt;=AE$128,'制度詳細'!$J$39&lt;=EOMONTH(AE$128,0)),"◆","")),IF(MAX('制度詳細'!$H$39,AE$128)&lt;=MIN(IF('制度詳細'!$I$39="",EOMONTH(AE$128,0),'制度詳細'!$I$39),EOMONTH(AE$128,0)),"■",IF(AND('制度詳細'!$J$39&lt;&gt;"",'制度詳細'!$J$39&gt;=AE$128,'制度詳細'!$J$39&lt;=EOMONTH(AE$128,0)),"◆","")))</x:f>
        <x:v>■</x:v>
      </x:c>
      <x:c r="AF129" s="57" t="str">
        <x:f>IF('制度詳細'!$H$39="",IF('制度詳細'!$J$39="","",IF(AND('制度詳細'!$J$39&gt;=AF$128,'制度詳細'!$J$39&lt;=EOMONTH(AF$128,0)),"◆","")),IF(MAX('制度詳細'!$H$39,AF$128)&lt;=MIN(IF('制度詳細'!$I$39="",EOMONTH(AF$128,0),'制度詳細'!$I$39),EOMONTH(AF$128,0)),"■",IF(AND('制度詳細'!$J$39&lt;&gt;"",'制度詳細'!$J$39&gt;=AF$128,'制度詳細'!$J$39&lt;=EOMONTH(AF$128,0)),"◆","")))</x:f>
        <x:v>■</x:v>
      </x:c>
      <x:c r="AG129" s="57" t="str">
        <x:f>IF('制度詳細'!$H$39="",IF('制度詳細'!$J$39="","",IF(AND('制度詳細'!$J$39&gt;=AG$128,'制度詳細'!$J$39&lt;=EOMONTH(AG$128,0)),"◆","")),IF(MAX('制度詳細'!$H$39,AG$128)&lt;=MIN(IF('制度詳細'!$I$39="",EOMONTH(AG$128,0),'制度詳細'!$I$39),EOMONTH(AG$128,0)),"■",IF(AND('制度詳細'!$J$39&lt;&gt;"",'制度詳細'!$J$39&gt;=AG$128,'制度詳細'!$J$39&lt;=EOMONTH(AG$128,0)),"◆","")))</x:f>
        <x:v>■</x:v>
      </x:c>
      <x:c r="AH129" s="57" t="str">
        <x:f>IF('制度詳細'!$H$39="",IF('制度詳細'!$J$39="","",IF(AND('制度詳細'!$J$39&gt;=AH$128,'制度詳細'!$J$39&lt;=EOMONTH(AH$128,0)),"◆","")),IF(MAX('制度詳細'!$H$39,AH$128)&lt;=MIN(IF('制度詳細'!$I$39="",EOMONTH(AH$128,0),'制度詳細'!$I$39),EOMONTH(AH$128,0)),"■",IF(AND('制度詳細'!$J$39&lt;&gt;"",'制度詳細'!$J$39&gt;=AH$128,'制度詳細'!$J$39&lt;=EOMONTH(AH$128,0)),"◆","")))</x:f>
        <x:v>■</x:v>
      </x:c>
      <x:c r="AI129" s="57" t="str">
        <x:f>IF('制度詳細'!$H$39="",IF('制度詳細'!$J$39="","",IF(AND('制度詳細'!$J$39&gt;=AI$128,'制度詳細'!$J$39&lt;=EOMONTH(AI$128,0)),"◆","")),IF(MAX('制度詳細'!$H$39,AI$128)&lt;=MIN(IF('制度詳細'!$I$39="",EOMONTH(AI$128,0),'制度詳細'!$I$39),EOMONTH(AI$128,0)),"■",IF(AND('制度詳細'!$J$39&lt;&gt;"",'制度詳細'!$J$39&gt;=AI$128,'制度詳細'!$J$39&lt;=EOMONTH(AI$128,0)),"◆","")))</x:f>
        <x:v>■</x:v>
      </x:c>
      <x:c r="AJ129" s="57" t="str">
        <x:f>IF('制度詳細'!$H$39="",IF('制度詳細'!$J$39="","",IF(AND('制度詳細'!$J$39&gt;=AJ$128,'制度詳細'!$J$39&lt;=EOMONTH(AJ$128,0)),"◆","")),IF(MAX('制度詳細'!$H$39,AJ$128)&lt;=MIN(IF('制度詳細'!$I$39="",EOMONTH(AJ$128,0),'制度詳細'!$I$39),EOMONTH(AJ$128,0)),"■",IF(AND('制度詳細'!$J$39&lt;&gt;"",'制度詳細'!$J$39&gt;=AJ$128,'制度詳細'!$J$39&lt;=EOMONTH(AJ$128,0)),"◆","")))</x:f>
        <x:v>■</x:v>
      </x:c>
      <x:c r="AK129" s="57" t="str">
        <x:f>IF('制度詳細'!$H$39="",IF('制度詳細'!$J$39="","",IF(AND('制度詳細'!$J$39&gt;=AK$128,'制度詳細'!$J$39&lt;=EOMONTH(AK$128,0)),"◆","")),IF(MAX('制度詳細'!$H$39,AK$128)&lt;=MIN(IF('制度詳細'!$I$39="",EOMONTH(AK$128,0),'制度詳細'!$I$39),EOMONTH(AK$128,0)),"■",IF(AND('制度詳細'!$J$39&lt;&gt;"",'制度詳細'!$J$39&gt;=AK$128,'制度詳細'!$J$39&lt;=EOMONTH(AK$128,0)),"◆","")))</x:f>
        <x:v>■</x:v>
      </x:c>
      <x:c r="AL129" s="57" t="str">
        <x:f>IF('制度詳細'!$H$39="",IF('制度詳細'!$J$39="","",IF(AND('制度詳細'!$J$39&gt;=AL$128,'制度詳細'!$J$39&lt;=EOMONTH(AL$128,0)),"◆","")),IF(MAX('制度詳細'!$H$39,AL$128)&lt;=MIN(IF('制度詳細'!$I$39="",EOMONTH(AL$128,0),'制度詳細'!$I$39),EOMONTH(AL$128,0)),"■",IF(AND('制度詳細'!$J$39&lt;&gt;"",'制度詳細'!$J$39&gt;=AL$128,'制度詳細'!$J$39&lt;=EOMONTH(AL$128,0)),"◆","")))</x:f>
        <x:v>■</x:v>
      </x:c>
      <x:c r="AM129" s="57" t="str">
        <x:f>IF('制度詳細'!$H$39="",IF('制度詳細'!$J$39="","",IF(AND('制度詳細'!$J$39&gt;=AM$128,'制度詳細'!$J$39&lt;=EOMONTH(AM$128,0)),"◆","")),IF(MAX('制度詳細'!$H$39,AM$128)&lt;=MIN(IF('制度詳細'!$I$39="",EOMONTH(AM$128,0),'制度詳細'!$I$39),EOMONTH(AM$128,0)),"■",IF(AND('制度詳細'!$J$39&lt;&gt;"",'制度詳細'!$J$39&gt;=AM$128,'制度詳細'!$J$39&lt;=EOMONTH(AM$128,0)),"◆","")))</x:f>
        <x:v>■</x:v>
      </x:c>
      <x:c r="AN129" s="57" t="str">
        <x:f>IF('制度詳細'!$H$39="",IF('制度詳細'!$J$39="","",IF(AND('制度詳細'!$J$39&gt;=AN$128,'制度詳細'!$J$39&lt;=EOMONTH(AN$128,0)),"◆","")),IF(MAX('制度詳細'!$H$39,AN$128)&lt;=MIN(IF('制度詳細'!$I$39="",EOMONTH(AN$128,0),'制度詳細'!$I$39),EOMONTH(AN$128,0)),"■",IF(AND('制度詳細'!$J$39&lt;&gt;"",'制度詳細'!$J$39&gt;=AN$128,'制度詳細'!$J$39&lt;=EOMONTH(AN$128,0)),"◆","")))</x:f>
        <x:v>■</x:v>
      </x:c>
      <x:c r="AO129" s="57" t="str">
        <x:f>IF('制度詳細'!$H$39="",IF('制度詳細'!$J$39="","",IF(AND('制度詳細'!$J$39&gt;=AO$128,'制度詳細'!$J$39&lt;=EOMONTH(AO$128,0)),"◆","")),IF(MAX('制度詳細'!$H$39,AO$128)&lt;=MIN(IF('制度詳細'!$I$39="",EOMONTH(AO$128,0),'制度詳細'!$I$39),EOMONTH(AO$128,0)),"■",IF(AND('制度詳細'!$J$39&lt;&gt;"",'制度詳細'!$J$39&gt;=AO$128,'制度詳細'!$J$39&lt;=EOMONTH(AO$128,0)),"◆","")))</x:f>
        <x:v>■</x:v>
      </x:c>
      <x:c r="AP129" s="57" t="str">
        <x:f>IF('制度詳細'!$H$39="",IF('制度詳細'!$J$39="","",IF(AND('制度詳細'!$J$39&gt;=AP$128,'制度詳細'!$J$39&lt;=EOMONTH(AP$128,0)),"◆","")),IF(MAX('制度詳細'!$H$39,AP$128)&lt;=MIN(IF('制度詳細'!$I$39="",EOMONTH(AP$128,0),'制度詳細'!$I$39),EOMONTH(AP$128,0)),"■",IF(AND('制度詳細'!$J$39&lt;&gt;"",'制度詳細'!$J$39&gt;=AP$128,'制度詳細'!$J$39&lt;=EOMONTH(AP$128,0)),"◆","")))</x:f>
        <x:v>■</x:v>
      </x:c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</x:row>
    <x:row r="130" ht="30" customHeight="1">
      <x:c r="A130" s="59" t="str">
        <x:v>PH02 適格Hybrid：物品税50%</x:v>
      </x:c>
      <x:c r="B130" s="59"/>
      <x:c r="C130" s="59"/>
      <x:c r="D130" s="59"/>
      <x:c r="E130" s="59"/>
      <x:c r="F130" s="59"/>
      <x:c r="G130" s="57" t="str">
        <x:f>IF('制度詳細'!$H$40="",IF('制度詳細'!$J$40="","",IF(AND('制度詳細'!$J$40&gt;=G$128,'制度詳細'!$J$40&lt;=EOMONTH(G$128,0)),"◆","")),IF(MAX('制度詳細'!$H$40,G$128)&lt;=MIN(IF('制度詳細'!$I$40="",EOMONTH(G$128,0),'制度詳細'!$I$40),EOMONTH(G$128,0)),"■",IF(AND('制度詳細'!$J$40&lt;&gt;"",'制度詳細'!$J$40&gt;=G$128,'制度詳細'!$J$40&lt;=EOMONTH(G$128,0)),"◆","")))</x:f>
        <x:v>■</x:v>
      </x:c>
      <x:c r="H130" s="57" t="str">
        <x:f>IF('制度詳細'!$H$40="",IF('制度詳細'!$J$40="","",IF(AND('制度詳細'!$J$40&gt;=H$128,'制度詳細'!$J$40&lt;=EOMONTH(H$128,0)),"◆","")),IF(MAX('制度詳細'!$H$40,H$128)&lt;=MIN(IF('制度詳細'!$I$40="",EOMONTH(H$128,0),'制度詳細'!$I$40),EOMONTH(H$128,0)),"■",IF(AND('制度詳細'!$J$40&lt;&gt;"",'制度詳細'!$J$40&gt;=H$128,'制度詳細'!$J$40&lt;=EOMONTH(H$128,0)),"◆","")))</x:f>
        <x:v>■</x:v>
      </x:c>
      <x:c r="I130" s="57" t="str">
        <x:f>IF('制度詳細'!$H$40="",IF('制度詳細'!$J$40="","",IF(AND('制度詳細'!$J$40&gt;=I$128,'制度詳細'!$J$40&lt;=EOMONTH(I$128,0)),"◆","")),IF(MAX('制度詳細'!$H$40,I$128)&lt;=MIN(IF('制度詳細'!$I$40="",EOMONTH(I$128,0),'制度詳細'!$I$40),EOMONTH(I$128,0)),"■",IF(AND('制度詳細'!$J$40&lt;&gt;"",'制度詳細'!$J$40&gt;=I$128,'制度詳細'!$J$40&lt;=EOMONTH(I$128,0)),"◆","")))</x:f>
        <x:v>■</x:v>
      </x:c>
      <x:c r="J130" s="57" t="str">
        <x:f>IF('制度詳細'!$H$40="",IF('制度詳細'!$J$40="","",IF(AND('制度詳細'!$J$40&gt;=J$128,'制度詳細'!$J$40&lt;=EOMONTH(J$128,0)),"◆","")),IF(MAX('制度詳細'!$H$40,J$128)&lt;=MIN(IF('制度詳細'!$I$40="",EOMONTH(J$128,0),'制度詳細'!$I$40),EOMONTH(J$128,0)),"■",IF(AND('制度詳細'!$J$40&lt;&gt;"",'制度詳細'!$J$40&gt;=J$128,'制度詳細'!$J$40&lt;=EOMONTH(J$128,0)),"◆","")))</x:f>
        <x:v>■</x:v>
      </x:c>
      <x:c r="K130" s="57" t="str">
        <x:f>IF('制度詳細'!$H$40="",IF('制度詳細'!$J$40="","",IF(AND('制度詳細'!$J$40&gt;=K$128,'制度詳細'!$J$40&lt;=EOMONTH(K$128,0)),"◆","")),IF(MAX('制度詳細'!$H$40,K$128)&lt;=MIN(IF('制度詳細'!$I$40="",EOMONTH(K$128,0),'制度詳細'!$I$40),EOMONTH(K$128,0)),"■",IF(AND('制度詳細'!$J$40&lt;&gt;"",'制度詳細'!$J$40&gt;=K$128,'制度詳細'!$J$40&lt;=EOMONTH(K$128,0)),"◆","")))</x:f>
        <x:v>■</x:v>
      </x:c>
      <x:c r="L130" s="57" t="str">
        <x:f>IF('制度詳細'!$H$40="",IF('制度詳細'!$J$40="","",IF(AND('制度詳細'!$J$40&gt;=L$128,'制度詳細'!$J$40&lt;=EOMONTH(L$128,0)),"◆","")),IF(MAX('制度詳細'!$H$40,L$128)&lt;=MIN(IF('制度詳細'!$I$40="",EOMONTH(L$128,0),'制度詳細'!$I$40),EOMONTH(L$128,0)),"■",IF(AND('制度詳細'!$J$40&lt;&gt;"",'制度詳細'!$J$40&gt;=L$128,'制度詳細'!$J$40&lt;=EOMONTH(L$128,0)),"◆","")))</x:f>
        <x:v>■</x:v>
      </x:c>
      <x:c r="M130" s="57" t="str">
        <x:f>IF('制度詳細'!$H$40="",IF('制度詳細'!$J$40="","",IF(AND('制度詳細'!$J$40&gt;=M$128,'制度詳細'!$J$40&lt;=EOMONTH(M$128,0)),"◆","")),IF(MAX('制度詳細'!$H$40,M$128)&lt;=MIN(IF('制度詳細'!$I$40="",EOMONTH(M$128,0),'制度詳細'!$I$40),EOMONTH(M$128,0)),"■",IF(AND('制度詳細'!$J$40&lt;&gt;"",'制度詳細'!$J$40&gt;=M$128,'制度詳細'!$J$40&lt;=EOMONTH(M$128,0)),"◆","")))</x:f>
        <x:v>■</x:v>
      </x:c>
      <x:c r="N130" s="57" t="str">
        <x:f>IF('制度詳細'!$H$40="",IF('制度詳細'!$J$40="","",IF(AND('制度詳細'!$J$40&gt;=N$128,'制度詳細'!$J$40&lt;=EOMONTH(N$128,0)),"◆","")),IF(MAX('制度詳細'!$H$40,N$128)&lt;=MIN(IF('制度詳細'!$I$40="",EOMONTH(N$128,0),'制度詳細'!$I$40),EOMONTH(N$128,0)),"■",IF(AND('制度詳細'!$J$40&lt;&gt;"",'制度詳細'!$J$40&gt;=N$128,'制度詳細'!$J$40&lt;=EOMONTH(N$128,0)),"◆","")))</x:f>
        <x:v>■</x:v>
      </x:c>
      <x:c r="O130" s="57" t="str">
        <x:f>IF('制度詳細'!$H$40="",IF('制度詳細'!$J$40="","",IF(AND('制度詳細'!$J$40&gt;=O$128,'制度詳細'!$J$40&lt;=EOMONTH(O$128,0)),"◆","")),IF(MAX('制度詳細'!$H$40,O$128)&lt;=MIN(IF('制度詳細'!$I$40="",EOMONTH(O$128,0),'制度詳細'!$I$40),EOMONTH(O$128,0)),"■",IF(AND('制度詳細'!$J$40&lt;&gt;"",'制度詳細'!$J$40&gt;=O$128,'制度詳細'!$J$40&lt;=EOMONTH(O$128,0)),"◆","")))</x:f>
        <x:v>■</x:v>
      </x:c>
      <x:c r="P130" s="57" t="str">
        <x:f>IF('制度詳細'!$H$40="",IF('制度詳細'!$J$40="","",IF(AND('制度詳細'!$J$40&gt;=P$128,'制度詳細'!$J$40&lt;=EOMONTH(P$128,0)),"◆","")),IF(MAX('制度詳細'!$H$40,P$128)&lt;=MIN(IF('制度詳細'!$I$40="",EOMONTH(P$128,0),'制度詳細'!$I$40),EOMONTH(P$128,0)),"■",IF(AND('制度詳細'!$J$40&lt;&gt;"",'制度詳細'!$J$40&gt;=P$128,'制度詳細'!$J$40&lt;=EOMONTH(P$128,0)),"◆","")))</x:f>
        <x:v>■</x:v>
      </x:c>
      <x:c r="Q130" s="57" t="str">
        <x:f>IF('制度詳細'!$H$40="",IF('制度詳細'!$J$40="","",IF(AND('制度詳細'!$J$40&gt;=Q$128,'制度詳細'!$J$40&lt;=EOMONTH(Q$128,0)),"◆","")),IF(MAX('制度詳細'!$H$40,Q$128)&lt;=MIN(IF('制度詳細'!$I$40="",EOMONTH(Q$128,0),'制度詳細'!$I$40),EOMONTH(Q$128,0)),"■",IF(AND('制度詳細'!$J$40&lt;&gt;"",'制度詳細'!$J$40&gt;=Q$128,'制度詳細'!$J$40&lt;=EOMONTH(Q$128,0)),"◆","")))</x:f>
        <x:v>■</x:v>
      </x:c>
      <x:c r="R130" s="57" t="str">
        <x:f>IF('制度詳細'!$H$40="",IF('制度詳細'!$J$40="","",IF(AND('制度詳細'!$J$40&gt;=R$128,'制度詳細'!$J$40&lt;=EOMONTH(R$128,0)),"◆","")),IF(MAX('制度詳細'!$H$40,R$128)&lt;=MIN(IF('制度詳細'!$I$40="",EOMONTH(R$128,0),'制度詳細'!$I$40),EOMONTH(R$128,0)),"■",IF(AND('制度詳細'!$J$40&lt;&gt;"",'制度詳細'!$J$40&gt;=R$128,'制度詳細'!$J$40&lt;=EOMONTH(R$128,0)),"◆","")))</x:f>
        <x:v>■</x:v>
      </x:c>
      <x:c r="S130" s="57" t="str">
        <x:f>IF('制度詳細'!$H$40="",IF('制度詳細'!$J$40="","",IF(AND('制度詳細'!$J$40&gt;=S$128,'制度詳細'!$J$40&lt;=EOMONTH(S$128,0)),"◆","")),IF(MAX('制度詳細'!$H$40,S$128)&lt;=MIN(IF('制度詳細'!$I$40="",EOMONTH(S$128,0),'制度詳細'!$I$40),EOMONTH(S$128,0)),"■",IF(AND('制度詳細'!$J$40&lt;&gt;"",'制度詳細'!$J$40&gt;=S$128,'制度詳細'!$J$40&lt;=EOMONTH(S$128,0)),"◆","")))</x:f>
        <x:v>■</x:v>
      </x:c>
      <x:c r="T130" s="57" t="str">
        <x:f>IF('制度詳細'!$H$40="",IF('制度詳細'!$J$40="","",IF(AND('制度詳細'!$J$40&gt;=T$128,'制度詳細'!$J$40&lt;=EOMONTH(T$128,0)),"◆","")),IF(MAX('制度詳細'!$H$40,T$128)&lt;=MIN(IF('制度詳細'!$I$40="",EOMONTH(T$128,0),'制度詳細'!$I$40),EOMONTH(T$128,0)),"■",IF(AND('制度詳細'!$J$40&lt;&gt;"",'制度詳細'!$J$40&gt;=T$128,'制度詳細'!$J$40&lt;=EOMONTH(T$128,0)),"◆","")))</x:f>
        <x:v>■</x:v>
      </x:c>
      <x:c r="U130" s="57" t="str">
        <x:f>IF('制度詳細'!$H$40="",IF('制度詳細'!$J$40="","",IF(AND('制度詳細'!$J$40&gt;=U$128,'制度詳細'!$J$40&lt;=EOMONTH(U$128,0)),"◆","")),IF(MAX('制度詳細'!$H$40,U$128)&lt;=MIN(IF('制度詳細'!$I$40="",EOMONTH(U$128,0),'制度詳細'!$I$40),EOMONTH(U$128,0)),"■",IF(AND('制度詳細'!$J$40&lt;&gt;"",'制度詳細'!$J$40&gt;=U$128,'制度詳細'!$J$40&lt;=EOMONTH(U$128,0)),"◆","")))</x:f>
        <x:v>■</x:v>
      </x:c>
      <x:c r="V130" s="57" t="str">
        <x:f>IF('制度詳細'!$H$40="",IF('制度詳細'!$J$40="","",IF(AND('制度詳細'!$J$40&gt;=V$128,'制度詳細'!$J$40&lt;=EOMONTH(V$128,0)),"◆","")),IF(MAX('制度詳細'!$H$40,V$128)&lt;=MIN(IF('制度詳細'!$I$40="",EOMONTH(V$128,0),'制度詳細'!$I$40),EOMONTH(V$128,0)),"■",IF(AND('制度詳細'!$J$40&lt;&gt;"",'制度詳細'!$J$40&gt;=V$128,'制度詳細'!$J$40&lt;=EOMONTH(V$128,0)),"◆","")))</x:f>
        <x:v>■</x:v>
      </x:c>
      <x:c r="W130" s="57" t="str">
        <x:f>IF('制度詳細'!$H$40="",IF('制度詳細'!$J$40="","",IF(AND('制度詳細'!$J$40&gt;=W$128,'制度詳細'!$J$40&lt;=EOMONTH(W$128,0)),"◆","")),IF(MAX('制度詳細'!$H$40,W$128)&lt;=MIN(IF('制度詳細'!$I$40="",EOMONTH(W$128,0),'制度詳細'!$I$40),EOMONTH(W$128,0)),"■",IF(AND('制度詳細'!$J$40&lt;&gt;"",'制度詳細'!$J$40&gt;=W$128,'制度詳細'!$J$40&lt;=EOMONTH(W$128,0)),"◆","")))</x:f>
        <x:v>■</x:v>
      </x:c>
      <x:c r="X130" s="57" t="str">
        <x:f>IF('制度詳細'!$H$40="",IF('制度詳細'!$J$40="","",IF(AND('制度詳細'!$J$40&gt;=X$128,'制度詳細'!$J$40&lt;=EOMONTH(X$128,0)),"◆","")),IF(MAX('制度詳細'!$H$40,X$128)&lt;=MIN(IF('制度詳細'!$I$40="",EOMONTH(X$128,0),'制度詳細'!$I$40),EOMONTH(X$128,0)),"■",IF(AND('制度詳細'!$J$40&lt;&gt;"",'制度詳細'!$J$40&gt;=X$128,'制度詳細'!$J$40&lt;=EOMONTH(X$128,0)),"◆","")))</x:f>
        <x:v>■</x:v>
      </x:c>
      <x:c r="Y130" s="57" t="str">
        <x:f>IF('制度詳細'!$H$40="",IF('制度詳細'!$J$40="","",IF(AND('制度詳細'!$J$40&gt;=Y$128,'制度詳細'!$J$40&lt;=EOMONTH(Y$128,0)),"◆","")),IF(MAX('制度詳細'!$H$40,Y$128)&lt;=MIN(IF('制度詳細'!$I$40="",EOMONTH(Y$128,0),'制度詳細'!$I$40),EOMONTH(Y$128,0)),"■",IF(AND('制度詳細'!$J$40&lt;&gt;"",'制度詳細'!$J$40&gt;=Y$128,'制度詳細'!$J$40&lt;=EOMONTH(Y$128,0)),"◆","")))</x:f>
        <x:v>■</x:v>
      </x:c>
      <x:c r="Z130" s="57" t="str">
        <x:f>IF('制度詳細'!$H$40="",IF('制度詳細'!$J$40="","",IF(AND('制度詳細'!$J$40&gt;=Z$128,'制度詳細'!$J$40&lt;=EOMONTH(Z$128,0)),"◆","")),IF(MAX('制度詳細'!$H$40,Z$128)&lt;=MIN(IF('制度詳細'!$I$40="",EOMONTH(Z$128,0),'制度詳細'!$I$40),EOMONTH(Z$128,0)),"■",IF(AND('制度詳細'!$J$40&lt;&gt;"",'制度詳細'!$J$40&gt;=Z$128,'制度詳細'!$J$40&lt;=EOMONTH(Z$128,0)),"◆","")))</x:f>
        <x:v>■</x:v>
      </x:c>
      <x:c r="AA130" s="57" t="str">
        <x:f>IF('制度詳細'!$H$40="",IF('制度詳細'!$J$40="","",IF(AND('制度詳細'!$J$40&gt;=AA$128,'制度詳細'!$J$40&lt;=EOMONTH(AA$128,0)),"◆","")),IF(MAX('制度詳細'!$H$40,AA$128)&lt;=MIN(IF('制度詳細'!$I$40="",EOMONTH(AA$128,0),'制度詳細'!$I$40),EOMONTH(AA$128,0)),"■",IF(AND('制度詳細'!$J$40&lt;&gt;"",'制度詳細'!$J$40&gt;=AA$128,'制度詳細'!$J$40&lt;=EOMONTH(AA$128,0)),"◆","")))</x:f>
        <x:v>■</x:v>
      </x:c>
      <x:c r="AB130" s="57" t="str">
        <x:f>IF('制度詳細'!$H$40="",IF('制度詳細'!$J$40="","",IF(AND('制度詳細'!$J$40&gt;=AB$128,'制度詳細'!$J$40&lt;=EOMONTH(AB$128,0)),"◆","")),IF(MAX('制度詳細'!$H$40,AB$128)&lt;=MIN(IF('制度詳細'!$I$40="",EOMONTH(AB$128,0),'制度詳細'!$I$40),EOMONTH(AB$128,0)),"■",IF(AND('制度詳細'!$J$40&lt;&gt;"",'制度詳細'!$J$40&gt;=AB$128,'制度詳細'!$J$40&lt;=EOMONTH(AB$128,0)),"◆","")))</x:f>
        <x:v>■</x:v>
      </x:c>
      <x:c r="AC130" s="57" t="str">
        <x:f>IF('制度詳細'!$H$40="",IF('制度詳細'!$J$40="","",IF(AND('制度詳細'!$J$40&gt;=AC$128,'制度詳細'!$J$40&lt;=EOMONTH(AC$128,0)),"◆","")),IF(MAX('制度詳細'!$H$40,AC$128)&lt;=MIN(IF('制度詳細'!$I$40="",EOMONTH(AC$128,0),'制度詳細'!$I$40),EOMONTH(AC$128,0)),"■",IF(AND('制度詳細'!$J$40&lt;&gt;"",'制度詳細'!$J$40&gt;=AC$128,'制度詳細'!$J$40&lt;=EOMONTH(AC$128,0)),"◆","")))</x:f>
        <x:v>■</x:v>
      </x:c>
      <x:c r="AD130" s="57" t="str">
        <x:f>IF('制度詳細'!$H$40="",IF('制度詳細'!$J$40="","",IF(AND('制度詳細'!$J$40&gt;=AD$128,'制度詳細'!$J$40&lt;=EOMONTH(AD$128,0)),"◆","")),IF(MAX('制度詳細'!$H$40,AD$128)&lt;=MIN(IF('制度詳細'!$I$40="",EOMONTH(AD$128,0),'制度詳細'!$I$40),EOMONTH(AD$128,0)),"■",IF(AND('制度詳細'!$J$40&lt;&gt;"",'制度詳細'!$J$40&gt;=AD$128,'制度詳細'!$J$40&lt;=EOMONTH(AD$128,0)),"◆","")))</x:f>
        <x:v>■</x:v>
      </x:c>
      <x:c r="AE130" s="57" t="str">
        <x:f>IF('制度詳細'!$H$40="",IF('制度詳細'!$J$40="","",IF(AND('制度詳細'!$J$40&gt;=AE$128,'制度詳細'!$J$40&lt;=EOMONTH(AE$128,0)),"◆","")),IF(MAX('制度詳細'!$H$40,AE$128)&lt;=MIN(IF('制度詳細'!$I$40="",EOMONTH(AE$128,0),'制度詳細'!$I$40),EOMONTH(AE$128,0)),"■",IF(AND('制度詳細'!$J$40&lt;&gt;"",'制度詳細'!$J$40&gt;=AE$128,'制度詳細'!$J$40&lt;=EOMONTH(AE$128,0)),"◆","")))</x:f>
        <x:v>■</x:v>
      </x:c>
      <x:c r="AF130" s="57" t="str">
        <x:f>IF('制度詳細'!$H$40="",IF('制度詳細'!$J$40="","",IF(AND('制度詳細'!$J$40&gt;=AF$128,'制度詳細'!$J$40&lt;=EOMONTH(AF$128,0)),"◆","")),IF(MAX('制度詳細'!$H$40,AF$128)&lt;=MIN(IF('制度詳細'!$I$40="",EOMONTH(AF$128,0),'制度詳細'!$I$40),EOMONTH(AF$128,0)),"■",IF(AND('制度詳細'!$J$40&lt;&gt;"",'制度詳細'!$J$40&gt;=AF$128,'制度詳細'!$J$40&lt;=EOMONTH(AF$128,0)),"◆","")))</x:f>
        <x:v>■</x:v>
      </x:c>
      <x:c r="AG130" s="57" t="str">
        <x:f>IF('制度詳細'!$H$40="",IF('制度詳細'!$J$40="","",IF(AND('制度詳細'!$J$40&gt;=AG$128,'制度詳細'!$J$40&lt;=EOMONTH(AG$128,0)),"◆","")),IF(MAX('制度詳細'!$H$40,AG$128)&lt;=MIN(IF('制度詳細'!$I$40="",EOMONTH(AG$128,0),'制度詳細'!$I$40),EOMONTH(AG$128,0)),"■",IF(AND('制度詳細'!$J$40&lt;&gt;"",'制度詳細'!$J$40&gt;=AG$128,'制度詳細'!$J$40&lt;=EOMONTH(AG$128,0)),"◆","")))</x:f>
        <x:v>■</x:v>
      </x:c>
      <x:c r="AH130" s="57" t="str">
        <x:f>IF('制度詳細'!$H$40="",IF('制度詳細'!$J$40="","",IF(AND('制度詳細'!$J$40&gt;=AH$128,'制度詳細'!$J$40&lt;=EOMONTH(AH$128,0)),"◆","")),IF(MAX('制度詳細'!$H$40,AH$128)&lt;=MIN(IF('制度詳細'!$I$40="",EOMONTH(AH$128,0),'制度詳細'!$I$40),EOMONTH(AH$128,0)),"■",IF(AND('制度詳細'!$J$40&lt;&gt;"",'制度詳細'!$J$40&gt;=AH$128,'制度詳細'!$J$40&lt;=EOMONTH(AH$128,0)),"◆","")))</x:f>
        <x:v>■</x:v>
      </x:c>
      <x:c r="AI130" s="57" t="str">
        <x:f>IF('制度詳細'!$H$40="",IF('制度詳細'!$J$40="","",IF(AND('制度詳細'!$J$40&gt;=AI$128,'制度詳細'!$J$40&lt;=EOMONTH(AI$128,0)),"◆","")),IF(MAX('制度詳細'!$H$40,AI$128)&lt;=MIN(IF('制度詳細'!$I$40="",EOMONTH(AI$128,0),'制度詳細'!$I$40),EOMONTH(AI$128,0)),"■",IF(AND('制度詳細'!$J$40&lt;&gt;"",'制度詳細'!$J$40&gt;=AI$128,'制度詳細'!$J$40&lt;=EOMONTH(AI$128,0)),"◆","")))</x:f>
        <x:v>■</x:v>
      </x:c>
      <x:c r="AJ130" s="57" t="str">
        <x:f>IF('制度詳細'!$H$40="",IF('制度詳細'!$J$40="","",IF(AND('制度詳細'!$J$40&gt;=AJ$128,'制度詳細'!$J$40&lt;=EOMONTH(AJ$128,0)),"◆","")),IF(MAX('制度詳細'!$H$40,AJ$128)&lt;=MIN(IF('制度詳細'!$I$40="",EOMONTH(AJ$128,0),'制度詳細'!$I$40),EOMONTH(AJ$128,0)),"■",IF(AND('制度詳細'!$J$40&lt;&gt;"",'制度詳細'!$J$40&gt;=AJ$128,'制度詳細'!$J$40&lt;=EOMONTH(AJ$128,0)),"◆","")))</x:f>
        <x:v>■</x:v>
      </x:c>
      <x:c r="AK130" s="57" t="str">
        <x:f>IF('制度詳細'!$H$40="",IF('制度詳細'!$J$40="","",IF(AND('制度詳細'!$J$40&gt;=AK$128,'制度詳細'!$J$40&lt;=EOMONTH(AK$128,0)),"◆","")),IF(MAX('制度詳細'!$H$40,AK$128)&lt;=MIN(IF('制度詳細'!$I$40="",EOMONTH(AK$128,0),'制度詳細'!$I$40),EOMONTH(AK$128,0)),"■",IF(AND('制度詳細'!$J$40&lt;&gt;"",'制度詳細'!$J$40&gt;=AK$128,'制度詳細'!$J$40&lt;=EOMONTH(AK$128,0)),"◆","")))</x:f>
        <x:v>■</x:v>
      </x:c>
      <x:c r="AL130" s="57" t="str">
        <x:f>IF('制度詳細'!$H$40="",IF('制度詳細'!$J$40="","",IF(AND('制度詳細'!$J$40&gt;=AL$128,'制度詳細'!$J$40&lt;=EOMONTH(AL$128,0)),"◆","")),IF(MAX('制度詳細'!$H$40,AL$128)&lt;=MIN(IF('制度詳細'!$I$40="",EOMONTH(AL$128,0),'制度詳細'!$I$40),EOMONTH(AL$128,0)),"■",IF(AND('制度詳細'!$J$40&lt;&gt;"",'制度詳細'!$J$40&gt;=AL$128,'制度詳細'!$J$40&lt;=EOMONTH(AL$128,0)),"◆","")))</x:f>
        <x:v>■</x:v>
      </x:c>
      <x:c r="AM130" s="57" t="str">
        <x:f>IF('制度詳細'!$H$40="",IF('制度詳細'!$J$40="","",IF(AND('制度詳細'!$J$40&gt;=AM$128,'制度詳細'!$J$40&lt;=EOMONTH(AM$128,0)),"◆","")),IF(MAX('制度詳細'!$H$40,AM$128)&lt;=MIN(IF('制度詳細'!$I$40="",EOMONTH(AM$128,0),'制度詳細'!$I$40),EOMONTH(AM$128,0)),"■",IF(AND('制度詳細'!$J$40&lt;&gt;"",'制度詳細'!$J$40&gt;=AM$128,'制度詳細'!$J$40&lt;=EOMONTH(AM$128,0)),"◆","")))</x:f>
        <x:v>■</x:v>
      </x:c>
      <x:c r="AN130" s="57" t="str">
        <x:f>IF('制度詳細'!$H$40="",IF('制度詳細'!$J$40="","",IF(AND('制度詳細'!$J$40&gt;=AN$128,'制度詳細'!$J$40&lt;=EOMONTH(AN$128,0)),"◆","")),IF(MAX('制度詳細'!$H$40,AN$128)&lt;=MIN(IF('制度詳細'!$I$40="",EOMONTH(AN$128,0),'制度詳細'!$I$40),EOMONTH(AN$128,0)),"■",IF(AND('制度詳細'!$J$40&lt;&gt;"",'制度詳細'!$J$40&gt;=AN$128,'制度詳細'!$J$40&lt;=EOMONTH(AN$128,0)),"◆","")))</x:f>
        <x:v>■</x:v>
      </x:c>
      <x:c r="AO130" s="57" t="str">
        <x:f>IF('制度詳細'!$H$40="",IF('制度詳細'!$J$40="","",IF(AND('制度詳細'!$J$40&gt;=AO$128,'制度詳細'!$J$40&lt;=EOMONTH(AO$128,0)),"◆","")),IF(MAX('制度詳細'!$H$40,AO$128)&lt;=MIN(IF('制度詳細'!$I$40="",EOMONTH(AO$128,0),'制度詳細'!$I$40),EOMONTH(AO$128,0)),"■",IF(AND('制度詳細'!$J$40&lt;&gt;"",'制度詳細'!$J$40&gt;=AO$128,'制度詳細'!$J$40&lt;=EOMONTH(AO$128,0)),"◆","")))</x:f>
        <x:v>■</x:v>
      </x:c>
      <x:c r="AP130" s="57" t="str">
        <x:f>IF('制度詳細'!$H$40="",IF('制度詳細'!$J$40="","",IF(AND('制度詳細'!$J$40&gt;=AP$128,'制度詳細'!$J$40&lt;=EOMONTH(AP$128,0)),"◆","")),IF(MAX('制度詳細'!$H$40,AP$128)&lt;=MIN(IF('制度詳細'!$I$40="",EOMONTH(AP$128,0),'制度詳細'!$I$40),EOMONTH(AP$128,0)),"■",IF(AND('制度詳細'!$J$40&lt;&gt;"",'制度詳細'!$J$40&gt;=AP$128,'制度詳細'!$J$40&lt;=EOMONTH(AP$128,0)),"◆","")))</x:f>
        <x:v>■</x:v>
      </x:c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</x:row>
    <x:row r="131" ht="30" customHeight="1">
      <x:c r="A131" s="54" t="str">
        <x:v>PH03 EO12：対象BEV輸入関税0</x:v>
      </x:c>
      <x:c r="B131" s="54"/>
      <x:c r="C131" s="54"/>
      <x:c r="D131" s="54"/>
      <x:c r="E131" s="54"/>
      <x:c r="F131" s="54"/>
      <x:c r="G131" s="57" t="str">
        <x:f>IF('制度詳細'!$H$41="",IF('制度詳細'!$J$41="","",IF(AND('制度詳細'!$J$41&gt;=G$128,'制度詳細'!$J$41&lt;=EOMONTH(G$128,0)),"◆","")),IF(MAX('制度詳細'!$H$41,G$128)&lt;=MIN(IF('制度詳細'!$I$41="",EOMONTH(G$128,0),'制度詳細'!$I$41),EOMONTH(G$128,0)),"■",IF(AND('制度詳細'!$J$41&lt;&gt;"",'制度詳細'!$J$41&gt;=G$128,'制度詳細'!$J$41&lt;=EOMONTH(G$128,0)),"◆","")))</x:f>
        <x:v>■</x:v>
      </x:c>
      <x:c r="H131" s="57" t="str">
        <x:f>IF('制度詳細'!$H$41="",IF('制度詳細'!$J$41="","",IF(AND('制度詳細'!$J$41&gt;=H$128,'制度詳細'!$J$41&lt;=EOMONTH(H$128,0)),"◆","")),IF(MAX('制度詳細'!$H$41,H$128)&lt;=MIN(IF('制度詳細'!$I$41="",EOMONTH(H$128,0),'制度詳細'!$I$41),EOMONTH(H$128,0)),"■",IF(AND('制度詳細'!$J$41&lt;&gt;"",'制度詳細'!$J$41&gt;=H$128,'制度詳細'!$J$41&lt;=EOMONTH(H$128,0)),"◆","")))</x:f>
        <x:v>■</x:v>
      </x:c>
      <x:c r="I131" s="57" t="str">
        <x:f>IF('制度詳細'!$H$41="",IF('制度詳細'!$J$41="","",IF(AND('制度詳細'!$J$41&gt;=I$128,'制度詳細'!$J$41&lt;=EOMONTH(I$128,0)),"◆","")),IF(MAX('制度詳細'!$H$41,I$128)&lt;=MIN(IF('制度詳細'!$I$41="",EOMONTH(I$128,0),'制度詳細'!$I$41),EOMONTH(I$128,0)),"■",IF(AND('制度詳細'!$J$41&lt;&gt;"",'制度詳細'!$J$41&gt;=I$128,'制度詳細'!$J$41&lt;=EOMONTH(I$128,0)),"◆","")))</x:f>
        <x:v>■</x:v>
      </x:c>
      <x:c r="J131" s="57" t="str">
        <x:f>IF('制度詳細'!$H$41="",IF('制度詳細'!$J$41="","",IF(AND('制度詳細'!$J$41&gt;=J$128,'制度詳細'!$J$41&lt;=EOMONTH(J$128,0)),"◆","")),IF(MAX('制度詳細'!$H$41,J$128)&lt;=MIN(IF('制度詳細'!$I$41="",EOMONTH(J$128,0),'制度詳細'!$I$41),EOMONTH(J$128,0)),"■",IF(AND('制度詳細'!$J$41&lt;&gt;"",'制度詳細'!$J$41&gt;=J$128,'制度詳細'!$J$41&lt;=EOMONTH(J$128,0)),"◆","")))</x:f>
        <x:v>■</x:v>
      </x:c>
      <x:c r="K131" s="57" t="str">
        <x:f>IF('制度詳細'!$H$41="",IF('制度詳細'!$J$41="","",IF(AND('制度詳細'!$J$41&gt;=K$128,'制度詳細'!$J$41&lt;=EOMONTH(K$128,0)),"◆","")),IF(MAX('制度詳細'!$H$41,K$128)&lt;=MIN(IF('制度詳細'!$I$41="",EOMONTH(K$128,0),'制度詳細'!$I$41),EOMONTH(K$128,0)),"■",IF(AND('制度詳細'!$J$41&lt;&gt;"",'制度詳細'!$J$41&gt;=K$128,'制度詳細'!$J$41&lt;=EOMONTH(K$128,0)),"◆","")))</x:f>
        <x:v>■</x:v>
      </x:c>
      <x:c r="L131" s="57" t="str">
        <x:f>IF('制度詳細'!$H$41="",IF('制度詳細'!$J$41="","",IF(AND('制度詳細'!$J$41&gt;=L$128,'制度詳細'!$J$41&lt;=EOMONTH(L$128,0)),"◆","")),IF(MAX('制度詳細'!$H$41,L$128)&lt;=MIN(IF('制度詳細'!$I$41="",EOMONTH(L$128,0),'制度詳細'!$I$41),EOMONTH(L$128,0)),"■",IF(AND('制度詳細'!$J$41&lt;&gt;"",'制度詳細'!$J$41&gt;=L$128,'制度詳細'!$J$41&lt;=EOMONTH(L$128,0)),"◆","")))</x:f>
        <x:v>■</x:v>
      </x:c>
      <x:c r="M131" s="57" t="str">
        <x:f>IF('制度詳細'!$H$41="",IF('制度詳細'!$J$41="","",IF(AND('制度詳細'!$J$41&gt;=M$128,'制度詳細'!$J$41&lt;=EOMONTH(M$128,0)),"◆","")),IF(MAX('制度詳細'!$H$41,M$128)&lt;=MIN(IF('制度詳細'!$I$41="",EOMONTH(M$128,0),'制度詳細'!$I$41),EOMONTH(M$128,0)),"■",IF(AND('制度詳細'!$J$41&lt;&gt;"",'制度詳細'!$J$41&gt;=M$128,'制度詳細'!$J$41&lt;=EOMONTH(M$128,0)),"◆","")))</x:f>
      </x:c>
      <x:c r="N131" s="57" t="str">
        <x:f>IF('制度詳細'!$H$41="",IF('制度詳細'!$J$41="","",IF(AND('制度詳細'!$J$41&gt;=N$128,'制度詳細'!$J$41&lt;=EOMONTH(N$128,0)),"◆","")),IF(MAX('制度詳細'!$H$41,N$128)&lt;=MIN(IF('制度詳細'!$I$41="",EOMONTH(N$128,0),'制度詳細'!$I$41),EOMONTH(N$128,0)),"■",IF(AND('制度詳細'!$J$41&lt;&gt;"",'制度詳細'!$J$41&gt;=N$128,'制度詳細'!$J$41&lt;=EOMONTH(N$128,0)),"◆","")))</x:f>
      </x:c>
      <x:c r="O131" s="57" t="str">
        <x:f>IF('制度詳細'!$H$41="",IF('制度詳細'!$J$41="","",IF(AND('制度詳細'!$J$41&gt;=O$128,'制度詳細'!$J$41&lt;=EOMONTH(O$128,0)),"◆","")),IF(MAX('制度詳細'!$H$41,O$128)&lt;=MIN(IF('制度詳細'!$I$41="",EOMONTH(O$128,0),'制度詳細'!$I$41),EOMONTH(O$128,0)),"■",IF(AND('制度詳細'!$J$41&lt;&gt;"",'制度詳細'!$J$41&gt;=O$128,'制度詳細'!$J$41&lt;=EOMONTH(O$128,0)),"◆","")))</x:f>
      </x:c>
      <x:c r="P131" s="57" t="str">
        <x:f>IF('制度詳細'!$H$41="",IF('制度詳細'!$J$41="","",IF(AND('制度詳細'!$J$41&gt;=P$128,'制度詳細'!$J$41&lt;=EOMONTH(P$128,0)),"◆","")),IF(MAX('制度詳細'!$H$41,P$128)&lt;=MIN(IF('制度詳細'!$I$41="",EOMONTH(P$128,0),'制度詳細'!$I$41),EOMONTH(P$128,0)),"■",IF(AND('制度詳細'!$J$41&lt;&gt;"",'制度詳細'!$J$41&gt;=P$128,'制度詳細'!$J$41&lt;=EOMONTH(P$128,0)),"◆","")))</x:f>
      </x:c>
      <x:c r="Q131" s="57" t="str">
        <x:f>IF('制度詳細'!$H$41="",IF('制度詳細'!$J$41="","",IF(AND('制度詳細'!$J$41&gt;=Q$128,'制度詳細'!$J$41&lt;=EOMONTH(Q$128,0)),"◆","")),IF(MAX('制度詳細'!$H$41,Q$128)&lt;=MIN(IF('制度詳細'!$I$41="",EOMONTH(Q$128,0),'制度詳細'!$I$41),EOMONTH(Q$128,0)),"■",IF(AND('制度詳細'!$J$41&lt;&gt;"",'制度詳細'!$J$41&gt;=Q$128,'制度詳細'!$J$41&lt;=EOMONTH(Q$128,0)),"◆","")))</x:f>
      </x:c>
      <x:c r="R131" s="57" t="str">
        <x:f>IF('制度詳細'!$H$41="",IF('制度詳細'!$J$41="","",IF(AND('制度詳細'!$J$41&gt;=R$128,'制度詳細'!$J$41&lt;=EOMONTH(R$128,0)),"◆","")),IF(MAX('制度詳細'!$H$41,R$128)&lt;=MIN(IF('制度詳細'!$I$41="",EOMONTH(R$128,0),'制度詳細'!$I$41),EOMONTH(R$128,0)),"■",IF(AND('制度詳細'!$J$41&lt;&gt;"",'制度詳細'!$J$41&gt;=R$128,'制度詳細'!$J$41&lt;=EOMONTH(R$128,0)),"◆","")))</x:f>
      </x:c>
      <x:c r="S131" s="57" t="str">
        <x:f>IF('制度詳細'!$H$41="",IF('制度詳細'!$J$41="","",IF(AND('制度詳細'!$J$41&gt;=S$128,'制度詳細'!$J$41&lt;=EOMONTH(S$128,0)),"◆","")),IF(MAX('制度詳細'!$H$41,S$128)&lt;=MIN(IF('制度詳細'!$I$41="",EOMONTH(S$128,0),'制度詳細'!$I$41),EOMONTH(S$128,0)),"■",IF(AND('制度詳細'!$J$41&lt;&gt;"",'制度詳細'!$J$41&gt;=S$128,'制度詳細'!$J$41&lt;=EOMONTH(S$128,0)),"◆","")))</x:f>
      </x:c>
      <x:c r="T131" s="57" t="str">
        <x:f>IF('制度詳細'!$H$41="",IF('制度詳細'!$J$41="","",IF(AND('制度詳細'!$J$41&gt;=T$128,'制度詳細'!$J$41&lt;=EOMONTH(T$128,0)),"◆","")),IF(MAX('制度詳細'!$H$41,T$128)&lt;=MIN(IF('制度詳細'!$I$41="",EOMONTH(T$128,0),'制度詳細'!$I$41),EOMONTH(T$128,0)),"■",IF(AND('制度詳細'!$J$41&lt;&gt;"",'制度詳細'!$J$41&gt;=T$128,'制度詳細'!$J$41&lt;=EOMONTH(T$128,0)),"◆","")))</x:f>
      </x:c>
      <x:c r="U131" s="57" t="str">
        <x:f>IF('制度詳細'!$H$41="",IF('制度詳細'!$J$41="","",IF(AND('制度詳細'!$J$41&gt;=U$128,'制度詳細'!$J$41&lt;=EOMONTH(U$128,0)),"◆","")),IF(MAX('制度詳細'!$H$41,U$128)&lt;=MIN(IF('制度詳細'!$I$41="",EOMONTH(U$128,0),'制度詳細'!$I$41),EOMONTH(U$128,0)),"■",IF(AND('制度詳細'!$J$41&lt;&gt;"",'制度詳細'!$J$41&gt;=U$128,'制度詳細'!$J$41&lt;=EOMONTH(U$128,0)),"◆","")))</x:f>
      </x:c>
      <x:c r="V131" s="57" t="str">
        <x:f>IF('制度詳細'!$H$41="",IF('制度詳細'!$J$41="","",IF(AND('制度詳細'!$J$41&gt;=V$128,'制度詳細'!$J$41&lt;=EOMONTH(V$128,0)),"◆","")),IF(MAX('制度詳細'!$H$41,V$128)&lt;=MIN(IF('制度詳細'!$I$41="",EOMONTH(V$128,0),'制度詳細'!$I$41),EOMONTH(V$128,0)),"■",IF(AND('制度詳細'!$J$41&lt;&gt;"",'制度詳細'!$J$41&gt;=V$128,'制度詳細'!$J$41&lt;=EOMONTH(V$128,0)),"◆","")))</x:f>
      </x:c>
      <x:c r="W131" s="57" t="str">
        <x:f>IF('制度詳細'!$H$41="",IF('制度詳細'!$J$41="","",IF(AND('制度詳細'!$J$41&gt;=W$128,'制度詳細'!$J$41&lt;=EOMONTH(W$128,0)),"◆","")),IF(MAX('制度詳細'!$H$41,W$128)&lt;=MIN(IF('制度詳細'!$I$41="",EOMONTH(W$128,0),'制度詳細'!$I$41),EOMONTH(W$128,0)),"■",IF(AND('制度詳細'!$J$41&lt;&gt;"",'制度詳細'!$J$41&gt;=W$128,'制度詳細'!$J$41&lt;=EOMONTH(W$128,0)),"◆","")))</x:f>
      </x:c>
      <x:c r="X131" s="57" t="str">
        <x:f>IF('制度詳細'!$H$41="",IF('制度詳細'!$J$41="","",IF(AND('制度詳細'!$J$41&gt;=X$128,'制度詳細'!$J$41&lt;=EOMONTH(X$128,0)),"◆","")),IF(MAX('制度詳細'!$H$41,X$128)&lt;=MIN(IF('制度詳細'!$I$41="",EOMONTH(X$128,0),'制度詳細'!$I$41),EOMONTH(X$128,0)),"■",IF(AND('制度詳細'!$J$41&lt;&gt;"",'制度詳細'!$J$41&gt;=X$128,'制度詳細'!$J$41&lt;=EOMONTH(X$128,0)),"◆","")))</x:f>
      </x:c>
      <x:c r="Y131" s="57" t="str">
        <x:f>IF('制度詳細'!$H$41="",IF('制度詳細'!$J$41="","",IF(AND('制度詳細'!$J$41&gt;=Y$128,'制度詳細'!$J$41&lt;=EOMONTH(Y$128,0)),"◆","")),IF(MAX('制度詳細'!$H$41,Y$128)&lt;=MIN(IF('制度詳細'!$I$41="",EOMONTH(Y$128,0),'制度詳細'!$I$41),EOMONTH(Y$128,0)),"■",IF(AND('制度詳細'!$J$41&lt;&gt;"",'制度詳細'!$J$41&gt;=Y$128,'制度詳細'!$J$41&lt;=EOMONTH(Y$128,0)),"◆","")))</x:f>
      </x:c>
      <x:c r="Z131" s="57" t="str">
        <x:f>IF('制度詳細'!$H$41="",IF('制度詳細'!$J$41="","",IF(AND('制度詳細'!$J$41&gt;=Z$128,'制度詳細'!$J$41&lt;=EOMONTH(Z$128,0)),"◆","")),IF(MAX('制度詳細'!$H$41,Z$128)&lt;=MIN(IF('制度詳細'!$I$41="",EOMONTH(Z$128,0),'制度詳細'!$I$41),EOMONTH(Z$128,0)),"■",IF(AND('制度詳細'!$J$41&lt;&gt;"",'制度詳細'!$J$41&gt;=Z$128,'制度詳細'!$J$41&lt;=EOMONTH(Z$128,0)),"◆","")))</x:f>
      </x:c>
      <x:c r="AA131" s="57" t="str">
        <x:f>IF('制度詳細'!$H$41="",IF('制度詳細'!$J$41="","",IF(AND('制度詳細'!$J$41&gt;=AA$128,'制度詳細'!$J$41&lt;=EOMONTH(AA$128,0)),"◆","")),IF(MAX('制度詳細'!$H$41,AA$128)&lt;=MIN(IF('制度詳細'!$I$41="",EOMONTH(AA$128,0),'制度詳細'!$I$41),EOMONTH(AA$128,0)),"■",IF(AND('制度詳細'!$J$41&lt;&gt;"",'制度詳細'!$J$41&gt;=AA$128,'制度詳細'!$J$41&lt;=EOMONTH(AA$128,0)),"◆","")))</x:f>
      </x:c>
      <x:c r="AB131" s="57" t="str">
        <x:f>IF('制度詳細'!$H$41="",IF('制度詳細'!$J$41="","",IF(AND('制度詳細'!$J$41&gt;=AB$128,'制度詳細'!$J$41&lt;=EOMONTH(AB$128,0)),"◆","")),IF(MAX('制度詳細'!$H$41,AB$128)&lt;=MIN(IF('制度詳細'!$I$41="",EOMONTH(AB$128,0),'制度詳細'!$I$41),EOMONTH(AB$128,0)),"■",IF(AND('制度詳細'!$J$41&lt;&gt;"",'制度詳細'!$J$41&gt;=AB$128,'制度詳細'!$J$41&lt;=EOMONTH(AB$128,0)),"◆","")))</x:f>
      </x:c>
      <x:c r="AC131" s="57" t="str">
        <x:f>IF('制度詳細'!$H$41="",IF('制度詳細'!$J$41="","",IF(AND('制度詳細'!$J$41&gt;=AC$128,'制度詳細'!$J$41&lt;=EOMONTH(AC$128,0)),"◆","")),IF(MAX('制度詳細'!$H$41,AC$128)&lt;=MIN(IF('制度詳細'!$I$41="",EOMONTH(AC$128,0),'制度詳細'!$I$41),EOMONTH(AC$128,0)),"■",IF(AND('制度詳細'!$J$41&lt;&gt;"",'制度詳細'!$J$41&gt;=AC$128,'制度詳細'!$J$41&lt;=EOMONTH(AC$128,0)),"◆","")))</x:f>
      </x:c>
      <x:c r="AD131" s="57" t="str">
        <x:f>IF('制度詳細'!$H$41="",IF('制度詳細'!$J$41="","",IF(AND('制度詳細'!$J$41&gt;=AD$128,'制度詳細'!$J$41&lt;=EOMONTH(AD$128,0)),"◆","")),IF(MAX('制度詳細'!$H$41,AD$128)&lt;=MIN(IF('制度詳細'!$I$41="",EOMONTH(AD$128,0),'制度詳細'!$I$41),EOMONTH(AD$128,0)),"■",IF(AND('制度詳細'!$J$41&lt;&gt;"",'制度詳細'!$J$41&gt;=AD$128,'制度詳細'!$J$41&lt;=EOMONTH(AD$128,0)),"◆","")))</x:f>
      </x:c>
      <x:c r="AE131" s="57" t="str">
        <x:f>IF('制度詳細'!$H$41="",IF('制度詳細'!$J$41="","",IF(AND('制度詳細'!$J$41&gt;=AE$128,'制度詳細'!$J$41&lt;=EOMONTH(AE$128,0)),"◆","")),IF(MAX('制度詳細'!$H$41,AE$128)&lt;=MIN(IF('制度詳細'!$I$41="",EOMONTH(AE$128,0),'制度詳細'!$I$41),EOMONTH(AE$128,0)),"■",IF(AND('制度詳細'!$J$41&lt;&gt;"",'制度詳細'!$J$41&gt;=AE$128,'制度詳細'!$J$41&lt;=EOMONTH(AE$128,0)),"◆","")))</x:f>
      </x:c>
      <x:c r="AF131" s="57" t="str">
        <x:f>IF('制度詳細'!$H$41="",IF('制度詳細'!$J$41="","",IF(AND('制度詳細'!$J$41&gt;=AF$128,'制度詳細'!$J$41&lt;=EOMONTH(AF$128,0)),"◆","")),IF(MAX('制度詳細'!$H$41,AF$128)&lt;=MIN(IF('制度詳細'!$I$41="",EOMONTH(AF$128,0),'制度詳細'!$I$41),EOMONTH(AF$128,0)),"■",IF(AND('制度詳細'!$J$41&lt;&gt;"",'制度詳細'!$J$41&gt;=AF$128,'制度詳細'!$J$41&lt;=EOMONTH(AF$128,0)),"◆","")))</x:f>
      </x:c>
      <x:c r="AG131" s="57" t="str">
        <x:f>IF('制度詳細'!$H$41="",IF('制度詳細'!$J$41="","",IF(AND('制度詳細'!$J$41&gt;=AG$128,'制度詳細'!$J$41&lt;=EOMONTH(AG$128,0)),"◆","")),IF(MAX('制度詳細'!$H$41,AG$128)&lt;=MIN(IF('制度詳細'!$I$41="",EOMONTH(AG$128,0),'制度詳細'!$I$41),EOMONTH(AG$128,0)),"■",IF(AND('制度詳細'!$J$41&lt;&gt;"",'制度詳細'!$J$41&gt;=AG$128,'制度詳細'!$J$41&lt;=EOMONTH(AG$128,0)),"◆","")))</x:f>
      </x:c>
      <x:c r="AH131" s="57" t="str">
        <x:f>IF('制度詳細'!$H$41="",IF('制度詳細'!$J$41="","",IF(AND('制度詳細'!$J$41&gt;=AH$128,'制度詳細'!$J$41&lt;=EOMONTH(AH$128,0)),"◆","")),IF(MAX('制度詳細'!$H$41,AH$128)&lt;=MIN(IF('制度詳細'!$I$41="",EOMONTH(AH$128,0),'制度詳細'!$I$41),EOMONTH(AH$128,0)),"■",IF(AND('制度詳細'!$J$41&lt;&gt;"",'制度詳細'!$J$41&gt;=AH$128,'制度詳細'!$J$41&lt;=EOMONTH(AH$128,0)),"◆","")))</x:f>
      </x:c>
      <x:c r="AI131" s="57" t="str">
        <x:f>IF('制度詳細'!$H$41="",IF('制度詳細'!$J$41="","",IF(AND('制度詳細'!$J$41&gt;=AI$128,'制度詳細'!$J$41&lt;=EOMONTH(AI$128,0)),"◆","")),IF(MAX('制度詳細'!$H$41,AI$128)&lt;=MIN(IF('制度詳細'!$I$41="",EOMONTH(AI$128,0),'制度詳細'!$I$41),EOMONTH(AI$128,0)),"■",IF(AND('制度詳細'!$J$41&lt;&gt;"",'制度詳細'!$J$41&gt;=AI$128,'制度詳細'!$J$41&lt;=EOMONTH(AI$128,0)),"◆","")))</x:f>
      </x:c>
      <x:c r="AJ131" s="57" t="str">
        <x:f>IF('制度詳細'!$H$41="",IF('制度詳細'!$J$41="","",IF(AND('制度詳細'!$J$41&gt;=AJ$128,'制度詳細'!$J$41&lt;=EOMONTH(AJ$128,0)),"◆","")),IF(MAX('制度詳細'!$H$41,AJ$128)&lt;=MIN(IF('制度詳細'!$I$41="",EOMONTH(AJ$128,0),'制度詳細'!$I$41),EOMONTH(AJ$128,0)),"■",IF(AND('制度詳細'!$J$41&lt;&gt;"",'制度詳細'!$J$41&gt;=AJ$128,'制度詳細'!$J$41&lt;=EOMONTH(AJ$128,0)),"◆","")))</x:f>
      </x:c>
      <x:c r="AK131" s="57" t="str">
        <x:f>IF('制度詳細'!$H$41="",IF('制度詳細'!$J$41="","",IF(AND('制度詳細'!$J$41&gt;=AK$128,'制度詳細'!$J$41&lt;=EOMONTH(AK$128,0)),"◆","")),IF(MAX('制度詳細'!$H$41,AK$128)&lt;=MIN(IF('制度詳細'!$I$41="",EOMONTH(AK$128,0),'制度詳細'!$I$41),EOMONTH(AK$128,0)),"■",IF(AND('制度詳細'!$J$41&lt;&gt;"",'制度詳細'!$J$41&gt;=AK$128,'制度詳細'!$J$41&lt;=EOMONTH(AK$128,0)),"◆","")))</x:f>
      </x:c>
      <x:c r="AL131" s="57" t="str">
        <x:f>IF('制度詳細'!$H$41="",IF('制度詳細'!$J$41="","",IF(AND('制度詳細'!$J$41&gt;=AL$128,'制度詳細'!$J$41&lt;=EOMONTH(AL$128,0)),"◆","")),IF(MAX('制度詳細'!$H$41,AL$128)&lt;=MIN(IF('制度詳細'!$I$41="",EOMONTH(AL$128,0),'制度詳細'!$I$41),EOMONTH(AL$128,0)),"■",IF(AND('制度詳細'!$J$41&lt;&gt;"",'制度詳細'!$J$41&gt;=AL$128,'制度詳細'!$J$41&lt;=EOMONTH(AL$128,0)),"◆","")))</x:f>
      </x:c>
      <x:c r="AM131" s="57" t="str">
        <x:f>IF('制度詳細'!$H$41="",IF('制度詳細'!$J$41="","",IF(AND('制度詳細'!$J$41&gt;=AM$128,'制度詳細'!$J$41&lt;=EOMONTH(AM$128,0)),"◆","")),IF(MAX('制度詳細'!$H$41,AM$128)&lt;=MIN(IF('制度詳細'!$I$41="",EOMONTH(AM$128,0),'制度詳細'!$I$41),EOMONTH(AM$128,0)),"■",IF(AND('制度詳細'!$J$41&lt;&gt;"",'制度詳細'!$J$41&gt;=AM$128,'制度詳細'!$J$41&lt;=EOMONTH(AM$128,0)),"◆","")))</x:f>
      </x:c>
      <x:c r="AN131" s="57" t="str">
        <x:f>IF('制度詳細'!$H$41="",IF('制度詳細'!$J$41="","",IF(AND('制度詳細'!$J$41&gt;=AN$128,'制度詳細'!$J$41&lt;=EOMONTH(AN$128,0)),"◆","")),IF(MAX('制度詳細'!$H$41,AN$128)&lt;=MIN(IF('制度詳細'!$I$41="",EOMONTH(AN$128,0),'制度詳細'!$I$41),EOMONTH(AN$128,0)),"■",IF(AND('制度詳細'!$J$41&lt;&gt;"",'制度詳細'!$J$41&gt;=AN$128,'制度詳細'!$J$41&lt;=EOMONTH(AN$128,0)),"◆","")))</x:f>
      </x:c>
      <x:c r="AO131" s="57" t="str">
        <x:f>IF('制度詳細'!$H$41="",IF('制度詳細'!$J$41="","",IF(AND('制度詳細'!$J$41&gt;=AO$128,'制度詳細'!$J$41&lt;=EOMONTH(AO$128,0)),"◆","")),IF(MAX('制度詳細'!$H$41,AO$128)&lt;=MIN(IF('制度詳細'!$I$41="",EOMONTH(AO$128,0),'制度詳細'!$I$41),EOMONTH(AO$128,0)),"■",IF(AND('制度詳細'!$J$41&lt;&gt;"",'制度詳細'!$J$41&gt;=AO$128,'制度詳細'!$J$41&lt;=EOMONTH(AO$128,0)),"◆","")))</x:f>
      </x:c>
      <x:c r="AP131" s="57" t="str">
        <x:f>IF('制度詳細'!$H$41="",IF('制度詳細'!$J$41="","",IF(AND('制度詳細'!$J$41&gt;=AP$128,'制度詳細'!$J$41&lt;=EOMONTH(AP$128,0)),"◆","")),IF(MAX('制度詳細'!$H$41,AP$128)&lt;=MIN(IF('制度詳細'!$I$41="",EOMONTH(AP$128,0),'制度詳細'!$I$41),EOMONTH(AP$128,0)),"■",IF(AND('制度詳細'!$J$41&lt;&gt;"",'制度詳細'!$J$41&gt;=AP$128,'制度詳細'!$J$41&lt;=EOMONTH(AP$128,0)),"◆","")))</x:f>
      </x:c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</x:row>
    <x:row r="132" ht="30" customHeight="1">
      <x:c r="A132" s="59" t="str">
        <x:v>PH04 EO62：HEV/PHEV等も関税0</x:v>
      </x:c>
      <x:c r="B132" s="59"/>
      <x:c r="C132" s="59"/>
      <x:c r="D132" s="59"/>
      <x:c r="E132" s="59"/>
      <x:c r="F132" s="59"/>
      <x:c r="G132" s="57" t="str">
        <x:f>IF('制度詳細'!$H$42="",IF('制度詳細'!$J$42="","",IF(AND('制度詳細'!$J$42&gt;=G$128,'制度詳細'!$J$42&lt;=EOMONTH(G$128,0)),"◆","")),IF(MAX('制度詳細'!$H$42,G$128)&lt;=MIN(IF('制度詳細'!$I$42="",EOMONTH(G$128,0),'制度詳細'!$I$42),EOMONTH(G$128,0)),"■",IF(AND('制度詳細'!$J$42&lt;&gt;"",'制度詳細'!$J$42&gt;=G$128,'制度詳細'!$J$42&lt;=EOMONTH(G$128,0)),"◆","")))</x:f>
      </x:c>
      <x:c r="H132" s="57" t="str">
        <x:f>IF('制度詳細'!$H$42="",IF('制度詳細'!$J$42="","",IF(AND('制度詳細'!$J$42&gt;=H$128,'制度詳細'!$J$42&lt;=EOMONTH(H$128,0)),"◆","")),IF(MAX('制度詳細'!$H$42,H$128)&lt;=MIN(IF('制度詳細'!$I$42="",EOMONTH(H$128,0),'制度詳細'!$I$42),EOMONTH(H$128,0)),"■",IF(AND('制度詳細'!$J$42&lt;&gt;"",'制度詳細'!$J$42&gt;=H$128,'制度詳細'!$J$42&lt;=EOMONTH(H$128,0)),"◆","")))</x:f>
      </x:c>
      <x:c r="I132" s="57" t="str">
        <x:f>IF('制度詳細'!$H$42="",IF('制度詳細'!$J$42="","",IF(AND('制度詳細'!$J$42&gt;=I$128,'制度詳細'!$J$42&lt;=EOMONTH(I$128,0)),"◆","")),IF(MAX('制度詳細'!$H$42,I$128)&lt;=MIN(IF('制度詳細'!$I$42="",EOMONTH(I$128,0),'制度詳細'!$I$42),EOMONTH(I$128,0)),"■",IF(AND('制度詳細'!$J$42&lt;&gt;"",'制度詳細'!$J$42&gt;=I$128,'制度詳細'!$J$42&lt;=EOMONTH(I$128,0)),"◆","")))</x:f>
      </x:c>
      <x:c r="J132" s="57" t="str">
        <x:f>IF('制度詳細'!$H$42="",IF('制度詳細'!$J$42="","",IF(AND('制度詳細'!$J$42&gt;=J$128,'制度詳細'!$J$42&lt;=EOMONTH(J$128,0)),"◆","")),IF(MAX('制度詳細'!$H$42,J$128)&lt;=MIN(IF('制度詳細'!$I$42="",EOMONTH(J$128,0),'制度詳細'!$I$42),EOMONTH(J$128,0)),"■",IF(AND('制度詳細'!$J$42&lt;&gt;"",'制度詳細'!$J$42&gt;=J$128,'制度詳細'!$J$42&lt;=EOMONTH(J$128,0)),"◆","")))</x:f>
      </x:c>
      <x:c r="K132" s="57" t="str">
        <x:f>IF('制度詳細'!$H$42="",IF('制度詳細'!$J$42="","",IF(AND('制度詳細'!$J$42&gt;=K$128,'制度詳細'!$J$42&lt;=EOMONTH(K$128,0)),"◆","")),IF(MAX('制度詳細'!$H$42,K$128)&lt;=MIN(IF('制度詳細'!$I$42="",EOMONTH(K$128,0),'制度詳細'!$I$42),EOMONTH(K$128,0)),"■",IF(AND('制度詳細'!$J$42&lt;&gt;"",'制度詳細'!$J$42&gt;=K$128,'制度詳細'!$J$42&lt;=EOMONTH(K$128,0)),"◆","")))</x:f>
      </x:c>
      <x:c r="L132" s="57" t="str">
        <x:f>IF('制度詳細'!$H$42="",IF('制度詳細'!$J$42="","",IF(AND('制度詳細'!$J$42&gt;=L$128,'制度詳細'!$J$42&lt;=EOMONTH(L$128,0)),"◆","")),IF(MAX('制度詳細'!$H$42,L$128)&lt;=MIN(IF('制度詳細'!$I$42="",EOMONTH(L$128,0),'制度詳細'!$I$42),EOMONTH(L$128,0)),"■",IF(AND('制度詳細'!$J$42&lt;&gt;"",'制度詳細'!$J$42&gt;=L$128,'制度詳細'!$J$42&lt;=EOMONTH(L$128,0)),"◆","")))</x:f>
        <x:v>◆</x:v>
      </x:c>
      <x:c r="M132" s="57" t="str">
        <x:f>IF('制度詳細'!$H$42="",IF('制度詳細'!$J$42="","",IF(AND('制度詳細'!$J$42&gt;=M$128,'制度詳細'!$J$42&lt;=EOMONTH(M$128,0)),"◆","")),IF(MAX('制度詳細'!$H$42,M$128)&lt;=MIN(IF('制度詳細'!$I$42="",EOMONTH(M$128,0),'制度詳細'!$I$42),EOMONTH(M$128,0)),"■",IF(AND('制度詳細'!$J$42&lt;&gt;"",'制度詳細'!$J$42&gt;=M$128,'制度詳細'!$J$42&lt;=EOMONTH(M$128,0)),"◆","")))</x:f>
        <x:v>■</x:v>
      </x:c>
      <x:c r="N132" s="57" t="str">
        <x:f>IF('制度詳細'!$H$42="",IF('制度詳細'!$J$42="","",IF(AND('制度詳細'!$J$42&gt;=N$128,'制度詳細'!$J$42&lt;=EOMONTH(N$128,0)),"◆","")),IF(MAX('制度詳細'!$H$42,N$128)&lt;=MIN(IF('制度詳細'!$I$42="",EOMONTH(N$128,0),'制度詳細'!$I$42),EOMONTH(N$128,0)),"■",IF(AND('制度詳細'!$J$42&lt;&gt;"",'制度詳細'!$J$42&gt;=N$128,'制度詳細'!$J$42&lt;=EOMONTH(N$128,0)),"◆","")))</x:f>
        <x:v>■</x:v>
      </x:c>
      <x:c r="O132" s="57" t="str">
        <x:f>IF('制度詳細'!$H$42="",IF('制度詳細'!$J$42="","",IF(AND('制度詳細'!$J$42&gt;=O$128,'制度詳細'!$J$42&lt;=EOMONTH(O$128,0)),"◆","")),IF(MAX('制度詳細'!$H$42,O$128)&lt;=MIN(IF('制度詳細'!$I$42="",EOMONTH(O$128,0),'制度詳細'!$I$42),EOMONTH(O$128,0)),"■",IF(AND('制度詳細'!$J$42&lt;&gt;"",'制度詳細'!$J$42&gt;=O$128,'制度詳細'!$J$42&lt;=EOMONTH(O$128,0)),"◆","")))</x:f>
        <x:v>■</x:v>
      </x:c>
      <x:c r="P132" s="57" t="str">
        <x:f>IF('制度詳細'!$H$42="",IF('制度詳細'!$J$42="","",IF(AND('制度詳細'!$J$42&gt;=P$128,'制度詳細'!$J$42&lt;=EOMONTH(P$128,0)),"◆","")),IF(MAX('制度詳細'!$H$42,P$128)&lt;=MIN(IF('制度詳細'!$I$42="",EOMONTH(P$128,0),'制度詳細'!$I$42),EOMONTH(P$128,0)),"■",IF(AND('制度詳細'!$J$42&lt;&gt;"",'制度詳細'!$J$42&gt;=P$128,'制度詳細'!$J$42&lt;=EOMONTH(P$128,0)),"◆","")))</x:f>
        <x:v>■</x:v>
      </x:c>
      <x:c r="Q132" s="57" t="str">
        <x:f>IF('制度詳細'!$H$42="",IF('制度詳細'!$J$42="","",IF(AND('制度詳細'!$J$42&gt;=Q$128,'制度詳細'!$J$42&lt;=EOMONTH(Q$128,0)),"◆","")),IF(MAX('制度詳細'!$H$42,Q$128)&lt;=MIN(IF('制度詳細'!$I$42="",EOMONTH(Q$128,0),'制度詳細'!$I$42),EOMONTH(Q$128,0)),"■",IF(AND('制度詳細'!$J$42&lt;&gt;"",'制度詳細'!$J$42&gt;=Q$128,'制度詳細'!$J$42&lt;=EOMONTH(Q$128,0)),"◆","")))</x:f>
        <x:v>■</x:v>
      </x:c>
      <x:c r="R132" s="57" t="str">
        <x:f>IF('制度詳細'!$H$42="",IF('制度詳細'!$J$42="","",IF(AND('制度詳細'!$J$42&gt;=R$128,'制度詳細'!$J$42&lt;=EOMONTH(R$128,0)),"◆","")),IF(MAX('制度詳細'!$H$42,R$128)&lt;=MIN(IF('制度詳細'!$I$42="",EOMONTH(R$128,0),'制度詳細'!$I$42),EOMONTH(R$128,0)),"■",IF(AND('制度詳細'!$J$42&lt;&gt;"",'制度詳細'!$J$42&gt;=R$128,'制度詳細'!$J$42&lt;=EOMONTH(R$128,0)),"◆","")))</x:f>
        <x:v>■</x:v>
      </x:c>
      <x:c r="S132" s="57" t="str">
        <x:f>IF('制度詳細'!$H$42="",IF('制度詳細'!$J$42="","",IF(AND('制度詳細'!$J$42&gt;=S$128,'制度詳細'!$J$42&lt;=EOMONTH(S$128,0)),"◆","")),IF(MAX('制度詳細'!$H$42,S$128)&lt;=MIN(IF('制度詳細'!$I$42="",EOMONTH(S$128,0),'制度詳細'!$I$42),EOMONTH(S$128,0)),"■",IF(AND('制度詳細'!$J$42&lt;&gt;"",'制度詳細'!$J$42&gt;=S$128,'制度詳細'!$J$42&lt;=EOMONTH(S$128,0)),"◆","")))</x:f>
        <x:v>■</x:v>
      </x:c>
      <x:c r="T132" s="57" t="str">
        <x:f>IF('制度詳細'!$H$42="",IF('制度詳細'!$J$42="","",IF(AND('制度詳細'!$J$42&gt;=T$128,'制度詳細'!$J$42&lt;=EOMONTH(T$128,0)),"◆","")),IF(MAX('制度詳細'!$H$42,T$128)&lt;=MIN(IF('制度詳細'!$I$42="",EOMONTH(T$128,0),'制度詳細'!$I$42),EOMONTH(T$128,0)),"■",IF(AND('制度詳細'!$J$42&lt;&gt;"",'制度詳細'!$J$42&gt;=T$128,'制度詳細'!$J$42&lt;=EOMONTH(T$128,0)),"◆","")))</x:f>
        <x:v>■</x:v>
      </x:c>
      <x:c r="U132" s="57" t="str">
        <x:f>IF('制度詳細'!$H$42="",IF('制度詳細'!$J$42="","",IF(AND('制度詳細'!$J$42&gt;=U$128,'制度詳細'!$J$42&lt;=EOMONTH(U$128,0)),"◆","")),IF(MAX('制度詳細'!$H$42,U$128)&lt;=MIN(IF('制度詳細'!$I$42="",EOMONTH(U$128,0),'制度詳細'!$I$42),EOMONTH(U$128,0)),"■",IF(AND('制度詳細'!$J$42&lt;&gt;"",'制度詳細'!$J$42&gt;=U$128,'制度詳細'!$J$42&lt;=EOMONTH(U$128,0)),"◆","")))</x:f>
        <x:v>■</x:v>
      </x:c>
      <x:c r="V132" s="57" t="str">
        <x:f>IF('制度詳細'!$H$42="",IF('制度詳細'!$J$42="","",IF(AND('制度詳細'!$J$42&gt;=V$128,'制度詳細'!$J$42&lt;=EOMONTH(V$128,0)),"◆","")),IF(MAX('制度詳細'!$H$42,V$128)&lt;=MIN(IF('制度詳細'!$I$42="",EOMONTH(V$128,0),'制度詳細'!$I$42),EOMONTH(V$128,0)),"■",IF(AND('制度詳細'!$J$42&lt;&gt;"",'制度詳細'!$J$42&gt;=V$128,'制度詳細'!$J$42&lt;=EOMONTH(V$128,0)),"◆","")))</x:f>
        <x:v>■</x:v>
      </x:c>
      <x:c r="W132" s="57" t="str">
        <x:f>IF('制度詳細'!$H$42="",IF('制度詳細'!$J$42="","",IF(AND('制度詳細'!$J$42&gt;=W$128,'制度詳細'!$J$42&lt;=EOMONTH(W$128,0)),"◆","")),IF(MAX('制度詳細'!$H$42,W$128)&lt;=MIN(IF('制度詳細'!$I$42="",EOMONTH(W$128,0),'制度詳細'!$I$42),EOMONTH(W$128,0)),"■",IF(AND('制度詳細'!$J$42&lt;&gt;"",'制度詳細'!$J$42&gt;=W$128,'制度詳細'!$J$42&lt;=EOMONTH(W$128,0)),"◆","")))</x:f>
        <x:v>■</x:v>
      </x:c>
      <x:c r="X132" s="57" t="str">
        <x:f>IF('制度詳細'!$H$42="",IF('制度詳細'!$J$42="","",IF(AND('制度詳細'!$J$42&gt;=X$128,'制度詳細'!$J$42&lt;=EOMONTH(X$128,0)),"◆","")),IF(MAX('制度詳細'!$H$42,X$128)&lt;=MIN(IF('制度詳細'!$I$42="",EOMONTH(X$128,0),'制度詳細'!$I$42),EOMONTH(X$128,0)),"■",IF(AND('制度詳細'!$J$42&lt;&gt;"",'制度詳細'!$J$42&gt;=X$128,'制度詳細'!$J$42&lt;=EOMONTH(X$128,0)),"◆","")))</x:f>
        <x:v>■</x:v>
      </x:c>
      <x:c r="Y132" s="57" t="str">
        <x:f>IF('制度詳細'!$H$42="",IF('制度詳細'!$J$42="","",IF(AND('制度詳細'!$J$42&gt;=Y$128,'制度詳細'!$J$42&lt;=EOMONTH(Y$128,0)),"◆","")),IF(MAX('制度詳細'!$H$42,Y$128)&lt;=MIN(IF('制度詳細'!$I$42="",EOMONTH(Y$128,0),'制度詳細'!$I$42),EOMONTH(Y$128,0)),"■",IF(AND('制度詳細'!$J$42&lt;&gt;"",'制度詳細'!$J$42&gt;=Y$128,'制度詳細'!$J$42&lt;=EOMONTH(Y$128,0)),"◆","")))</x:f>
        <x:v>■</x:v>
      </x:c>
      <x:c r="Z132" s="57" t="str">
        <x:f>IF('制度詳細'!$H$42="",IF('制度詳細'!$J$42="","",IF(AND('制度詳細'!$J$42&gt;=Z$128,'制度詳細'!$J$42&lt;=EOMONTH(Z$128,0)),"◆","")),IF(MAX('制度詳細'!$H$42,Z$128)&lt;=MIN(IF('制度詳細'!$I$42="",EOMONTH(Z$128,0),'制度詳細'!$I$42),EOMONTH(Z$128,0)),"■",IF(AND('制度詳細'!$J$42&lt;&gt;"",'制度詳細'!$J$42&gt;=Z$128,'制度詳細'!$J$42&lt;=EOMONTH(Z$128,0)),"◆","")))</x:f>
        <x:v>■</x:v>
      </x:c>
      <x:c r="AA132" s="57" t="str">
        <x:f>IF('制度詳細'!$H$42="",IF('制度詳細'!$J$42="","",IF(AND('制度詳細'!$J$42&gt;=AA$128,'制度詳細'!$J$42&lt;=EOMONTH(AA$128,0)),"◆","")),IF(MAX('制度詳細'!$H$42,AA$128)&lt;=MIN(IF('制度詳細'!$I$42="",EOMONTH(AA$128,0),'制度詳細'!$I$42),EOMONTH(AA$128,0)),"■",IF(AND('制度詳細'!$J$42&lt;&gt;"",'制度詳細'!$J$42&gt;=AA$128,'制度詳細'!$J$42&lt;=EOMONTH(AA$128,0)),"◆","")))</x:f>
        <x:v>■</x:v>
      </x:c>
      <x:c r="AB132" s="57" t="str">
        <x:f>IF('制度詳細'!$H$42="",IF('制度詳細'!$J$42="","",IF(AND('制度詳細'!$J$42&gt;=AB$128,'制度詳細'!$J$42&lt;=EOMONTH(AB$128,0)),"◆","")),IF(MAX('制度詳細'!$H$42,AB$128)&lt;=MIN(IF('制度詳細'!$I$42="",EOMONTH(AB$128,0),'制度詳細'!$I$42),EOMONTH(AB$128,0)),"■",IF(AND('制度詳細'!$J$42&lt;&gt;"",'制度詳細'!$J$42&gt;=AB$128,'制度詳細'!$J$42&lt;=EOMONTH(AB$128,0)),"◆","")))</x:f>
        <x:v>■</x:v>
      </x:c>
      <x:c r="AC132" s="57" t="str">
        <x:f>IF('制度詳細'!$H$42="",IF('制度詳細'!$J$42="","",IF(AND('制度詳細'!$J$42&gt;=AC$128,'制度詳細'!$J$42&lt;=EOMONTH(AC$128,0)),"◆","")),IF(MAX('制度詳細'!$H$42,AC$128)&lt;=MIN(IF('制度詳細'!$I$42="",EOMONTH(AC$128,0),'制度詳細'!$I$42),EOMONTH(AC$128,0)),"■",IF(AND('制度詳細'!$J$42&lt;&gt;"",'制度詳細'!$J$42&gt;=AC$128,'制度詳細'!$J$42&lt;=EOMONTH(AC$128,0)),"◆","")))</x:f>
        <x:v>■</x:v>
      </x:c>
      <x:c r="AD132" s="57" t="str">
        <x:f>IF('制度詳細'!$H$42="",IF('制度詳細'!$J$42="","",IF(AND('制度詳細'!$J$42&gt;=AD$128,'制度詳細'!$J$42&lt;=EOMONTH(AD$128,0)),"◆","")),IF(MAX('制度詳細'!$H$42,AD$128)&lt;=MIN(IF('制度詳細'!$I$42="",EOMONTH(AD$128,0),'制度詳細'!$I$42),EOMONTH(AD$128,0)),"■",IF(AND('制度詳細'!$J$42&lt;&gt;"",'制度詳細'!$J$42&gt;=AD$128,'制度詳細'!$J$42&lt;=EOMONTH(AD$128,0)),"◆","")))</x:f>
        <x:v>■</x:v>
      </x:c>
      <x:c r="AE132" s="57" t="str">
        <x:f>IF('制度詳細'!$H$42="",IF('制度詳細'!$J$42="","",IF(AND('制度詳細'!$J$42&gt;=AE$128,'制度詳細'!$J$42&lt;=EOMONTH(AE$128,0)),"◆","")),IF(MAX('制度詳細'!$H$42,AE$128)&lt;=MIN(IF('制度詳細'!$I$42="",EOMONTH(AE$128,0),'制度詳細'!$I$42),EOMONTH(AE$128,0)),"■",IF(AND('制度詳細'!$J$42&lt;&gt;"",'制度詳細'!$J$42&gt;=AE$128,'制度詳細'!$J$42&lt;=EOMONTH(AE$128,0)),"◆","")))</x:f>
        <x:v>■</x:v>
      </x:c>
      <x:c r="AF132" s="57" t="str">
        <x:f>IF('制度詳細'!$H$42="",IF('制度詳細'!$J$42="","",IF(AND('制度詳細'!$J$42&gt;=AF$128,'制度詳細'!$J$42&lt;=EOMONTH(AF$128,0)),"◆","")),IF(MAX('制度詳細'!$H$42,AF$128)&lt;=MIN(IF('制度詳細'!$I$42="",EOMONTH(AF$128,0),'制度詳細'!$I$42),EOMONTH(AF$128,0)),"■",IF(AND('制度詳細'!$J$42&lt;&gt;"",'制度詳細'!$J$42&gt;=AF$128,'制度詳細'!$J$42&lt;=EOMONTH(AF$128,0)),"◆","")))</x:f>
        <x:v>■</x:v>
      </x:c>
      <x:c r="AG132" s="57" t="str">
        <x:f>IF('制度詳細'!$H$42="",IF('制度詳細'!$J$42="","",IF(AND('制度詳細'!$J$42&gt;=AG$128,'制度詳細'!$J$42&lt;=EOMONTH(AG$128,0)),"◆","")),IF(MAX('制度詳細'!$H$42,AG$128)&lt;=MIN(IF('制度詳細'!$I$42="",EOMONTH(AG$128,0),'制度詳細'!$I$42),EOMONTH(AG$128,0)),"■",IF(AND('制度詳細'!$J$42&lt;&gt;"",'制度詳細'!$J$42&gt;=AG$128,'制度詳細'!$J$42&lt;=EOMONTH(AG$128,0)),"◆","")))</x:f>
        <x:v>■</x:v>
      </x:c>
      <x:c r="AH132" s="57" t="str">
        <x:f>IF('制度詳細'!$H$42="",IF('制度詳細'!$J$42="","",IF(AND('制度詳細'!$J$42&gt;=AH$128,'制度詳細'!$J$42&lt;=EOMONTH(AH$128,0)),"◆","")),IF(MAX('制度詳細'!$H$42,AH$128)&lt;=MIN(IF('制度詳細'!$I$42="",EOMONTH(AH$128,0),'制度詳細'!$I$42),EOMONTH(AH$128,0)),"■",IF(AND('制度詳細'!$J$42&lt;&gt;"",'制度詳細'!$J$42&gt;=AH$128,'制度詳細'!$J$42&lt;=EOMONTH(AH$128,0)),"◆","")))</x:f>
        <x:v>■</x:v>
      </x:c>
      <x:c r="AI132" s="57" t="str">
        <x:f>IF('制度詳細'!$H$42="",IF('制度詳細'!$J$42="","",IF(AND('制度詳細'!$J$42&gt;=AI$128,'制度詳細'!$J$42&lt;=EOMONTH(AI$128,0)),"◆","")),IF(MAX('制度詳細'!$H$42,AI$128)&lt;=MIN(IF('制度詳細'!$I$42="",EOMONTH(AI$128,0),'制度詳細'!$I$42),EOMONTH(AI$128,0)),"■",IF(AND('制度詳細'!$J$42&lt;&gt;"",'制度詳細'!$J$42&gt;=AI$128,'制度詳細'!$J$42&lt;=EOMONTH(AI$128,0)),"◆","")))</x:f>
        <x:v>■</x:v>
      </x:c>
      <x:c r="AJ132" s="57" t="str">
        <x:f>IF('制度詳細'!$H$42="",IF('制度詳細'!$J$42="","",IF(AND('制度詳細'!$J$42&gt;=AJ$128,'制度詳細'!$J$42&lt;=EOMONTH(AJ$128,0)),"◆","")),IF(MAX('制度詳細'!$H$42,AJ$128)&lt;=MIN(IF('制度詳細'!$I$42="",EOMONTH(AJ$128,0),'制度詳細'!$I$42),EOMONTH(AJ$128,0)),"■",IF(AND('制度詳細'!$J$42&lt;&gt;"",'制度詳細'!$J$42&gt;=AJ$128,'制度詳細'!$J$42&lt;=EOMONTH(AJ$128,0)),"◆","")))</x:f>
        <x:v>■</x:v>
      </x:c>
      <x:c r="AK132" s="57" t="str">
        <x:f>IF('制度詳細'!$H$42="",IF('制度詳細'!$J$42="","",IF(AND('制度詳細'!$J$42&gt;=AK$128,'制度詳細'!$J$42&lt;=EOMONTH(AK$128,0)),"◆","")),IF(MAX('制度詳細'!$H$42,AK$128)&lt;=MIN(IF('制度詳細'!$I$42="",EOMONTH(AK$128,0),'制度詳細'!$I$42),EOMONTH(AK$128,0)),"■",IF(AND('制度詳細'!$J$42&lt;&gt;"",'制度詳細'!$J$42&gt;=AK$128,'制度詳細'!$J$42&lt;=EOMONTH(AK$128,0)),"◆","")))</x:f>
        <x:v>■</x:v>
      </x:c>
      <x:c r="AL132" s="57" t="str">
        <x:f>IF('制度詳細'!$H$42="",IF('制度詳細'!$J$42="","",IF(AND('制度詳細'!$J$42&gt;=AL$128,'制度詳細'!$J$42&lt;=EOMONTH(AL$128,0)),"◆","")),IF(MAX('制度詳細'!$H$42,AL$128)&lt;=MIN(IF('制度詳細'!$I$42="",EOMONTH(AL$128,0),'制度詳細'!$I$42),EOMONTH(AL$128,0)),"■",IF(AND('制度詳細'!$J$42&lt;&gt;"",'制度詳細'!$J$42&gt;=AL$128,'制度詳細'!$J$42&lt;=EOMONTH(AL$128,0)),"◆","")))</x:f>
        <x:v>■</x:v>
      </x:c>
      <x:c r="AM132" s="57" t="str">
        <x:f>IF('制度詳細'!$H$42="",IF('制度詳細'!$J$42="","",IF(AND('制度詳細'!$J$42&gt;=AM$128,'制度詳細'!$J$42&lt;=EOMONTH(AM$128,0)),"◆","")),IF(MAX('制度詳細'!$H$42,AM$128)&lt;=MIN(IF('制度詳細'!$I$42="",EOMONTH(AM$128,0),'制度詳細'!$I$42),EOMONTH(AM$128,0)),"■",IF(AND('制度詳細'!$J$42&lt;&gt;"",'制度詳細'!$J$42&gt;=AM$128,'制度詳細'!$J$42&lt;=EOMONTH(AM$128,0)),"◆","")))</x:f>
        <x:v>■</x:v>
      </x:c>
      <x:c r="AN132" s="57" t="str">
        <x:f>IF('制度詳細'!$H$42="",IF('制度詳細'!$J$42="","",IF(AND('制度詳細'!$J$42&gt;=AN$128,'制度詳細'!$J$42&lt;=EOMONTH(AN$128,0)),"◆","")),IF(MAX('制度詳細'!$H$42,AN$128)&lt;=MIN(IF('制度詳細'!$I$42="",EOMONTH(AN$128,0),'制度詳細'!$I$42),EOMONTH(AN$128,0)),"■",IF(AND('制度詳細'!$J$42&lt;&gt;"",'制度詳細'!$J$42&gt;=AN$128,'制度詳細'!$J$42&lt;=EOMONTH(AN$128,0)),"◆","")))</x:f>
        <x:v>■</x:v>
      </x:c>
      <x:c r="AO132" s="57" t="str">
        <x:f>IF('制度詳細'!$H$42="",IF('制度詳細'!$J$42="","",IF(AND('制度詳細'!$J$42&gt;=AO$128,'制度詳細'!$J$42&lt;=EOMONTH(AO$128,0)),"◆","")),IF(MAX('制度詳細'!$H$42,AO$128)&lt;=MIN(IF('制度詳細'!$I$42="",EOMONTH(AO$128,0),'制度詳細'!$I$42),EOMONTH(AO$128,0)),"■",IF(AND('制度詳細'!$J$42&lt;&gt;"",'制度詳細'!$J$42&gt;=AO$128,'制度詳細'!$J$42&lt;=EOMONTH(AO$128,0)),"◆","")))</x:f>
        <x:v>■</x:v>
      </x:c>
      <x:c r="AP132" s="57" t="str">
        <x:f>IF('制度詳細'!$H$42="",IF('制度詳細'!$J$42="","",IF(AND('制度詳細'!$J$42&gt;=AP$128,'制度詳細'!$J$42&lt;=EOMONTH(AP$128,0)),"◆","")),IF(MAX('制度詳細'!$H$42,AP$128)&lt;=MIN(IF('制度詳細'!$I$42="",EOMONTH(AP$128,0),'制度詳細'!$I$42),EOMONTH(AP$128,0)),"■",IF(AND('制度詳細'!$J$42&lt;&gt;"",'制度詳細'!$J$42&gt;=AP$128,'制度詳細'!$J$42&lt;=EOMONTH(AP$128,0)),"◆","")))</x:f>
        <x:v>■</x:v>
      </x:c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</x:row>
    <x:row r="133" ht="30" customHeight="1">
      <x:c r="A133" s="54" t="str">
        <x:v>PH05 RR1/2025：認定・定義の明確化</x:v>
      </x:c>
      <x:c r="B133" s="54"/>
      <x:c r="C133" s="54"/>
      <x:c r="D133" s="54"/>
      <x:c r="E133" s="54"/>
      <x:c r="F133" s="54"/>
      <x:c r="G133" s="57" t="str">
        <x:f>IF('制度詳細'!$H$43="",IF('制度詳細'!$J$43="","",IF(AND('制度詳細'!$J$43&gt;=G$128,'制度詳細'!$J$43&lt;=EOMONTH(G$128,0)),"◆","")),IF(MAX('制度詳細'!$H$43,G$128)&lt;=MIN(IF('制度詳細'!$I$43="",EOMONTH(G$128,0),'制度詳細'!$I$43),EOMONTH(G$128,0)),"■",IF(AND('制度詳細'!$J$43&lt;&gt;"",'制度詳細'!$J$43&gt;=G$128,'制度詳細'!$J$43&lt;=EOMONTH(G$128,0)),"◆","")))</x:f>
      </x:c>
      <x:c r="H133" s="57" t="str">
        <x:f>IF('制度詳細'!$H$43="",IF('制度詳細'!$J$43="","",IF(AND('制度詳細'!$J$43&gt;=H$128,'制度詳細'!$J$43&lt;=EOMONTH(H$128,0)),"◆","")),IF(MAX('制度詳細'!$H$43,H$128)&lt;=MIN(IF('制度詳細'!$I$43="",EOMONTH(H$128,0),'制度詳細'!$I$43),EOMONTH(H$128,0)),"■",IF(AND('制度詳細'!$J$43&lt;&gt;"",'制度詳細'!$J$43&gt;=H$128,'制度詳細'!$J$43&lt;=EOMONTH(H$128,0)),"◆","")))</x:f>
      </x:c>
      <x:c r="I133" s="57" t="str">
        <x:f>IF('制度詳細'!$H$43="",IF('制度詳細'!$J$43="","",IF(AND('制度詳細'!$J$43&gt;=I$128,'制度詳細'!$J$43&lt;=EOMONTH(I$128,0)),"◆","")),IF(MAX('制度詳細'!$H$43,I$128)&lt;=MIN(IF('制度詳細'!$I$43="",EOMONTH(I$128,0),'制度詳細'!$I$43),EOMONTH(I$128,0)),"■",IF(AND('制度詳細'!$J$43&lt;&gt;"",'制度詳細'!$J$43&gt;=I$128,'制度詳細'!$J$43&lt;=EOMONTH(I$128,0)),"◆","")))</x:f>
      </x:c>
      <x:c r="J133" s="57" t="str">
        <x:f>IF('制度詳細'!$H$43="",IF('制度詳細'!$J$43="","",IF(AND('制度詳細'!$J$43&gt;=J$128,'制度詳細'!$J$43&lt;=EOMONTH(J$128,0)),"◆","")),IF(MAX('制度詳細'!$H$43,J$128)&lt;=MIN(IF('制度詳細'!$I$43="",EOMONTH(J$128,0),'制度詳細'!$I$43),EOMONTH(J$128,0)),"■",IF(AND('制度詳細'!$J$43&lt;&gt;"",'制度詳細'!$J$43&gt;=J$128,'制度詳細'!$J$43&lt;=EOMONTH(J$128,0)),"◆","")))</x:f>
      </x:c>
      <x:c r="K133" s="57" t="str">
        <x:f>IF('制度詳細'!$H$43="",IF('制度詳細'!$J$43="","",IF(AND('制度詳細'!$J$43&gt;=K$128,'制度詳細'!$J$43&lt;=EOMONTH(K$128,0)),"◆","")),IF(MAX('制度詳細'!$H$43,K$128)&lt;=MIN(IF('制度詳細'!$I$43="",EOMONTH(K$128,0),'制度詳細'!$I$43),EOMONTH(K$128,0)),"■",IF(AND('制度詳細'!$J$43&lt;&gt;"",'制度詳細'!$J$43&gt;=K$128,'制度詳細'!$J$43&lt;=EOMONTH(K$128,0)),"◆","")))</x:f>
      </x:c>
      <x:c r="L133" s="57" t="str">
        <x:f>IF('制度詳細'!$H$43="",IF('制度詳細'!$J$43="","",IF(AND('制度詳細'!$J$43&gt;=L$128,'制度詳細'!$J$43&lt;=EOMONTH(L$128,0)),"◆","")),IF(MAX('制度詳細'!$H$43,L$128)&lt;=MIN(IF('制度詳細'!$I$43="",EOMONTH(L$128,0),'制度詳細'!$I$43),EOMONTH(L$128,0)),"■",IF(AND('制度詳細'!$J$43&lt;&gt;"",'制度詳細'!$J$43&gt;=L$128,'制度詳細'!$J$43&lt;=EOMONTH(L$128,0)),"◆","")))</x:f>
      </x:c>
      <x:c r="M133" s="57" t="str">
        <x:f>IF('制度詳細'!$H$43="",IF('制度詳細'!$J$43="","",IF(AND('制度詳細'!$J$43&gt;=M$128,'制度詳細'!$J$43&lt;=EOMONTH(M$128,0)),"◆","")),IF(MAX('制度詳細'!$H$43,M$128)&lt;=MIN(IF('制度詳細'!$I$43="",EOMONTH(M$128,0),'制度詳細'!$I$43),EOMONTH(M$128,0)),"■",IF(AND('制度詳細'!$J$43&lt;&gt;"",'制度詳細'!$J$43&gt;=M$128,'制度詳細'!$J$43&lt;=EOMONTH(M$128,0)),"◆","")))</x:f>
      </x:c>
      <x:c r="N133" s="57" t="str">
        <x:f>IF('制度詳細'!$H$43="",IF('制度詳細'!$J$43="","",IF(AND('制度詳細'!$J$43&gt;=N$128,'制度詳細'!$J$43&lt;=EOMONTH(N$128,0)),"◆","")),IF(MAX('制度詳細'!$H$43,N$128)&lt;=MIN(IF('制度詳細'!$I$43="",EOMONTH(N$128,0),'制度詳細'!$I$43),EOMONTH(N$128,0)),"■",IF(AND('制度詳細'!$J$43&lt;&gt;"",'制度詳細'!$J$43&gt;=N$128,'制度詳細'!$J$43&lt;=EOMONTH(N$128,0)),"◆","")))</x:f>
      </x:c>
      <x:c r="O133" s="57" t="str">
        <x:f>IF('制度詳細'!$H$43="",IF('制度詳細'!$J$43="","",IF(AND('制度詳細'!$J$43&gt;=O$128,'制度詳細'!$J$43&lt;=EOMONTH(O$128,0)),"◆","")),IF(MAX('制度詳細'!$H$43,O$128)&lt;=MIN(IF('制度詳細'!$I$43="",EOMONTH(O$128,0),'制度詳細'!$I$43),EOMONTH(O$128,0)),"■",IF(AND('制度詳細'!$J$43&lt;&gt;"",'制度詳細'!$J$43&gt;=O$128,'制度詳細'!$J$43&lt;=EOMONTH(O$128,0)),"◆","")))</x:f>
      </x:c>
      <x:c r="P133" s="57" t="str">
        <x:f>IF('制度詳細'!$H$43="",IF('制度詳細'!$J$43="","",IF(AND('制度詳細'!$J$43&gt;=P$128,'制度詳細'!$J$43&lt;=EOMONTH(P$128,0)),"◆","")),IF(MAX('制度詳細'!$H$43,P$128)&lt;=MIN(IF('制度詳細'!$I$43="",EOMONTH(P$128,0),'制度詳細'!$I$43),EOMONTH(P$128,0)),"■",IF(AND('制度詳細'!$J$43&lt;&gt;"",'制度詳細'!$J$43&gt;=P$128,'制度詳細'!$J$43&lt;=EOMONTH(P$128,0)),"◆","")))</x:f>
      </x:c>
      <x:c r="Q133" s="57" t="str">
        <x:f>IF('制度詳細'!$H$43="",IF('制度詳細'!$J$43="","",IF(AND('制度詳細'!$J$43&gt;=Q$128,'制度詳細'!$J$43&lt;=EOMONTH(Q$128,0)),"◆","")),IF(MAX('制度詳細'!$H$43,Q$128)&lt;=MIN(IF('制度詳細'!$I$43="",EOMONTH(Q$128,0),'制度詳細'!$I$43),EOMONTH(Q$128,0)),"■",IF(AND('制度詳細'!$J$43&lt;&gt;"",'制度詳細'!$J$43&gt;=Q$128,'制度詳細'!$J$43&lt;=EOMONTH(Q$128,0)),"◆","")))</x:f>
      </x:c>
      <x:c r="R133" s="57" t="str">
        <x:f>IF('制度詳細'!$H$43="",IF('制度詳細'!$J$43="","",IF(AND('制度詳細'!$J$43&gt;=R$128,'制度詳細'!$J$43&lt;=EOMONTH(R$128,0)),"◆","")),IF(MAX('制度詳細'!$H$43,R$128)&lt;=MIN(IF('制度詳細'!$I$43="",EOMONTH(R$128,0),'制度詳細'!$I$43),EOMONTH(R$128,0)),"■",IF(AND('制度詳細'!$J$43&lt;&gt;"",'制度詳細'!$J$43&gt;=R$128,'制度詳細'!$J$43&lt;=EOMONTH(R$128,0)),"◆","")))</x:f>
      </x:c>
      <x:c r="S133" s="57" t="str">
        <x:f>IF('制度詳細'!$H$43="",IF('制度詳細'!$J$43="","",IF(AND('制度詳細'!$J$43&gt;=S$128,'制度詳細'!$J$43&lt;=EOMONTH(S$128,0)),"◆","")),IF(MAX('制度詳細'!$H$43,S$128)&lt;=MIN(IF('制度詳細'!$I$43="",EOMONTH(S$128,0),'制度詳細'!$I$43),EOMONTH(S$128,0)),"■",IF(AND('制度詳細'!$J$43&lt;&gt;"",'制度詳細'!$J$43&gt;=S$128,'制度詳細'!$J$43&lt;=EOMONTH(S$128,0)),"◆","")))</x:f>
        <x:v>◆</x:v>
      </x:c>
      <x:c r="T133" s="57" t="str">
        <x:f>IF('制度詳細'!$H$43="",IF('制度詳細'!$J$43="","",IF(AND('制度詳細'!$J$43&gt;=T$128,'制度詳細'!$J$43&lt;=EOMONTH(T$128,0)),"◆","")),IF(MAX('制度詳細'!$H$43,T$128)&lt;=MIN(IF('制度詳細'!$I$43="",EOMONTH(T$128,0),'制度詳細'!$I$43),EOMONTH(T$128,0)),"■",IF(AND('制度詳細'!$J$43&lt;&gt;"",'制度詳細'!$J$43&gt;=T$128,'制度詳細'!$J$43&lt;=EOMONTH(T$128,0)),"◆","")))</x:f>
      </x:c>
      <x:c r="U133" s="57" t="str">
        <x:f>IF('制度詳細'!$H$43="",IF('制度詳細'!$J$43="","",IF(AND('制度詳細'!$J$43&gt;=U$128,'制度詳細'!$J$43&lt;=EOMONTH(U$128,0)),"◆","")),IF(MAX('制度詳細'!$H$43,U$128)&lt;=MIN(IF('制度詳細'!$I$43="",EOMONTH(U$128,0),'制度詳細'!$I$43),EOMONTH(U$128,0)),"■",IF(AND('制度詳細'!$J$43&lt;&gt;"",'制度詳細'!$J$43&gt;=U$128,'制度詳細'!$J$43&lt;=EOMONTH(U$128,0)),"◆","")))</x:f>
      </x:c>
      <x:c r="V133" s="57" t="str">
        <x:f>IF('制度詳細'!$H$43="",IF('制度詳細'!$J$43="","",IF(AND('制度詳細'!$J$43&gt;=V$128,'制度詳細'!$J$43&lt;=EOMONTH(V$128,0)),"◆","")),IF(MAX('制度詳細'!$H$43,V$128)&lt;=MIN(IF('制度詳細'!$I$43="",EOMONTH(V$128,0),'制度詳細'!$I$43),EOMONTH(V$128,0)),"■",IF(AND('制度詳細'!$J$43&lt;&gt;"",'制度詳細'!$J$43&gt;=V$128,'制度詳細'!$J$43&lt;=EOMONTH(V$128,0)),"◆","")))</x:f>
      </x:c>
      <x:c r="W133" s="57" t="str">
        <x:f>IF('制度詳細'!$H$43="",IF('制度詳細'!$J$43="","",IF(AND('制度詳細'!$J$43&gt;=W$128,'制度詳細'!$J$43&lt;=EOMONTH(W$128,0)),"◆","")),IF(MAX('制度詳細'!$H$43,W$128)&lt;=MIN(IF('制度詳細'!$I$43="",EOMONTH(W$128,0),'制度詳細'!$I$43),EOMONTH(W$128,0)),"■",IF(AND('制度詳細'!$J$43&lt;&gt;"",'制度詳細'!$J$43&gt;=W$128,'制度詳細'!$J$43&lt;=EOMONTH(W$128,0)),"◆","")))</x:f>
      </x:c>
      <x:c r="X133" s="57" t="str">
        <x:f>IF('制度詳細'!$H$43="",IF('制度詳細'!$J$43="","",IF(AND('制度詳細'!$J$43&gt;=X$128,'制度詳細'!$J$43&lt;=EOMONTH(X$128,0)),"◆","")),IF(MAX('制度詳細'!$H$43,X$128)&lt;=MIN(IF('制度詳細'!$I$43="",EOMONTH(X$128,0),'制度詳細'!$I$43),EOMONTH(X$128,0)),"■",IF(AND('制度詳細'!$J$43&lt;&gt;"",'制度詳細'!$J$43&gt;=X$128,'制度詳細'!$J$43&lt;=EOMONTH(X$128,0)),"◆","")))</x:f>
      </x:c>
      <x:c r="Y133" s="57" t="str">
        <x:f>IF('制度詳細'!$H$43="",IF('制度詳細'!$J$43="","",IF(AND('制度詳細'!$J$43&gt;=Y$128,'制度詳細'!$J$43&lt;=EOMONTH(Y$128,0)),"◆","")),IF(MAX('制度詳細'!$H$43,Y$128)&lt;=MIN(IF('制度詳細'!$I$43="",EOMONTH(Y$128,0),'制度詳細'!$I$43),EOMONTH(Y$128,0)),"■",IF(AND('制度詳細'!$J$43&lt;&gt;"",'制度詳細'!$J$43&gt;=Y$128,'制度詳細'!$J$43&lt;=EOMONTH(Y$128,0)),"◆","")))</x:f>
      </x:c>
      <x:c r="Z133" s="57" t="str">
        <x:f>IF('制度詳細'!$H$43="",IF('制度詳細'!$J$43="","",IF(AND('制度詳細'!$J$43&gt;=Z$128,'制度詳細'!$J$43&lt;=EOMONTH(Z$128,0)),"◆","")),IF(MAX('制度詳細'!$H$43,Z$128)&lt;=MIN(IF('制度詳細'!$I$43="",EOMONTH(Z$128,0),'制度詳細'!$I$43),EOMONTH(Z$128,0)),"■",IF(AND('制度詳細'!$J$43&lt;&gt;"",'制度詳細'!$J$43&gt;=Z$128,'制度詳細'!$J$43&lt;=EOMONTH(Z$128,0)),"◆","")))</x:f>
      </x:c>
      <x:c r="AA133" s="57" t="str">
        <x:f>IF('制度詳細'!$H$43="",IF('制度詳細'!$J$43="","",IF(AND('制度詳細'!$J$43&gt;=AA$128,'制度詳細'!$J$43&lt;=EOMONTH(AA$128,0)),"◆","")),IF(MAX('制度詳細'!$H$43,AA$128)&lt;=MIN(IF('制度詳細'!$I$43="",EOMONTH(AA$128,0),'制度詳細'!$I$43),EOMONTH(AA$128,0)),"■",IF(AND('制度詳細'!$J$43&lt;&gt;"",'制度詳細'!$J$43&gt;=AA$128,'制度詳細'!$J$43&lt;=EOMONTH(AA$128,0)),"◆","")))</x:f>
      </x:c>
      <x:c r="AB133" s="57" t="str">
        <x:f>IF('制度詳細'!$H$43="",IF('制度詳細'!$J$43="","",IF(AND('制度詳細'!$J$43&gt;=AB$128,'制度詳細'!$J$43&lt;=EOMONTH(AB$128,0)),"◆","")),IF(MAX('制度詳細'!$H$43,AB$128)&lt;=MIN(IF('制度詳細'!$I$43="",EOMONTH(AB$128,0),'制度詳細'!$I$43),EOMONTH(AB$128,0)),"■",IF(AND('制度詳細'!$J$43&lt;&gt;"",'制度詳細'!$J$43&gt;=AB$128,'制度詳細'!$J$43&lt;=EOMONTH(AB$128,0)),"◆","")))</x:f>
      </x:c>
      <x:c r="AC133" s="57" t="str">
        <x:f>IF('制度詳細'!$H$43="",IF('制度詳細'!$J$43="","",IF(AND('制度詳細'!$J$43&gt;=AC$128,'制度詳細'!$J$43&lt;=EOMONTH(AC$128,0)),"◆","")),IF(MAX('制度詳細'!$H$43,AC$128)&lt;=MIN(IF('制度詳細'!$I$43="",EOMONTH(AC$128,0),'制度詳細'!$I$43),EOMONTH(AC$128,0)),"■",IF(AND('制度詳細'!$J$43&lt;&gt;"",'制度詳細'!$J$43&gt;=AC$128,'制度詳細'!$J$43&lt;=EOMONTH(AC$128,0)),"◆","")))</x:f>
      </x:c>
      <x:c r="AD133" s="57" t="str">
        <x:f>IF('制度詳細'!$H$43="",IF('制度詳細'!$J$43="","",IF(AND('制度詳細'!$J$43&gt;=AD$128,'制度詳細'!$J$43&lt;=EOMONTH(AD$128,0)),"◆","")),IF(MAX('制度詳細'!$H$43,AD$128)&lt;=MIN(IF('制度詳細'!$I$43="",EOMONTH(AD$128,0),'制度詳細'!$I$43),EOMONTH(AD$128,0)),"■",IF(AND('制度詳細'!$J$43&lt;&gt;"",'制度詳細'!$J$43&gt;=AD$128,'制度詳細'!$J$43&lt;=EOMONTH(AD$128,0)),"◆","")))</x:f>
      </x:c>
      <x:c r="AE133" s="57" t="str">
        <x:f>IF('制度詳細'!$H$43="",IF('制度詳細'!$J$43="","",IF(AND('制度詳細'!$J$43&gt;=AE$128,'制度詳細'!$J$43&lt;=EOMONTH(AE$128,0)),"◆","")),IF(MAX('制度詳細'!$H$43,AE$128)&lt;=MIN(IF('制度詳細'!$I$43="",EOMONTH(AE$128,0),'制度詳細'!$I$43),EOMONTH(AE$128,0)),"■",IF(AND('制度詳細'!$J$43&lt;&gt;"",'制度詳細'!$J$43&gt;=AE$128,'制度詳細'!$J$43&lt;=EOMONTH(AE$128,0)),"◆","")))</x:f>
      </x:c>
      <x:c r="AF133" s="57" t="str">
        <x:f>IF('制度詳細'!$H$43="",IF('制度詳細'!$J$43="","",IF(AND('制度詳細'!$J$43&gt;=AF$128,'制度詳細'!$J$43&lt;=EOMONTH(AF$128,0)),"◆","")),IF(MAX('制度詳細'!$H$43,AF$128)&lt;=MIN(IF('制度詳細'!$I$43="",EOMONTH(AF$128,0),'制度詳細'!$I$43),EOMONTH(AF$128,0)),"■",IF(AND('制度詳細'!$J$43&lt;&gt;"",'制度詳細'!$J$43&gt;=AF$128,'制度詳細'!$J$43&lt;=EOMONTH(AF$128,0)),"◆","")))</x:f>
      </x:c>
      <x:c r="AG133" s="57" t="str">
        <x:f>IF('制度詳細'!$H$43="",IF('制度詳細'!$J$43="","",IF(AND('制度詳細'!$J$43&gt;=AG$128,'制度詳細'!$J$43&lt;=EOMONTH(AG$128,0)),"◆","")),IF(MAX('制度詳細'!$H$43,AG$128)&lt;=MIN(IF('制度詳細'!$I$43="",EOMONTH(AG$128,0),'制度詳細'!$I$43),EOMONTH(AG$128,0)),"■",IF(AND('制度詳細'!$J$43&lt;&gt;"",'制度詳細'!$J$43&gt;=AG$128,'制度詳細'!$J$43&lt;=EOMONTH(AG$128,0)),"◆","")))</x:f>
      </x:c>
      <x:c r="AH133" s="57" t="str">
        <x:f>IF('制度詳細'!$H$43="",IF('制度詳細'!$J$43="","",IF(AND('制度詳細'!$J$43&gt;=AH$128,'制度詳細'!$J$43&lt;=EOMONTH(AH$128,0)),"◆","")),IF(MAX('制度詳細'!$H$43,AH$128)&lt;=MIN(IF('制度詳細'!$I$43="",EOMONTH(AH$128,0),'制度詳細'!$I$43),EOMONTH(AH$128,0)),"■",IF(AND('制度詳細'!$J$43&lt;&gt;"",'制度詳細'!$J$43&gt;=AH$128,'制度詳細'!$J$43&lt;=EOMONTH(AH$128,0)),"◆","")))</x:f>
      </x:c>
      <x:c r="AI133" s="57" t="str">
        <x:f>IF('制度詳細'!$H$43="",IF('制度詳細'!$J$43="","",IF(AND('制度詳細'!$J$43&gt;=AI$128,'制度詳細'!$J$43&lt;=EOMONTH(AI$128,0)),"◆","")),IF(MAX('制度詳細'!$H$43,AI$128)&lt;=MIN(IF('制度詳細'!$I$43="",EOMONTH(AI$128,0),'制度詳細'!$I$43),EOMONTH(AI$128,0)),"■",IF(AND('制度詳細'!$J$43&lt;&gt;"",'制度詳細'!$J$43&gt;=AI$128,'制度詳細'!$J$43&lt;=EOMONTH(AI$128,0)),"◆","")))</x:f>
      </x:c>
      <x:c r="AJ133" s="57" t="str">
        <x:f>IF('制度詳細'!$H$43="",IF('制度詳細'!$J$43="","",IF(AND('制度詳細'!$J$43&gt;=AJ$128,'制度詳細'!$J$43&lt;=EOMONTH(AJ$128,0)),"◆","")),IF(MAX('制度詳細'!$H$43,AJ$128)&lt;=MIN(IF('制度詳細'!$I$43="",EOMONTH(AJ$128,0),'制度詳細'!$I$43),EOMONTH(AJ$128,0)),"■",IF(AND('制度詳細'!$J$43&lt;&gt;"",'制度詳細'!$J$43&gt;=AJ$128,'制度詳細'!$J$43&lt;=EOMONTH(AJ$128,0)),"◆","")))</x:f>
      </x:c>
      <x:c r="AK133" s="57" t="str">
        <x:f>IF('制度詳細'!$H$43="",IF('制度詳細'!$J$43="","",IF(AND('制度詳細'!$J$43&gt;=AK$128,'制度詳細'!$J$43&lt;=EOMONTH(AK$128,0)),"◆","")),IF(MAX('制度詳細'!$H$43,AK$128)&lt;=MIN(IF('制度詳細'!$I$43="",EOMONTH(AK$128,0),'制度詳細'!$I$43),EOMONTH(AK$128,0)),"■",IF(AND('制度詳細'!$J$43&lt;&gt;"",'制度詳細'!$J$43&gt;=AK$128,'制度詳細'!$J$43&lt;=EOMONTH(AK$128,0)),"◆","")))</x:f>
      </x:c>
      <x:c r="AL133" s="57" t="str">
        <x:f>IF('制度詳細'!$H$43="",IF('制度詳細'!$J$43="","",IF(AND('制度詳細'!$J$43&gt;=AL$128,'制度詳細'!$J$43&lt;=EOMONTH(AL$128,0)),"◆","")),IF(MAX('制度詳細'!$H$43,AL$128)&lt;=MIN(IF('制度詳細'!$I$43="",EOMONTH(AL$128,0),'制度詳細'!$I$43),EOMONTH(AL$128,0)),"■",IF(AND('制度詳細'!$J$43&lt;&gt;"",'制度詳細'!$J$43&gt;=AL$128,'制度詳細'!$J$43&lt;=EOMONTH(AL$128,0)),"◆","")))</x:f>
      </x:c>
      <x:c r="AM133" s="57" t="str">
        <x:f>IF('制度詳細'!$H$43="",IF('制度詳細'!$J$43="","",IF(AND('制度詳細'!$J$43&gt;=AM$128,'制度詳細'!$J$43&lt;=EOMONTH(AM$128,0)),"◆","")),IF(MAX('制度詳細'!$H$43,AM$128)&lt;=MIN(IF('制度詳細'!$I$43="",EOMONTH(AM$128,0),'制度詳細'!$I$43),EOMONTH(AM$128,0)),"■",IF(AND('制度詳細'!$J$43&lt;&gt;"",'制度詳細'!$J$43&gt;=AM$128,'制度詳細'!$J$43&lt;=EOMONTH(AM$128,0)),"◆","")))</x:f>
      </x:c>
      <x:c r="AN133" s="57" t="str">
        <x:f>IF('制度詳細'!$H$43="",IF('制度詳細'!$J$43="","",IF(AND('制度詳細'!$J$43&gt;=AN$128,'制度詳細'!$J$43&lt;=EOMONTH(AN$128,0)),"◆","")),IF(MAX('制度詳細'!$H$43,AN$128)&lt;=MIN(IF('制度詳細'!$I$43="",EOMONTH(AN$128,0),'制度詳細'!$I$43),EOMONTH(AN$128,0)),"■",IF(AND('制度詳細'!$J$43&lt;&gt;"",'制度詳細'!$J$43&gt;=AN$128,'制度詳細'!$J$43&lt;=EOMONTH(AN$128,0)),"◆","")))</x:f>
      </x:c>
      <x:c r="AO133" s="57" t="str">
        <x:f>IF('制度詳細'!$H$43="",IF('制度詳細'!$J$43="","",IF(AND('制度詳細'!$J$43&gt;=AO$128,'制度詳細'!$J$43&lt;=EOMONTH(AO$128,0)),"◆","")),IF(MAX('制度詳細'!$H$43,AO$128)&lt;=MIN(IF('制度詳細'!$I$43="",EOMONTH(AO$128,0),'制度詳細'!$I$43),EOMONTH(AO$128,0)),"■",IF(AND('制度詳細'!$J$43&lt;&gt;"",'制度詳細'!$J$43&gt;=AO$128,'制度詳細'!$J$43&lt;=EOMONTH(AO$128,0)),"◆","")))</x:f>
      </x:c>
      <x:c r="AP133" s="57" t="str">
        <x:f>IF('制度詳細'!$H$43="",IF('制度詳細'!$J$43="","",IF(AND('制度詳細'!$J$43&gt;=AP$128,'制度詳細'!$J$43&lt;=EOMONTH(AP$128,0)),"◆","")),IF(MAX('制度詳細'!$H$43,AP$128)&lt;=MIN(IF('制度詳細'!$I$43="",EOMONTH(AP$128,0),'制度詳細'!$I$43),EOMONTH(AP$128,0)),"■",IF(AND('制度詳細'!$J$43&lt;&gt;"",'制度詳細'!$J$43&gt;=AP$128,'制度詳細'!$J$43&lt;=EOMONTH(AP$128,0)),"◆","")))</x:f>
      </x:c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  <x:c r="CW210" s="1"/>
      <x:c r="CX210" s="1"/>
      <x:c r="CY210" s="1"/>
      <x:c r="CZ210" s="1"/>
      <x:c r="DA210" s="1"/>
      <x:c r="DB210" s="1"/>
      <x:c r="DC210" s="1"/>
      <x:c r="DD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/>
      <x:c r="CZ214" s="1"/>
      <x:c r="DA214" s="1"/>
      <x:c r="DB214" s="1"/>
      <x:c r="DC214" s="1"/>
      <x:c r="DD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/>
      <x:c r="CY228" s="1"/>
      <x:c r="CZ228" s="1"/>
      <x:c r="DA228" s="1"/>
      <x:c r="DB228" s="1"/>
      <x:c r="DC228" s="1"/>
      <x:c r="DD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  <x:c r="CW232" s="1"/>
      <x:c r="CX232" s="1"/>
      <x:c r="CY232" s="1"/>
      <x:c r="CZ232" s="1"/>
      <x:c r="DA232" s="1"/>
      <x:c r="DB232" s="1"/>
      <x:c r="DC232" s="1"/>
      <x:c r="DD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  <x:c r="CW237" s="1"/>
      <x:c r="CX237" s="1"/>
      <x:c r="CY237" s="1"/>
      <x:c r="CZ237" s="1"/>
      <x:c r="DA237" s="1"/>
      <x:c r="DB237" s="1"/>
      <x:c r="DC237" s="1"/>
      <x:c r="DD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  <x:c r="CW245" s="1"/>
      <x:c r="CX245" s="1"/>
      <x:c r="CY245" s="1"/>
      <x:c r="CZ245" s="1"/>
      <x:c r="DA245" s="1"/>
      <x:c r="DB245" s="1"/>
      <x:c r="DC245" s="1"/>
      <x:c r="DD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/>
      <x:c r="CZ247" s="1"/>
      <x:c r="DA247" s="1"/>
      <x:c r="DB247" s="1"/>
      <x:c r="DC247" s="1"/>
      <x:c r="DD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/>
      <x:c r="CY249" s="1"/>
      <x:c r="CZ249" s="1"/>
      <x:c r="DA249" s="1"/>
      <x:c r="DB249" s="1"/>
      <x:c r="DC249" s="1"/>
      <x:c r="DD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/>
      <x:c r="CY250" s="1"/>
      <x:c r="CZ250" s="1"/>
      <x:c r="DA250" s="1"/>
      <x:c r="DB250" s="1"/>
      <x:c r="DC250" s="1"/>
      <x:c r="DD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/>
      <x:c r="CY252" s="1"/>
      <x:c r="CZ252" s="1"/>
      <x:c r="DA252" s="1"/>
      <x:c r="DB252" s="1"/>
      <x:c r="DC252" s="1"/>
      <x:c r="DD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/>
      <x:c r="CZ260" s="1"/>
      <x:c r="DA260" s="1"/>
      <x:c r="DB260" s="1"/>
      <x:c r="DC260" s="1"/>
      <x:c r="DD260" s="1"/>
    </x:row>
  </x:sheetData>
  <x:mergeCells>
    <x:mergeCell ref="A1:AP1"/>
    <x:mergeCell ref="A2:AP2"/>
    <x:mergeCell ref="A3:AP3"/>
    <x:mergeCell ref="A5:D5"/>
    <x:mergeCell ref="E5:H5"/>
    <x:mergeCell ref="J5:AP5"/>
    <x:mergeCell ref="A6:AP6"/>
    <x:mergeCell ref="A8:AP8"/>
    <x:mergeCell ref="A9:AP9"/>
    <x:mergeCell ref="A10:F21"/>
    <x:mergeCell ref="A22:B22"/>
    <x:mergeCell ref="C22:D22"/>
    <x:mergeCell ref="E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  <x:mergeCell ref="A35:AP35"/>
    <x:mergeCell ref="A36:AP36"/>
    <x:mergeCell ref="A37:F48"/>
    <x:mergeCell ref="A49:B49"/>
    <x:mergeCell ref="C49:D49"/>
    <x:mergeCell ref="E49:F49"/>
    <x:mergeCell ref="A50:F50"/>
    <x:mergeCell ref="A51:F51"/>
    <x:mergeCell ref="A52:F52"/>
    <x:mergeCell ref="A53:F53"/>
    <x:mergeCell ref="A54:F54"/>
    <x:mergeCell ref="A55:F55"/>
    <x:mergeCell ref="A56:F56"/>
    <x:mergeCell ref="A57:F57"/>
    <x:mergeCell ref="A58:F58"/>
    <x:mergeCell ref="A59:F59"/>
    <x:mergeCell ref="A62:AP62"/>
    <x:mergeCell ref="A63:AP63"/>
    <x:mergeCell ref="A64:F75"/>
    <x:mergeCell ref="A76:B76"/>
    <x:mergeCell ref="C76:D76"/>
    <x:mergeCell ref="E76:F76"/>
    <x:mergeCell ref="A77:F77"/>
    <x:mergeCell ref="A78:F78"/>
    <x:mergeCell ref="A79:F79"/>
    <x:mergeCell ref="A80:F80"/>
    <x:mergeCell ref="A81:F81"/>
    <x:mergeCell ref="A82:F82"/>
    <x:mergeCell ref="A85:AP85"/>
    <x:mergeCell ref="A86:AP86"/>
    <x:mergeCell ref="A87:F98"/>
    <x:mergeCell ref="A99:B99"/>
    <x:mergeCell ref="C99:D99"/>
    <x:mergeCell ref="E99:F99"/>
    <x:mergeCell ref="A100:F100"/>
    <x:mergeCell ref="A101:F101"/>
    <x:mergeCell ref="A102:F102"/>
    <x:mergeCell ref="A103:F103"/>
    <x:mergeCell ref="A104:F104"/>
    <x:mergeCell ref="A105:F105"/>
    <x:mergeCell ref="A106:F106"/>
    <x:mergeCell ref="A107:F107"/>
    <x:mergeCell ref="A108:F108"/>
    <x:mergeCell ref="A109:F109"/>
    <x:mergeCell ref="A110:F110"/>
    <x:mergeCell ref="A113:AP113"/>
    <x:mergeCell ref="A114:AP114"/>
    <x:mergeCell ref="A115:F126"/>
    <x:mergeCell ref="A127:B127"/>
    <x:mergeCell ref="C127:D127"/>
    <x:mergeCell ref="E127:F127"/>
    <x:mergeCell ref="A128:F128"/>
    <x:mergeCell ref="A129:F129"/>
    <x:mergeCell ref="A130:F130"/>
    <x:mergeCell ref="A131:F131"/>
    <x:mergeCell ref="A132:F132"/>
    <x:mergeCell ref="A133:F133"/>
  </x:mergeCells>
  <x:conditionalFormatting sqref="G24:AP24">
    <x:cfRule type="expression" dxfId="0" priority="1">
      <x:formula>AND(G24="■",G$23&lt;=DATE(2026,10,1))</x:formula>
    </x:cfRule>
    <x:cfRule type="expression" dxfId="1" priority="2">
      <x:formula>AND(G24="■",G$23&gt;DATE(2026,10,1))</x:formula>
    </x:cfRule>
    <x:cfRule type="expression" dxfId="2" priority="3">
      <x:formula>G24="◆"</x:formula>
    </x:cfRule>
  </x:conditionalFormatting>
  <x:conditionalFormatting sqref="G25:AP25">
    <x:cfRule type="expression" dxfId="3" priority="4">
      <x:formula>AND(G25="■",G$23&lt;=DATE(2026,10,1))</x:formula>
    </x:cfRule>
    <x:cfRule type="expression" dxfId="4" priority="5">
      <x:formula>AND(G25="■",G$23&gt;DATE(2026,10,1))</x:formula>
    </x:cfRule>
    <x:cfRule type="expression" dxfId="5" priority="6">
      <x:formula>G25="◆"</x:formula>
    </x:cfRule>
  </x:conditionalFormatting>
  <x:conditionalFormatting sqref="G26:AP26">
    <x:cfRule type="expression" dxfId="6" priority="7">
      <x:formula>AND(G26="■",G$23&lt;=DATE(2026,10,1))</x:formula>
    </x:cfRule>
    <x:cfRule type="expression" dxfId="7" priority="8">
      <x:formula>AND(G26="■",G$23&gt;DATE(2026,10,1))</x:formula>
    </x:cfRule>
    <x:cfRule type="expression" dxfId="8" priority="9">
      <x:formula>G26="◆"</x:formula>
    </x:cfRule>
  </x:conditionalFormatting>
  <x:conditionalFormatting sqref="G27:AP27">
    <x:cfRule type="expression" dxfId="9" priority="10">
      <x:formula>AND(G27="■",G$23&lt;=DATE(2026,10,1))</x:formula>
    </x:cfRule>
    <x:cfRule type="expression" dxfId="10" priority="11">
      <x:formula>AND(G27="■",G$23&gt;DATE(2026,10,1))</x:formula>
    </x:cfRule>
    <x:cfRule type="expression" dxfId="11" priority="12">
      <x:formula>G27="◆"</x:formula>
    </x:cfRule>
  </x:conditionalFormatting>
  <x:conditionalFormatting sqref="G28:AP28">
    <x:cfRule type="expression" dxfId="12" priority="13">
      <x:formula>AND(G28="■",G$23&lt;=DATE(2026,10,1))</x:formula>
    </x:cfRule>
    <x:cfRule type="expression" dxfId="13" priority="14">
      <x:formula>AND(G28="■",G$23&gt;DATE(2026,10,1))</x:formula>
    </x:cfRule>
    <x:cfRule type="expression" dxfId="14" priority="15">
      <x:formula>G28="◆"</x:formula>
    </x:cfRule>
  </x:conditionalFormatting>
  <x:conditionalFormatting sqref="G29:AP29">
    <x:cfRule type="expression" dxfId="15" priority="16">
      <x:formula>AND(G29="■",G$23&lt;=DATE(2026,10,1))</x:formula>
    </x:cfRule>
    <x:cfRule type="expression" dxfId="16" priority="17">
      <x:formula>AND(G29="■",G$23&gt;DATE(2026,10,1))</x:formula>
    </x:cfRule>
    <x:cfRule type="expression" dxfId="17" priority="18">
      <x:formula>G29="◆"</x:formula>
    </x:cfRule>
  </x:conditionalFormatting>
  <x:conditionalFormatting sqref="G30:AP30">
    <x:cfRule type="expression" dxfId="18" priority="19">
      <x:formula>AND(G30="■",G$23&lt;=DATE(2026,10,1))</x:formula>
    </x:cfRule>
    <x:cfRule type="expression" dxfId="19" priority="20">
      <x:formula>AND(G30="■",G$23&gt;DATE(2026,10,1))</x:formula>
    </x:cfRule>
    <x:cfRule type="expression" dxfId="20" priority="21">
      <x:formula>G30="◆"</x:formula>
    </x:cfRule>
  </x:conditionalFormatting>
  <x:conditionalFormatting sqref="G31:AP31">
    <x:cfRule type="expression" dxfId="21" priority="22">
      <x:formula>AND(G31="■",G$23&lt;=DATE(2026,10,1))</x:formula>
    </x:cfRule>
    <x:cfRule type="expression" dxfId="22" priority="23">
      <x:formula>AND(G31="■",G$23&gt;DATE(2026,10,1))</x:formula>
    </x:cfRule>
    <x:cfRule type="expression" dxfId="23" priority="24">
      <x:formula>G31="◆"</x:formula>
    </x:cfRule>
  </x:conditionalFormatting>
  <x:conditionalFormatting sqref="G32:AP32">
    <x:cfRule type="expression" dxfId="24" priority="25">
      <x:formula>AND(G32="■",G$23&lt;=DATE(2026,10,1))</x:formula>
    </x:cfRule>
    <x:cfRule type="expression" dxfId="25" priority="26">
      <x:formula>AND(G32="■",G$23&gt;DATE(2026,10,1))</x:formula>
    </x:cfRule>
    <x:cfRule type="expression" dxfId="26" priority="27">
      <x:formula>G32="◆"</x:formula>
    </x:cfRule>
  </x:conditionalFormatting>
  <x:conditionalFormatting sqref="G51:AP51">
    <x:cfRule type="expression" dxfId="27" priority="28">
      <x:formula>AND(G51="■",G$50&lt;=DATE(2026,10,1))</x:formula>
    </x:cfRule>
    <x:cfRule type="expression" dxfId="28" priority="29">
      <x:formula>AND(G51="■",G$50&gt;DATE(2026,10,1))</x:formula>
    </x:cfRule>
    <x:cfRule type="expression" dxfId="29" priority="30">
      <x:formula>G51="◆"</x:formula>
    </x:cfRule>
  </x:conditionalFormatting>
  <x:conditionalFormatting sqref="G52:AP52">
    <x:cfRule type="expression" dxfId="30" priority="31">
      <x:formula>AND(G52="■",G$50&lt;=DATE(2026,10,1))</x:formula>
    </x:cfRule>
    <x:cfRule type="expression" dxfId="31" priority="32">
      <x:formula>AND(G52="■",G$50&gt;DATE(2026,10,1))</x:formula>
    </x:cfRule>
    <x:cfRule type="expression" dxfId="32" priority="33">
      <x:formula>G52="◆"</x:formula>
    </x:cfRule>
  </x:conditionalFormatting>
  <x:conditionalFormatting sqref="G53:AP53">
    <x:cfRule type="expression" dxfId="33" priority="34">
      <x:formula>AND(G53="■",G$50&lt;=DATE(2026,10,1))</x:formula>
    </x:cfRule>
    <x:cfRule type="expression" dxfId="34" priority="35">
      <x:formula>AND(G53="■",G$50&gt;DATE(2026,10,1))</x:formula>
    </x:cfRule>
    <x:cfRule type="expression" dxfId="35" priority="36">
      <x:formula>G53="◆"</x:formula>
    </x:cfRule>
  </x:conditionalFormatting>
  <x:conditionalFormatting sqref="G54:AP54">
    <x:cfRule type="expression" dxfId="36" priority="37">
      <x:formula>AND(G54="■",G$50&lt;=DATE(2026,10,1))</x:formula>
    </x:cfRule>
    <x:cfRule type="expression" dxfId="37" priority="38">
      <x:formula>AND(G54="■",G$50&gt;DATE(2026,10,1))</x:formula>
    </x:cfRule>
    <x:cfRule type="expression" dxfId="38" priority="39">
      <x:formula>G54="◆"</x:formula>
    </x:cfRule>
  </x:conditionalFormatting>
  <x:conditionalFormatting sqref="G55:AP55">
    <x:cfRule type="expression" dxfId="39" priority="40">
      <x:formula>AND(G55="■",G$50&lt;=DATE(2026,10,1))</x:formula>
    </x:cfRule>
    <x:cfRule type="expression" dxfId="40" priority="41">
      <x:formula>AND(G55="■",G$50&gt;DATE(2026,10,1))</x:formula>
    </x:cfRule>
    <x:cfRule type="expression" dxfId="41" priority="42">
      <x:formula>G55="◆"</x:formula>
    </x:cfRule>
  </x:conditionalFormatting>
  <x:conditionalFormatting sqref="G56:AP56">
    <x:cfRule type="expression" dxfId="42" priority="43">
      <x:formula>AND(G56="■",G$50&lt;=DATE(2026,10,1))</x:formula>
    </x:cfRule>
    <x:cfRule type="expression" dxfId="43" priority="44">
      <x:formula>AND(G56="■",G$50&gt;DATE(2026,10,1))</x:formula>
    </x:cfRule>
    <x:cfRule type="expression" dxfId="44" priority="45">
      <x:formula>G56="◆"</x:formula>
    </x:cfRule>
  </x:conditionalFormatting>
  <x:conditionalFormatting sqref="G57:AP57">
    <x:cfRule type="expression" dxfId="45" priority="46">
      <x:formula>AND(G57="■",G$50&lt;=DATE(2026,10,1))</x:formula>
    </x:cfRule>
    <x:cfRule type="expression" dxfId="46" priority="47">
      <x:formula>AND(G57="■",G$50&gt;DATE(2026,10,1))</x:formula>
    </x:cfRule>
    <x:cfRule type="expression" dxfId="47" priority="48">
      <x:formula>G57="◆"</x:formula>
    </x:cfRule>
  </x:conditionalFormatting>
  <x:conditionalFormatting sqref="G58:AP58">
    <x:cfRule type="expression" dxfId="48" priority="49">
      <x:formula>AND(G58="■",G$50&lt;=DATE(2026,10,1))</x:formula>
    </x:cfRule>
    <x:cfRule type="expression" dxfId="49" priority="50">
      <x:formula>AND(G58="■",G$50&gt;DATE(2026,10,1))</x:formula>
    </x:cfRule>
    <x:cfRule type="expression" dxfId="50" priority="51">
      <x:formula>G58="◆"</x:formula>
    </x:cfRule>
  </x:conditionalFormatting>
  <x:conditionalFormatting sqref="G59:AP59">
    <x:cfRule type="expression" dxfId="51" priority="52">
      <x:formula>AND(G59="■",G$50&lt;=DATE(2026,10,1))</x:formula>
    </x:cfRule>
    <x:cfRule type="expression" dxfId="52" priority="53">
      <x:formula>AND(G59="■",G$50&gt;DATE(2026,10,1))</x:formula>
    </x:cfRule>
    <x:cfRule type="expression" dxfId="53" priority="54">
      <x:formula>G59="◆"</x:formula>
    </x:cfRule>
  </x:conditionalFormatting>
  <x:conditionalFormatting sqref="G78:AP78">
    <x:cfRule type="expression" dxfId="54" priority="55">
      <x:formula>AND(G78="■",G$77&lt;=DATE(2026,10,1))</x:formula>
    </x:cfRule>
    <x:cfRule type="expression" dxfId="55" priority="56">
      <x:formula>AND(G78="■",G$77&gt;DATE(2026,10,1))</x:formula>
    </x:cfRule>
    <x:cfRule type="expression" dxfId="56" priority="57">
      <x:formula>G78="◆"</x:formula>
    </x:cfRule>
  </x:conditionalFormatting>
  <x:conditionalFormatting sqref="G79:AP79">
    <x:cfRule type="expression" dxfId="57" priority="58">
      <x:formula>AND(G79="■",G$77&lt;=DATE(2026,10,1))</x:formula>
    </x:cfRule>
    <x:cfRule type="expression" dxfId="58" priority="59">
      <x:formula>AND(G79="■",G$77&gt;DATE(2026,10,1))</x:formula>
    </x:cfRule>
    <x:cfRule type="expression" dxfId="59" priority="60">
      <x:formula>G79="◆"</x:formula>
    </x:cfRule>
  </x:conditionalFormatting>
  <x:conditionalFormatting sqref="G80:AP80">
    <x:cfRule type="expression" dxfId="60" priority="61">
      <x:formula>AND(G80="■",G$77&lt;=DATE(2026,10,1))</x:formula>
    </x:cfRule>
    <x:cfRule type="expression" dxfId="61" priority="62">
      <x:formula>AND(G80="■",G$77&gt;DATE(2026,10,1))</x:formula>
    </x:cfRule>
    <x:cfRule type="expression" dxfId="62" priority="63">
      <x:formula>G80="◆"</x:formula>
    </x:cfRule>
  </x:conditionalFormatting>
  <x:conditionalFormatting sqref="G81:AP81">
    <x:cfRule type="expression" dxfId="63" priority="64">
      <x:formula>AND(G81="■",G$77&lt;=DATE(2026,10,1))</x:formula>
    </x:cfRule>
    <x:cfRule type="expression" dxfId="64" priority="65">
      <x:formula>AND(G81="■",G$77&gt;DATE(2026,10,1))</x:formula>
    </x:cfRule>
    <x:cfRule type="expression" dxfId="65" priority="66">
      <x:formula>G81="◆"</x:formula>
    </x:cfRule>
  </x:conditionalFormatting>
  <x:conditionalFormatting sqref="G82:AP82">
    <x:cfRule type="expression" dxfId="66" priority="67">
      <x:formula>AND(G82="■",G$77&lt;=DATE(2026,10,1))</x:formula>
    </x:cfRule>
    <x:cfRule type="expression" dxfId="67" priority="68">
      <x:formula>AND(G82="■",G$77&gt;DATE(2026,10,1))</x:formula>
    </x:cfRule>
    <x:cfRule type="expression" dxfId="68" priority="69">
      <x:formula>G82="◆"</x:formula>
    </x:cfRule>
  </x:conditionalFormatting>
  <x:conditionalFormatting sqref="G101:AP101">
    <x:cfRule type="expression" dxfId="69" priority="70">
      <x:formula>AND(G101="■",G$100&lt;=DATE(2026,10,1))</x:formula>
    </x:cfRule>
    <x:cfRule type="expression" dxfId="70" priority="71">
      <x:formula>AND(G101="■",G$100&gt;DATE(2026,10,1))</x:formula>
    </x:cfRule>
    <x:cfRule type="expression" dxfId="71" priority="72">
      <x:formula>G101="◆"</x:formula>
    </x:cfRule>
  </x:conditionalFormatting>
  <x:conditionalFormatting sqref="G102:AP102">
    <x:cfRule type="expression" dxfId="72" priority="73">
      <x:formula>AND(G102="■",G$100&lt;=DATE(2026,10,1))</x:formula>
    </x:cfRule>
    <x:cfRule type="expression" dxfId="73" priority="74">
      <x:formula>AND(G102="■",G$100&gt;DATE(2026,10,1))</x:formula>
    </x:cfRule>
    <x:cfRule type="expression" dxfId="74" priority="75">
      <x:formula>G102="◆"</x:formula>
    </x:cfRule>
  </x:conditionalFormatting>
  <x:conditionalFormatting sqref="G103:AP103">
    <x:cfRule type="expression" dxfId="75" priority="76">
      <x:formula>AND(G103="■",G$100&lt;=DATE(2026,10,1))</x:formula>
    </x:cfRule>
    <x:cfRule type="expression" dxfId="76" priority="77">
      <x:formula>AND(G103="■",G$100&gt;DATE(2026,10,1))</x:formula>
    </x:cfRule>
    <x:cfRule type="expression" dxfId="77" priority="78">
      <x:formula>G103="◆"</x:formula>
    </x:cfRule>
  </x:conditionalFormatting>
  <x:conditionalFormatting sqref="G104:AP104">
    <x:cfRule type="expression" dxfId="78" priority="79">
      <x:formula>AND(G104="■",G$100&lt;=DATE(2026,10,1))</x:formula>
    </x:cfRule>
    <x:cfRule type="expression" dxfId="79" priority="80">
      <x:formula>AND(G104="■",G$100&gt;DATE(2026,10,1))</x:formula>
    </x:cfRule>
    <x:cfRule type="expression" dxfId="80" priority="81">
      <x:formula>G104="◆"</x:formula>
    </x:cfRule>
  </x:conditionalFormatting>
  <x:conditionalFormatting sqref="G105:AP105">
    <x:cfRule type="expression" dxfId="81" priority="82">
      <x:formula>AND(G105="■",G$100&lt;=DATE(2026,10,1))</x:formula>
    </x:cfRule>
    <x:cfRule type="expression" dxfId="82" priority="83">
      <x:formula>AND(G105="■",G$100&gt;DATE(2026,10,1))</x:formula>
    </x:cfRule>
    <x:cfRule type="expression" dxfId="83" priority="84">
      <x:formula>G105="◆"</x:formula>
    </x:cfRule>
    <x:cfRule type="expression" dxfId="84" priority="85">
      <x:formula>G105="■"</x:formula>
    </x:cfRule>
  </x:conditionalFormatting>
  <x:conditionalFormatting sqref="G106:AP106">
    <x:cfRule type="expression" dxfId="85" priority="86">
      <x:formula>AND(G106="■",G$100&lt;=DATE(2026,10,1))</x:formula>
    </x:cfRule>
    <x:cfRule type="expression" dxfId="86" priority="87">
      <x:formula>AND(G106="■",G$100&gt;DATE(2026,10,1))</x:formula>
    </x:cfRule>
    <x:cfRule type="expression" dxfId="87" priority="88">
      <x:formula>G106="◆"</x:formula>
    </x:cfRule>
  </x:conditionalFormatting>
  <x:conditionalFormatting sqref="G107:AP107">
    <x:cfRule type="expression" dxfId="88" priority="89">
      <x:formula>AND(G107="■",G$100&lt;=DATE(2026,10,1))</x:formula>
    </x:cfRule>
    <x:cfRule type="expression" dxfId="89" priority="90">
      <x:formula>AND(G107="■",G$100&gt;DATE(2026,10,1))</x:formula>
    </x:cfRule>
    <x:cfRule type="expression" dxfId="90" priority="91">
      <x:formula>G107="◆"</x:formula>
    </x:cfRule>
  </x:conditionalFormatting>
  <x:conditionalFormatting sqref="G108:AP108">
    <x:cfRule type="expression" dxfId="91" priority="92">
      <x:formula>AND(G108="■",G$100&lt;=DATE(2026,10,1))</x:formula>
    </x:cfRule>
    <x:cfRule type="expression" dxfId="92" priority="93">
      <x:formula>AND(G108="■",G$100&gt;DATE(2026,10,1))</x:formula>
    </x:cfRule>
    <x:cfRule type="expression" dxfId="93" priority="94">
      <x:formula>G108="◆"</x:formula>
    </x:cfRule>
  </x:conditionalFormatting>
  <x:conditionalFormatting sqref="G109:AP109">
    <x:cfRule type="expression" dxfId="94" priority="95">
      <x:formula>AND(G109="■",G$100&lt;=DATE(2026,10,1))</x:formula>
    </x:cfRule>
    <x:cfRule type="expression" dxfId="95" priority="96">
      <x:formula>AND(G109="■",G$100&gt;DATE(2026,10,1))</x:formula>
    </x:cfRule>
    <x:cfRule type="expression" dxfId="96" priority="97">
      <x:formula>G109="◆"</x:formula>
    </x:cfRule>
  </x:conditionalFormatting>
  <x:conditionalFormatting sqref="G110:AP110">
    <x:cfRule type="expression" dxfId="97" priority="98">
      <x:formula>AND(G110="■",G$100&lt;=DATE(2026,10,1))</x:formula>
    </x:cfRule>
    <x:cfRule type="expression" dxfId="98" priority="99">
      <x:formula>AND(G110="■",G$100&gt;DATE(2026,10,1))</x:formula>
    </x:cfRule>
    <x:cfRule type="expression" dxfId="99" priority="100">
      <x:formula>G110="◆"</x:formula>
    </x:cfRule>
  </x:conditionalFormatting>
  <x:conditionalFormatting sqref="G129:AP129">
    <x:cfRule type="expression" dxfId="100" priority="101">
      <x:formula>AND(G129="■",G$128&lt;=DATE(2026,10,1))</x:formula>
    </x:cfRule>
    <x:cfRule type="expression" dxfId="101" priority="102">
      <x:formula>AND(G129="■",G$128&gt;DATE(2026,10,1))</x:formula>
    </x:cfRule>
    <x:cfRule type="expression" dxfId="102" priority="103">
      <x:formula>G129="◆"</x:formula>
    </x:cfRule>
  </x:conditionalFormatting>
  <x:conditionalFormatting sqref="G130:AP130">
    <x:cfRule type="expression" dxfId="103" priority="104">
      <x:formula>AND(G130="■",G$128&lt;=DATE(2026,10,1))</x:formula>
    </x:cfRule>
    <x:cfRule type="expression" dxfId="104" priority="105">
      <x:formula>AND(G130="■",G$128&gt;DATE(2026,10,1))</x:formula>
    </x:cfRule>
    <x:cfRule type="expression" dxfId="105" priority="106">
      <x:formula>G130="◆"</x:formula>
    </x:cfRule>
  </x:conditionalFormatting>
  <x:conditionalFormatting sqref="G131:AP131">
    <x:cfRule type="expression" dxfId="106" priority="107">
      <x:formula>AND(G131="■",G$128&lt;=DATE(2026,10,1))</x:formula>
    </x:cfRule>
    <x:cfRule type="expression" dxfId="107" priority="108">
      <x:formula>AND(G131="■",G$128&gt;DATE(2026,10,1))</x:formula>
    </x:cfRule>
    <x:cfRule type="expression" dxfId="108" priority="109">
      <x:formula>G131="◆"</x:formula>
    </x:cfRule>
  </x:conditionalFormatting>
  <x:conditionalFormatting sqref="G132:AP132">
    <x:cfRule type="expression" dxfId="109" priority="110">
      <x:formula>AND(G132="■",G$128&lt;=DATE(2026,10,1))</x:formula>
    </x:cfRule>
    <x:cfRule type="expression" dxfId="110" priority="111">
      <x:formula>AND(G132="■",G$128&gt;DATE(2026,10,1))</x:formula>
    </x:cfRule>
    <x:cfRule type="expression" dxfId="111" priority="112">
      <x:formula>G132="◆"</x:formula>
    </x:cfRule>
  </x:conditionalFormatting>
  <x:conditionalFormatting sqref="G133:AP133">
    <x:cfRule type="expression" dxfId="112" priority="113">
      <x:formula>AND(G133="■",G$128&lt;=DATE(2026,10,1))</x:formula>
    </x:cfRule>
    <x:cfRule type="expression" dxfId="113" priority="114">
      <x:formula>AND(G133="■",G$128&gt;DATE(2026,10,1))</x:formula>
    </x:cfRule>
    <x:cfRule type="expression" dxfId="114" priority="115">
      <x:formula>G133="◆"</x:formula>
    </x:cfRule>
  </x:conditionalFormatting>
  <x:dataValidations count="1">
    <x:dataValidation type="list" sqref="E5">
      <x:formula1>'月次販売入力'!$A$7:$A$67</x:formula1>
    </x:dataValidation>
  </x:dataValidations>
  <x:pageMargins left="0.7" right="0.7" top="0.75" bottom="0.75" header="0.3" footer="0.3"/>
  <x:drawing xmlns:r="http://schemas.openxmlformats.org/officeDocument/2006/relationships" r:id="Re6f94402c7a14659"/>
</x:worksheet>
</file>

<file path=xl/worksheets/sheet2.xml><?xml version="1.0" encoding="utf-8"?>
<x:worksheet xmlns:x="http://schemas.openxmlformats.org/spreadsheetml/2006/main">
  <x:sheetPr>
    <x:tabColor rgb="FF15324F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9" hidden="0" customWidth="1"/>
    <x:col min="4" max="4" width="17" hidden="0" customWidth="1"/>
    <x:col min="5" max="5" width="3.109999895095825" hidden="0" customWidth="1"/>
    <x:col min="6" max="6" width="3.109999895095825" hidden="0" customWidth="1"/>
    <x:col min="7" max="7" width="3.109999895095825" hidden="0" customWidth="1"/>
    <x:col min="8" max="8" width="3.109999895095825" hidden="0" customWidth="1"/>
    <x:col min="9" max="9" width="3.109999895095825" hidden="0" customWidth="1"/>
    <x:col min="10" max="10" width="3.109999895095825" hidden="0" customWidth="1"/>
    <x:col min="11" max="11" width="3.109999895095825" hidden="0" customWidth="1"/>
    <x:col min="12" max="12" width="3.109999895095825" hidden="0" customWidth="1"/>
    <x:col min="13" max="13" width="3.109999895095825" hidden="0" customWidth="1"/>
    <x:col min="14" max="14" width="3.109999895095825" hidden="0" customWidth="1"/>
    <x:col min="15" max="15" width="3.109999895095825" hidden="0" customWidth="1"/>
    <x:col min="16" max="16" width="3.109999895095825" hidden="0" customWidth="1"/>
    <x:col min="17" max="17" width="3.109999895095825" hidden="0" customWidth="1"/>
    <x:col min="18" max="18" width="3.109999895095825" hidden="0" customWidth="1"/>
    <x:col min="19" max="19" width="3.109999895095825" hidden="0" customWidth="1"/>
    <x:col min="20" max="20" width="3.109999895095825" hidden="0" customWidth="1"/>
    <x:col min="21" max="21" width="3.109999895095825" hidden="0" customWidth="1"/>
    <x:col min="22" max="22" width="3.109999895095825" hidden="0" customWidth="1"/>
    <x:col min="23" max="23" width="3.109999895095825" hidden="0" customWidth="1"/>
    <x:col min="24" max="24" width="3.109999895095825" hidden="0" customWidth="1"/>
    <x:col min="25" max="25" width="3.109999895095825" hidden="0" customWidth="1"/>
    <x:col min="26" max="26" width="3.109999895095825" hidden="0" customWidth="1"/>
    <x:col min="27" max="27" width="3.109999895095825" hidden="0" customWidth="1"/>
    <x:col min="28" max="28" width="3.109999895095825" hidden="0" customWidth="1"/>
    <x:col min="29" max="29" width="3.109999895095825" hidden="0" customWidth="1"/>
    <x:col min="30" max="30" width="3.109999895095825" hidden="0" customWidth="1"/>
    <x:col min="31" max="31" width="3.109999895095825" hidden="0" customWidth="1"/>
    <x:col min="32" max="32" width="3.109999895095825" hidden="0" customWidth="1"/>
    <x:col min="33" max="33" width="3.109999895095825" hidden="0" customWidth="1"/>
    <x:col min="34" max="34" width="3.109999895095825" hidden="0" customWidth="1"/>
    <x:col min="35" max="35" width="3.109999895095825" hidden="0" customWidth="1"/>
    <x:col min="36" max="36" width="3.109999895095825" hidden="0" customWidth="1"/>
    <x:col min="37" max="37" width="3.109999895095825" hidden="0" customWidth="1"/>
    <x:col min="38" max="38" width="3.109999895095825" hidden="0" customWidth="1"/>
    <x:col min="39" max="39" width="3.109999895095825" hidden="0" customWidth="1"/>
    <x:col min="40" max="40" width="3.109999895095825" hidden="0" customWidth="1"/>
    <x:col min="41" max="41" width="3.109999895095825" hidden="0" customWidth="1"/>
    <x:col min="42" max="42" width="3.109999895095825" hidden="0" customWidth="1"/>
    <x:col min="43" max="43" width="3.109999895095825" hidden="0" customWidth="1"/>
    <x:col min="44" max="44" width="3.109999895095825" hidden="0" customWidth="1"/>
    <x:col min="45" max="45" width="3.109999895095825" hidden="0" customWidth="1"/>
    <x:col min="46" max="46" width="3.109999895095825" hidden="0" customWidth="1"/>
    <x:col min="47" max="47" width="3.109999895095825" hidden="0" customWidth="1"/>
    <x:col min="48" max="48" width="3.109999895095825" hidden="0" customWidth="1"/>
    <x:col min="49" max="49" width="3.109999895095825" hidden="0" customWidth="1"/>
    <x:col min="50" max="50" width="3.109999895095825" hidden="0" customWidth="1"/>
    <x:col min="51" max="51" width="3.109999895095825" hidden="0" customWidth="1"/>
    <x:col min="52" max="52" width="3.109999895095825" hidden="0" customWidth="1"/>
    <x:col min="53" max="53" width="3.109999895095825" hidden="0" customWidth="1"/>
    <x:col min="54" max="54" width="3.109999895095825" hidden="0" customWidth="1"/>
    <x:col min="55" max="55" width="3.109999895095825" hidden="0" customWidth="1"/>
    <x:col min="56" max="56" width="3.109999895095825" hidden="0" customWidth="1"/>
    <x:col min="57" max="57" width="3.109999895095825" hidden="0" customWidth="1"/>
    <x:col min="58" max="58" width="3.109999895095825" hidden="0" customWidth="1"/>
    <x:col min="59" max="59" width="3.109999895095825" hidden="0" customWidth="1"/>
    <x:col min="60" max="60" width="3.109999895095825" hidden="0" customWidth="1"/>
    <x:col min="61" max="61" width="3.109999895095825" hidden="0" customWidth="1"/>
    <x:col min="62" max="62" width="3.109999895095825" hidden="0" customWidth="1"/>
    <x:col min="63" max="63" width="3.109999895095825" hidden="0" customWidth="1"/>
    <x:col min="64" max="64" width="3.109999895095825" hidden="0" customWidth="1"/>
    <x:col min="65" max="65" width="3.109999895095825" hidden="0" customWidth="1"/>
    <x:col min="66" max="66" width="3.109999895095825" hidden="0" customWidth="1"/>
    <x:col min="67" max="67" width="3.109999895095825" hidden="0" customWidth="1"/>
    <x:col min="68" max="68" width="3.109999895095825" hidden="0" customWidth="1"/>
    <x:col min="69" max="69" width="3.109999895095825" hidden="0" customWidth="1"/>
    <x:col min="70" max="70" width="3.109999895095825" hidden="0" customWidth="1"/>
    <x:col min="71" max="71" width="3.109999895095825" hidden="0" customWidth="1"/>
    <x:col min="72" max="72" width="3.109999895095825" hidden="0" customWidth="1"/>
    <x:col min="73" max="73" width="3.109999895095825" hidden="0" customWidth="1"/>
    <x:col min="74" max="74" width="3.109999895095825" hidden="0" customWidth="1"/>
    <x:col min="75" max="75" width="3.109999895095825" hidden="0" customWidth="1"/>
    <x:col min="76" max="76" width="3.109999895095825" hidden="0" customWidth="1"/>
    <x:col min="77" max="77" width="3.109999895095825" hidden="0" customWidth="1"/>
    <x:col min="78" max="78" width="3.109999895095825" hidden="0" customWidth="1"/>
    <x:col min="79" max="79" width="3.109999895095825" hidden="0" customWidth="1"/>
    <x:col min="80" max="80" width="3.109999895095825" hidden="0" customWidth="1"/>
    <x:col min="81" max="81" width="3.109999895095825" hidden="0" customWidth="1"/>
    <x:col min="82" max="82" width="3.109999895095825" hidden="0" customWidth="1"/>
    <x:col min="83" max="83" width="3.109999895095825" hidden="0" customWidth="1"/>
    <x:col min="84" max="84" width="3.109999895095825" hidden="0" customWidth="1"/>
    <x:col min="85" max="85" width="3.109999895095825" hidden="0" customWidth="1"/>
    <x:col min="86" max="86" width="3.109999895095825" hidden="0" customWidth="1"/>
    <x:col min="87" max="87" width="3.109999895095825" hidden="0" customWidth="1"/>
    <x:col min="88" max="88" width="3.109999895095825" hidden="0" customWidth="1"/>
    <x:col min="89" max="89" width="3.109999895095825" hidden="0" customWidth="1"/>
    <x:col min="90" max="90" width="3.109999895095825" hidden="0" customWidth="1"/>
    <x:col min="91" max="91" width="3.109999895095825" hidden="0" customWidth="1"/>
    <x:col min="92" max="92" width="3.109999895095825" hidden="0" customWidth="1"/>
    <x:col min="93" max="93" width="3.109999895095825" hidden="0" customWidth="1"/>
    <x:col min="94" max="94" width="3.109999895095825" hidden="0" customWidth="1"/>
    <x:col min="95" max="95" width="3.109999895095825" hidden="0" customWidth="1"/>
    <x:col min="96" max="96" width="3.109999895095825" hidden="0" customWidth="1"/>
    <x:col min="97" max="97" width="3.109999895095825" hidden="0" customWidth="1"/>
    <x:col min="98" max="98" width="3.109999895095825" hidden="0" customWidth="1"/>
    <x:col min="99" max="99" width="3.109999895095825" hidden="0" customWidth="1"/>
    <x:col min="100" max="100" width="3.109999895095825" hidden="0" customWidth="1"/>
  </x:cols>
  <x:sheetData>
    <x:row r="1" ht="38" customHeight="1">
      <x:c r="A1" s="4" t="str">
        <x:v>全期間タイムライン｜2020/01〜2027/12</x:v>
      </x:c>
      <x:c r="B1" s="4" t="str">
        <x:v>全期間タイムライン｜2020/01〜2027/12</x:v>
      </x:c>
      <x:c r="C1" s="4" t="str">
        <x:v>全期間タイムライン｜2020/01〜2027/12</x:v>
      </x:c>
      <x:c r="D1" s="4" t="str">
        <x:v>全期間タイムライン｜2020/01〜2027/12</x:v>
      </x:c>
      <x:c r="E1" s="4" t="str">
        <x:v>全期間タイムライン｜2020/01〜2027/12</x:v>
      </x:c>
      <x:c r="F1" s="4" t="str">
        <x:v>全期間タイムライン｜2020/01〜2027/12</x:v>
      </x:c>
      <x:c r="G1" s="4" t="str">
        <x:v>全期間タイムライン｜2020/01〜2027/12</x:v>
      </x:c>
      <x:c r="H1" s="4" t="str">
        <x:v>全期間タイムライン｜2020/01〜2027/12</x:v>
      </x:c>
      <x:c r="I1" s="4" t="str">
        <x:v>全期間タイムライン｜2020/01〜2027/12</x:v>
      </x:c>
      <x:c r="J1" s="4" t="str">
        <x:v>全期間タイムライン｜2020/01〜2027/12</x:v>
      </x:c>
      <x:c r="K1" s="4" t="str">
        <x:v>全期間タイムライン｜2020/01〜2027/12</x:v>
      </x:c>
      <x:c r="L1" s="4" t="str">
        <x:v>全期間タイムライン｜2020/01〜2027/12</x:v>
      </x:c>
      <x:c r="M1" s="4" t="str">
        <x:v>全期間タイムライン｜2020/01〜2027/12</x:v>
      </x:c>
      <x:c r="N1" s="4" t="str">
        <x:v>全期間タイムライン｜2020/01〜2027/12</x:v>
      </x:c>
      <x:c r="O1" s="4" t="str">
        <x:v>全期間タイムライン｜2020/01〜2027/12</x:v>
      </x:c>
      <x:c r="P1" s="4" t="str">
        <x:v>全期間タイムライン｜2020/01〜2027/12</x:v>
      </x:c>
      <x:c r="Q1" s="4" t="str">
        <x:v>全期間タイムライン｜2020/01〜2027/12</x:v>
      </x:c>
      <x:c r="R1" s="4" t="str">
        <x:v>全期間タイムライン｜2020/01〜2027/12</x:v>
      </x:c>
      <x:c r="S1" s="4" t="str">
        <x:v>全期間タイムライン｜2020/01〜2027/12</x:v>
      </x:c>
      <x:c r="T1" s="4" t="str">
        <x:v>全期間タイムライン｜2020/01〜2027/12</x:v>
      </x:c>
      <x:c r="U1" s="4" t="str">
        <x:v>全期間タイムライン｜2020/01〜2027/12</x:v>
      </x:c>
      <x:c r="V1" s="4" t="str">
        <x:v>全期間タイムライン｜2020/01〜2027/12</x:v>
      </x:c>
      <x:c r="W1" s="4" t="str">
        <x:v>全期間タイムライン｜2020/01〜2027/12</x:v>
      </x:c>
      <x:c r="X1" s="4" t="str">
        <x:v>全期間タイムライン｜2020/01〜2027/12</x:v>
      </x:c>
      <x:c r="Y1" s="4" t="str">
        <x:v>全期間タイムライン｜2020/01〜2027/12</x:v>
      </x:c>
      <x:c r="Z1" s="4" t="str">
        <x:v>全期間タイムライン｜2020/01〜2027/12</x:v>
      </x:c>
      <x:c r="AA1" s="4" t="str">
        <x:v>全期間タイムライン｜2020/01〜2027/12</x:v>
      </x:c>
      <x:c r="AB1" s="4" t="str">
        <x:v>全期間タイムライン｜2020/01〜2027/12</x:v>
      </x:c>
      <x:c r="AC1" s="4" t="str">
        <x:v>全期間タイムライン｜2020/01〜2027/12</x:v>
      </x:c>
      <x:c r="AD1" s="4" t="str">
        <x:v>全期間タイムライン｜2020/01〜2027/12</x:v>
      </x:c>
      <x:c r="AE1" s="4" t="str">
        <x:v>全期間タイムライン｜2020/01〜2027/12</x:v>
      </x:c>
      <x:c r="AF1" s="4" t="str">
        <x:v>全期間タイムライン｜2020/01〜2027/12</x:v>
      </x:c>
      <x:c r="AG1" s="4" t="str">
        <x:v>全期間タイムライン｜2020/01〜2027/12</x:v>
      </x:c>
      <x:c r="AH1" s="4" t="str">
        <x:v>全期間タイムライン｜2020/01〜2027/12</x:v>
      </x:c>
      <x:c r="AI1" s="4" t="str">
        <x:v>全期間タイムライン｜2020/01〜2027/12</x:v>
      </x:c>
      <x:c r="AJ1" s="4" t="str">
        <x:v>全期間タイムライン｜2020/01〜2027/12</x:v>
      </x:c>
      <x:c r="AK1" s="4" t="str">
        <x:v>全期間タイムライン｜2020/01〜2027/12</x:v>
      </x:c>
      <x:c r="AL1" s="4" t="str">
        <x:v>全期間タイムライン｜2020/01〜2027/12</x:v>
      </x:c>
      <x:c r="AM1" s="4" t="str">
        <x:v>全期間タイムライン｜2020/01〜2027/12</x:v>
      </x:c>
      <x:c r="AN1" s="4" t="str">
        <x:v>全期間タイムライン｜2020/01〜2027/12</x:v>
      </x:c>
      <x:c r="AO1" s="4" t="str">
        <x:v>全期間タイムライン｜2020/01〜2027/12</x:v>
      </x:c>
      <x:c r="AP1" s="4" t="str">
        <x:v>全期間タイムライン｜2020/01〜2027/12</x:v>
      </x:c>
      <x:c r="AQ1" s="4" t="str">
        <x:v>全期間タイムライン｜2020/01〜2027/12</x:v>
      </x:c>
      <x:c r="AR1" s="4" t="str">
        <x:v>全期間タイムライン｜2020/01〜2027/12</x:v>
      </x:c>
      <x:c r="AS1" s="4" t="str">
        <x:v>全期間タイムライン｜2020/01〜2027/12</x:v>
      </x:c>
      <x:c r="AT1" s="4" t="str">
        <x:v>全期間タイムライン｜2020/01〜2027/12</x:v>
      </x:c>
      <x:c r="AU1" s="4" t="str">
        <x:v>全期間タイムライン｜2020/01〜2027/12</x:v>
      </x:c>
      <x:c r="AV1" s="4" t="str">
        <x:v>全期間タイムライン｜2020/01〜2027/12</x:v>
      </x:c>
      <x:c r="AW1" s="4" t="str">
        <x:v>全期間タイムライン｜2020/01〜2027/12</x:v>
      </x:c>
      <x:c r="AX1" s="4" t="str">
        <x:v>全期間タイムライン｜2020/01〜2027/12</x:v>
      </x:c>
      <x:c r="AY1" s="4" t="str">
        <x:v>全期間タイムライン｜2020/01〜2027/12</x:v>
      </x:c>
      <x:c r="AZ1" s="4" t="str">
        <x:v>全期間タイムライン｜2020/01〜2027/12</x:v>
      </x:c>
      <x:c r="BA1" s="4" t="str">
        <x:v>全期間タイムライン｜2020/01〜2027/12</x:v>
      </x:c>
      <x:c r="BB1" s="4" t="str">
        <x:v>全期間タイムライン｜2020/01〜2027/12</x:v>
      </x:c>
      <x:c r="BC1" s="4" t="str">
        <x:v>全期間タイムライン｜2020/01〜2027/12</x:v>
      </x:c>
      <x:c r="BD1" s="4" t="str">
        <x:v>全期間タイムライン｜2020/01〜2027/12</x:v>
      </x:c>
      <x:c r="BE1" s="4" t="str">
        <x:v>全期間タイムライン｜2020/01〜2027/12</x:v>
      </x:c>
      <x:c r="BF1" s="4" t="str">
        <x:v>全期間タイムライン｜2020/01〜2027/12</x:v>
      </x:c>
      <x:c r="BG1" s="4" t="str">
        <x:v>全期間タイムライン｜2020/01〜2027/12</x:v>
      </x:c>
      <x:c r="BH1" s="4" t="str">
        <x:v>全期間タイムライン｜2020/01〜2027/12</x:v>
      </x:c>
      <x:c r="BI1" s="4" t="str">
        <x:v>全期間タイムライン｜2020/01〜2027/12</x:v>
      </x:c>
      <x:c r="BJ1" s="4" t="str">
        <x:v>全期間タイムライン｜2020/01〜2027/12</x:v>
      </x:c>
      <x:c r="BK1" s="4" t="str">
        <x:v>全期間タイムライン｜2020/01〜2027/12</x:v>
      </x:c>
      <x:c r="BL1" s="4" t="str">
        <x:v>全期間タイムライン｜2020/01〜2027/12</x:v>
      </x:c>
      <x:c r="BM1" s="4" t="str">
        <x:v>全期間タイムライン｜2020/01〜2027/12</x:v>
      </x:c>
      <x:c r="BN1" s="4" t="str">
        <x:v>全期間タイムライン｜2020/01〜2027/12</x:v>
      </x:c>
      <x:c r="BO1" s="4" t="str">
        <x:v>全期間タイムライン｜2020/01〜2027/12</x:v>
      </x:c>
      <x:c r="BP1" s="4" t="str">
        <x:v>全期間タイムライン｜2020/01〜2027/12</x:v>
      </x:c>
      <x:c r="BQ1" s="4" t="str">
        <x:v>全期間タイムライン｜2020/01〜2027/12</x:v>
      </x:c>
      <x:c r="BR1" s="4" t="str">
        <x:v>全期間タイムライン｜2020/01〜2027/12</x:v>
      </x:c>
      <x:c r="BS1" s="4" t="str">
        <x:v>全期間タイムライン｜2020/01〜2027/12</x:v>
      </x:c>
      <x:c r="BT1" s="4" t="str">
        <x:v>全期間タイムライン｜2020/01〜2027/12</x:v>
      </x:c>
      <x:c r="BU1" s="4" t="str">
        <x:v>全期間タイムライン｜2020/01〜2027/12</x:v>
      </x:c>
      <x:c r="BV1" s="4" t="str">
        <x:v>全期間タイムライン｜2020/01〜2027/12</x:v>
      </x:c>
      <x:c r="BW1" s="4" t="str">
        <x:v>全期間タイムライン｜2020/01〜2027/12</x:v>
      </x:c>
      <x:c r="BX1" s="4" t="str">
        <x:v>全期間タイムライン｜2020/01〜2027/12</x:v>
      </x:c>
      <x:c r="BY1" s="4" t="str">
        <x:v>全期間タイムライン｜2020/01〜2027/12</x:v>
      </x:c>
      <x:c r="BZ1" s="4" t="str">
        <x:v>全期間タイムライン｜2020/01〜2027/12</x:v>
      </x:c>
      <x:c r="CA1" s="4" t="str">
        <x:v>全期間タイムライン｜2020/01〜2027/12</x:v>
      </x:c>
      <x:c r="CB1" s="4" t="str">
        <x:v>全期間タイムライン｜2020/01〜2027/12</x:v>
      </x:c>
      <x:c r="CC1" s="4" t="str">
        <x:v>全期間タイムライン｜2020/01〜2027/12</x:v>
      </x:c>
      <x:c r="CD1" s="4" t="str">
        <x:v>全期間タイムライン｜2020/01〜2027/12</x:v>
      </x:c>
      <x:c r="CE1" s="4" t="str">
        <x:v>全期間タイムライン｜2020/01〜2027/12</x:v>
      </x:c>
      <x:c r="CF1" s="4" t="str">
        <x:v>全期間タイムライン｜2020/01〜2027/12</x:v>
      </x:c>
      <x:c r="CG1" s="4" t="str">
        <x:v>全期間タイムライン｜2020/01〜2027/12</x:v>
      </x:c>
      <x:c r="CH1" s="4" t="str">
        <x:v>全期間タイムライン｜2020/01〜2027/12</x:v>
      </x:c>
      <x:c r="CI1" s="4" t="str">
        <x:v>全期間タイムライン｜2020/01〜2027/12</x:v>
      </x:c>
      <x:c r="CJ1" s="4" t="str">
        <x:v>全期間タイムライン｜2020/01〜2027/12</x:v>
      </x:c>
      <x:c r="CK1" s="4" t="str">
        <x:v>全期間タイムライン｜2020/01〜2027/12</x:v>
      </x:c>
      <x:c r="CL1" s="4" t="str">
        <x:v>全期間タイムライン｜2020/01〜2027/12</x:v>
      </x:c>
      <x:c r="CM1" s="4" t="str">
        <x:v>全期間タイムライン｜2020/01〜2027/12</x:v>
      </x:c>
      <x:c r="CN1" s="4" t="str">
        <x:v>全期間タイムライン｜2020/01〜2027/12</x:v>
      </x:c>
      <x:c r="CO1" s="4" t="str">
        <x:v>全期間タイムライン｜2020/01〜2027/12</x:v>
      </x:c>
      <x:c r="CP1" s="4" t="str">
        <x:v>全期間タイムライン｜2020/01〜2027/12</x:v>
      </x:c>
      <x:c r="CQ1" s="4" t="str">
        <x:v>全期間タイムライン｜2020/01〜2027/12</x:v>
      </x:c>
      <x:c r="CR1" s="4" t="str">
        <x:v>全期間タイムライン｜2020/01〜2027/12</x:v>
      </x:c>
      <x:c r="CS1" s="4" t="str">
        <x:v>全期間タイムライン｜2020/01〜2027/12</x:v>
      </x:c>
      <x:c r="CT1" s="4" t="str">
        <x:v>全期間タイムライン｜2020/01〜2027/12</x:v>
      </x:c>
      <x:c r="CU1" s="1"/>
      <x:c r="CV1" s="1"/>
      <x:c r="CW1" s="1"/>
      <x:c r="CX1" s="1"/>
      <x:c r="CY1" s="1"/>
      <x:c r="CZ1" s="1"/>
      <x:c r="DA1" s="1"/>
      <x:c r="DB1" s="1"/>
      <x:c r="DC1" s="1"/>
      <x:c r="DD1" s="1"/>
    </x:row>
    <x:row r="2" ht="34" customHeight="1">
      <x:c r="A2" s="7" t="str">
        <x:v>左を固定して横へスクロール。■＝適用期間・期限、◆＝公表・決定。月途中の開始/終了もその月を表示するため、効果推計では制度詳細の日付を参照。</x:v>
      </x:c>
      <x:c r="B2" s="7" t="str">
        <x:v>左を固定して横へスクロール。■＝適用期間・期限、◆＝公表・決定。月途中の開始/終了もその月を表示するため、効果推計では制度詳細の日付を参照。</x:v>
      </x:c>
      <x:c r="C2" s="7" t="str">
        <x:v>左を固定して横へスクロール。■＝適用期間・期限、◆＝公表・決定。月途中の開始/終了もその月を表示するため、効果推計では制度詳細の日付を参照。</x:v>
      </x:c>
      <x:c r="D2" s="7" t="str">
        <x:v>左を固定して横へスクロール。■＝適用期間・期限、◆＝公表・決定。月途中の開始/終了もその月を表示するため、効果推計では制度詳細の日付を参照。</x:v>
      </x:c>
      <x:c r="E2" s="7" t="str">
        <x:v>左を固定して横へスクロール。■＝適用期間・期限、◆＝公表・決定。月途中の開始/終了もその月を表示するため、効果推計では制度詳細の日付を参照。</x:v>
      </x:c>
      <x:c r="F2" s="7" t="str">
        <x:v>左を固定して横へスクロール。■＝適用期間・期限、◆＝公表・決定。月途中の開始/終了もその月を表示するため、効果推計では制度詳細の日付を参照。</x:v>
      </x:c>
      <x:c r="G2" s="7" t="str">
        <x:v>左を固定して横へスクロール。■＝適用期間・期限、◆＝公表・決定。月途中の開始/終了もその月を表示するため、効果推計では制度詳細の日付を参照。</x:v>
      </x:c>
      <x:c r="H2" s="7" t="str">
        <x:v>左を固定して横へスクロール。■＝適用期間・期限、◆＝公表・決定。月途中の開始/終了もその月を表示するため、効果推計では制度詳細の日付を参照。</x:v>
      </x:c>
      <x:c r="I2" s="7" t="str">
        <x:v>左を固定して横へスクロール。■＝適用期間・期限、◆＝公表・決定。月途中の開始/終了もその月を表示するため、効果推計では制度詳細の日付を参照。</x:v>
      </x:c>
      <x:c r="J2" s="7" t="str">
        <x:v>左を固定して横へスクロール。■＝適用期間・期限、◆＝公表・決定。月途中の開始/終了もその月を表示するため、効果推計では制度詳細の日付を参照。</x:v>
      </x:c>
      <x:c r="K2" s="7" t="str">
        <x:v>左を固定して横へスクロール。■＝適用期間・期限、◆＝公表・決定。月途中の開始/終了もその月を表示するため、効果推計では制度詳細の日付を参照。</x:v>
      </x:c>
      <x:c r="L2" s="7" t="str">
        <x:v>左を固定して横へスクロール。■＝適用期間・期限、◆＝公表・決定。月途中の開始/終了もその月を表示するため、効果推計では制度詳細の日付を参照。</x:v>
      </x:c>
      <x:c r="M2" s="7" t="str">
        <x:v>左を固定して横へスクロール。■＝適用期間・期限、◆＝公表・決定。月途中の開始/終了もその月を表示するため、効果推計では制度詳細の日付を参照。</x:v>
      </x:c>
      <x:c r="N2" s="7" t="str">
        <x:v>左を固定して横へスクロール。■＝適用期間・期限、◆＝公表・決定。月途中の開始/終了もその月を表示するため、効果推計では制度詳細の日付を参照。</x:v>
      </x:c>
      <x:c r="O2" s="7" t="str">
        <x:v>左を固定して横へスクロール。■＝適用期間・期限、◆＝公表・決定。月途中の開始/終了もその月を表示するため、効果推計では制度詳細の日付を参照。</x:v>
      </x:c>
      <x:c r="P2" s="7" t="str">
        <x:v>左を固定して横へスクロール。■＝適用期間・期限、◆＝公表・決定。月途中の開始/終了もその月を表示するため、効果推計では制度詳細の日付を参照。</x:v>
      </x:c>
      <x:c r="Q2" s="7" t="str">
        <x:v>左を固定して横へスクロール。■＝適用期間・期限、◆＝公表・決定。月途中の開始/終了もその月を表示するため、効果推計では制度詳細の日付を参照。</x:v>
      </x:c>
      <x:c r="R2" s="7" t="str">
        <x:v>左を固定して横へスクロール。■＝適用期間・期限、◆＝公表・決定。月途中の開始/終了もその月を表示するため、効果推計では制度詳細の日付を参照。</x:v>
      </x:c>
      <x:c r="S2" s="7" t="str">
        <x:v>左を固定して横へスクロール。■＝適用期間・期限、◆＝公表・決定。月途中の開始/終了もその月を表示するため、効果推計では制度詳細の日付を参照。</x:v>
      </x:c>
      <x:c r="T2" s="7" t="str">
        <x:v>左を固定して横へスクロール。■＝適用期間・期限、◆＝公表・決定。月途中の開始/終了もその月を表示するため、効果推計では制度詳細の日付を参照。</x:v>
      </x:c>
      <x:c r="U2" s="7" t="str">
        <x:v>左を固定して横へスクロール。■＝適用期間・期限、◆＝公表・決定。月途中の開始/終了もその月を表示するため、効果推計では制度詳細の日付を参照。</x:v>
      </x:c>
      <x:c r="V2" s="7" t="str">
        <x:v>左を固定して横へスクロール。■＝適用期間・期限、◆＝公表・決定。月途中の開始/終了もその月を表示するため、効果推計では制度詳細の日付を参照。</x:v>
      </x:c>
      <x:c r="W2" s="7" t="str">
        <x:v>左を固定して横へスクロール。■＝適用期間・期限、◆＝公表・決定。月途中の開始/終了もその月を表示するため、効果推計では制度詳細の日付を参照。</x:v>
      </x:c>
      <x:c r="X2" s="7" t="str">
        <x:v>左を固定して横へスクロール。■＝適用期間・期限、◆＝公表・決定。月途中の開始/終了もその月を表示するため、効果推計では制度詳細の日付を参照。</x:v>
      </x:c>
      <x:c r="Y2" s="7" t="str">
        <x:v>左を固定して横へスクロール。■＝適用期間・期限、◆＝公表・決定。月途中の開始/終了もその月を表示するため、効果推計では制度詳細の日付を参照。</x:v>
      </x:c>
      <x:c r="Z2" s="7" t="str">
        <x:v>左を固定して横へスクロール。■＝適用期間・期限、◆＝公表・決定。月途中の開始/終了もその月を表示するため、効果推計では制度詳細の日付を参照。</x:v>
      </x:c>
      <x:c r="AA2" s="7" t="str">
        <x:v>左を固定して横へスクロール。■＝適用期間・期限、◆＝公表・決定。月途中の開始/終了もその月を表示するため、効果推計では制度詳細の日付を参照。</x:v>
      </x:c>
      <x:c r="AB2" s="7" t="str">
        <x:v>左を固定して横へスクロール。■＝適用期間・期限、◆＝公表・決定。月途中の開始/終了もその月を表示するため、効果推計では制度詳細の日付を参照。</x:v>
      </x:c>
      <x:c r="AC2" s="7" t="str">
        <x:v>左を固定して横へスクロール。■＝適用期間・期限、◆＝公表・決定。月途中の開始/終了もその月を表示するため、効果推計では制度詳細の日付を参照。</x:v>
      </x:c>
      <x:c r="AD2" s="7" t="str">
        <x:v>左を固定して横へスクロール。■＝適用期間・期限、◆＝公表・決定。月途中の開始/終了もその月を表示するため、効果推計では制度詳細の日付を参照。</x:v>
      </x:c>
      <x:c r="AE2" s="7" t="str">
        <x:v>左を固定して横へスクロール。■＝適用期間・期限、◆＝公表・決定。月途中の開始/終了もその月を表示するため、効果推計では制度詳細の日付を参照。</x:v>
      </x:c>
      <x:c r="AF2" s="7" t="str">
        <x:v>左を固定して横へスクロール。■＝適用期間・期限、◆＝公表・決定。月途中の開始/終了もその月を表示するため、効果推計では制度詳細の日付を参照。</x:v>
      </x:c>
      <x:c r="AG2" s="7" t="str">
        <x:v>左を固定して横へスクロール。■＝適用期間・期限、◆＝公表・決定。月途中の開始/終了もその月を表示するため、効果推計では制度詳細の日付を参照。</x:v>
      </x:c>
      <x:c r="AH2" s="7" t="str">
        <x:v>左を固定して横へスクロール。■＝適用期間・期限、◆＝公表・決定。月途中の開始/終了もその月を表示するため、効果推計では制度詳細の日付を参照。</x:v>
      </x:c>
      <x:c r="AI2" s="7" t="str">
        <x:v>左を固定して横へスクロール。■＝適用期間・期限、◆＝公表・決定。月途中の開始/終了もその月を表示するため、効果推計では制度詳細の日付を参照。</x:v>
      </x:c>
      <x:c r="AJ2" s="7" t="str">
        <x:v>左を固定して横へスクロール。■＝適用期間・期限、◆＝公表・決定。月途中の開始/終了もその月を表示するため、効果推計では制度詳細の日付を参照。</x:v>
      </x:c>
      <x:c r="AK2" s="7" t="str">
        <x:v>左を固定して横へスクロール。■＝適用期間・期限、◆＝公表・決定。月途中の開始/終了もその月を表示するため、効果推計では制度詳細の日付を参照。</x:v>
      </x:c>
      <x:c r="AL2" s="7" t="str">
        <x:v>左を固定して横へスクロール。■＝適用期間・期限、◆＝公表・決定。月途中の開始/終了もその月を表示するため、効果推計では制度詳細の日付を参照。</x:v>
      </x:c>
      <x:c r="AM2" s="7" t="str">
        <x:v>左を固定して横へスクロール。■＝適用期間・期限、◆＝公表・決定。月途中の開始/終了もその月を表示するため、効果推計では制度詳細の日付を参照。</x:v>
      </x:c>
      <x:c r="AN2" s="7" t="str">
        <x:v>左を固定して横へスクロール。■＝適用期間・期限、◆＝公表・決定。月途中の開始/終了もその月を表示するため、効果推計では制度詳細の日付を参照。</x:v>
      </x:c>
      <x:c r="AO2" s="7" t="str">
        <x:v>左を固定して横へスクロール。■＝適用期間・期限、◆＝公表・決定。月途中の開始/終了もその月を表示するため、効果推計では制度詳細の日付を参照。</x:v>
      </x:c>
      <x:c r="AP2" s="7" t="str">
        <x:v>左を固定して横へスクロール。■＝適用期間・期限、◆＝公表・決定。月途中の開始/終了もその月を表示するため、効果推計では制度詳細の日付を参照。</x:v>
      </x:c>
      <x:c r="AQ2" s="7" t="str">
        <x:v>左を固定して横へスクロール。■＝適用期間・期限、◆＝公表・決定。月途中の開始/終了もその月を表示するため、効果推計では制度詳細の日付を参照。</x:v>
      </x:c>
      <x:c r="AR2" s="7" t="str">
        <x:v>左を固定して横へスクロール。■＝適用期間・期限、◆＝公表・決定。月途中の開始/終了もその月を表示するため、効果推計では制度詳細の日付を参照。</x:v>
      </x:c>
      <x:c r="AS2" s="7" t="str">
        <x:v>左を固定して横へスクロール。■＝適用期間・期限、◆＝公表・決定。月途中の開始/終了もその月を表示するため、効果推計では制度詳細の日付を参照。</x:v>
      </x:c>
      <x:c r="AT2" s="7" t="str">
        <x:v>左を固定して横へスクロール。■＝適用期間・期限、◆＝公表・決定。月途中の開始/終了もその月を表示するため、効果推計では制度詳細の日付を参照。</x:v>
      </x:c>
      <x:c r="AU2" s="7" t="str">
        <x:v>左を固定して横へスクロール。■＝適用期間・期限、◆＝公表・決定。月途中の開始/終了もその月を表示するため、効果推計では制度詳細の日付を参照。</x:v>
      </x:c>
      <x:c r="AV2" s="7" t="str">
        <x:v>左を固定して横へスクロール。■＝適用期間・期限、◆＝公表・決定。月途中の開始/終了もその月を表示するため、効果推計では制度詳細の日付を参照。</x:v>
      </x:c>
      <x:c r="AW2" s="7" t="str">
        <x:v>左を固定して横へスクロール。■＝適用期間・期限、◆＝公表・決定。月途中の開始/終了もその月を表示するため、効果推計では制度詳細の日付を参照。</x:v>
      </x:c>
      <x:c r="AX2" s="7" t="str">
        <x:v>左を固定して横へスクロール。■＝適用期間・期限、◆＝公表・決定。月途中の開始/終了もその月を表示するため、効果推計では制度詳細の日付を参照。</x:v>
      </x:c>
      <x:c r="AY2" s="7" t="str">
        <x:v>左を固定して横へスクロール。■＝適用期間・期限、◆＝公表・決定。月途中の開始/終了もその月を表示するため、効果推計では制度詳細の日付を参照。</x:v>
      </x:c>
      <x:c r="AZ2" s="7" t="str">
        <x:v>左を固定して横へスクロール。■＝適用期間・期限、◆＝公表・決定。月途中の開始/終了もその月を表示するため、効果推計では制度詳細の日付を参照。</x:v>
      </x:c>
      <x:c r="BA2" s="7" t="str">
        <x:v>左を固定して横へスクロール。■＝適用期間・期限、◆＝公表・決定。月途中の開始/終了もその月を表示するため、効果推計では制度詳細の日付を参照。</x:v>
      </x:c>
      <x:c r="BB2" s="7" t="str">
        <x:v>左を固定して横へスクロール。■＝適用期間・期限、◆＝公表・決定。月途中の開始/終了もその月を表示するため、効果推計では制度詳細の日付を参照。</x:v>
      </x:c>
      <x:c r="BC2" s="7" t="str">
        <x:v>左を固定して横へスクロール。■＝適用期間・期限、◆＝公表・決定。月途中の開始/終了もその月を表示するため、効果推計では制度詳細の日付を参照。</x:v>
      </x:c>
      <x:c r="BD2" s="7" t="str">
        <x:v>左を固定して横へスクロール。■＝適用期間・期限、◆＝公表・決定。月途中の開始/終了もその月を表示するため、効果推計では制度詳細の日付を参照。</x:v>
      </x:c>
      <x:c r="BE2" s="7" t="str">
        <x:v>左を固定して横へスクロール。■＝適用期間・期限、◆＝公表・決定。月途中の開始/終了もその月を表示するため、効果推計では制度詳細の日付を参照。</x:v>
      </x:c>
      <x:c r="BF2" s="7" t="str">
        <x:v>左を固定して横へスクロール。■＝適用期間・期限、◆＝公表・決定。月途中の開始/終了もその月を表示するため、効果推計では制度詳細の日付を参照。</x:v>
      </x:c>
      <x:c r="BG2" s="7" t="str">
        <x:v>左を固定して横へスクロール。■＝適用期間・期限、◆＝公表・決定。月途中の開始/終了もその月を表示するため、効果推計では制度詳細の日付を参照。</x:v>
      </x:c>
      <x:c r="BH2" s="7" t="str">
        <x:v>左を固定して横へスクロール。■＝適用期間・期限、◆＝公表・決定。月途中の開始/終了もその月を表示するため、効果推計では制度詳細の日付を参照。</x:v>
      </x:c>
      <x:c r="BI2" s="7" t="str">
        <x:v>左を固定して横へスクロール。■＝適用期間・期限、◆＝公表・決定。月途中の開始/終了もその月を表示するため、効果推計では制度詳細の日付を参照。</x:v>
      </x:c>
      <x:c r="BJ2" s="7" t="str">
        <x:v>左を固定して横へスクロール。■＝適用期間・期限、◆＝公表・決定。月途中の開始/終了もその月を表示するため、効果推計では制度詳細の日付を参照。</x:v>
      </x:c>
      <x:c r="BK2" s="7" t="str">
        <x:v>左を固定して横へスクロール。■＝適用期間・期限、◆＝公表・決定。月途中の開始/終了もその月を表示するため、効果推計では制度詳細の日付を参照。</x:v>
      </x:c>
      <x:c r="BL2" s="7" t="str">
        <x:v>左を固定して横へスクロール。■＝適用期間・期限、◆＝公表・決定。月途中の開始/終了もその月を表示するため、効果推計では制度詳細の日付を参照。</x:v>
      </x:c>
      <x:c r="BM2" s="7" t="str">
        <x:v>左を固定して横へスクロール。■＝適用期間・期限、◆＝公表・決定。月途中の開始/終了もその月を表示するため、効果推計では制度詳細の日付を参照。</x:v>
      </x:c>
      <x:c r="BN2" s="7" t="str">
        <x:v>左を固定して横へスクロール。■＝適用期間・期限、◆＝公表・決定。月途中の開始/終了もその月を表示するため、効果推計では制度詳細の日付を参照。</x:v>
      </x:c>
      <x:c r="BO2" s="7" t="str">
        <x:v>左を固定して横へスクロール。■＝適用期間・期限、◆＝公表・決定。月途中の開始/終了もその月を表示するため、効果推計では制度詳細の日付を参照。</x:v>
      </x:c>
      <x:c r="BP2" s="7" t="str">
        <x:v>左を固定して横へスクロール。■＝適用期間・期限、◆＝公表・決定。月途中の開始/終了もその月を表示するため、効果推計では制度詳細の日付を参照。</x:v>
      </x:c>
      <x:c r="BQ2" s="7" t="str">
        <x:v>左を固定して横へスクロール。■＝適用期間・期限、◆＝公表・決定。月途中の開始/終了もその月を表示するため、効果推計では制度詳細の日付を参照。</x:v>
      </x:c>
      <x:c r="BR2" s="7" t="str">
        <x:v>左を固定して横へスクロール。■＝適用期間・期限、◆＝公表・決定。月途中の開始/終了もその月を表示するため、効果推計では制度詳細の日付を参照。</x:v>
      </x:c>
      <x:c r="BS2" s="7" t="str">
        <x:v>左を固定して横へスクロール。■＝適用期間・期限、◆＝公表・決定。月途中の開始/終了もその月を表示するため、効果推計では制度詳細の日付を参照。</x:v>
      </x:c>
      <x:c r="BT2" s="7" t="str">
        <x:v>左を固定して横へスクロール。■＝適用期間・期限、◆＝公表・決定。月途中の開始/終了もその月を表示するため、効果推計では制度詳細の日付を参照。</x:v>
      </x:c>
      <x:c r="BU2" s="7" t="str">
        <x:v>左を固定して横へスクロール。■＝適用期間・期限、◆＝公表・決定。月途中の開始/終了もその月を表示するため、効果推計では制度詳細の日付を参照。</x:v>
      </x:c>
      <x:c r="BV2" s="7" t="str">
        <x:v>左を固定して横へスクロール。■＝適用期間・期限、◆＝公表・決定。月途中の開始/終了もその月を表示するため、効果推計では制度詳細の日付を参照。</x:v>
      </x:c>
      <x:c r="BW2" s="7" t="str">
        <x:v>左を固定して横へスクロール。■＝適用期間・期限、◆＝公表・決定。月途中の開始/終了もその月を表示するため、効果推計では制度詳細の日付を参照。</x:v>
      </x:c>
      <x:c r="BX2" s="7" t="str">
        <x:v>左を固定して横へスクロール。■＝適用期間・期限、◆＝公表・決定。月途中の開始/終了もその月を表示するため、効果推計では制度詳細の日付を参照。</x:v>
      </x:c>
      <x:c r="BY2" s="7" t="str">
        <x:v>左を固定して横へスクロール。■＝適用期間・期限、◆＝公表・決定。月途中の開始/終了もその月を表示するため、効果推計では制度詳細の日付を参照。</x:v>
      </x:c>
      <x:c r="BZ2" s="7" t="str">
        <x:v>左を固定して横へスクロール。■＝適用期間・期限、◆＝公表・決定。月途中の開始/終了もその月を表示するため、効果推計では制度詳細の日付を参照。</x:v>
      </x:c>
      <x:c r="CA2" s="7" t="str">
        <x:v>左を固定して横へスクロール。■＝適用期間・期限、◆＝公表・決定。月途中の開始/終了もその月を表示するため、効果推計では制度詳細の日付を参照。</x:v>
      </x:c>
      <x:c r="CB2" s="7" t="str">
        <x:v>左を固定して横へスクロール。■＝適用期間・期限、◆＝公表・決定。月途中の開始/終了もその月を表示するため、効果推計では制度詳細の日付を参照。</x:v>
      </x:c>
      <x:c r="CC2" s="7" t="str">
        <x:v>左を固定して横へスクロール。■＝適用期間・期限、◆＝公表・決定。月途中の開始/終了もその月を表示するため、効果推計では制度詳細の日付を参照。</x:v>
      </x:c>
      <x:c r="CD2" s="7" t="str">
        <x:v>左を固定して横へスクロール。■＝適用期間・期限、◆＝公表・決定。月途中の開始/終了もその月を表示するため、効果推計では制度詳細の日付を参照。</x:v>
      </x:c>
      <x:c r="CE2" s="7" t="str">
        <x:v>左を固定して横へスクロール。■＝適用期間・期限、◆＝公表・決定。月途中の開始/終了もその月を表示するため、効果推計では制度詳細の日付を参照。</x:v>
      </x:c>
      <x:c r="CF2" s="7" t="str">
        <x:v>左を固定して横へスクロール。■＝適用期間・期限、◆＝公表・決定。月途中の開始/終了もその月を表示するため、効果推計では制度詳細の日付を参照。</x:v>
      </x:c>
      <x:c r="CG2" s="7" t="str">
        <x:v>左を固定して横へスクロール。■＝適用期間・期限、◆＝公表・決定。月途中の開始/終了もその月を表示するため、効果推計では制度詳細の日付を参照。</x:v>
      </x:c>
      <x:c r="CH2" s="7" t="str">
        <x:v>左を固定して横へスクロール。■＝適用期間・期限、◆＝公表・決定。月途中の開始/終了もその月を表示するため、効果推計では制度詳細の日付を参照。</x:v>
      </x:c>
      <x:c r="CI2" s="7" t="str">
        <x:v>左を固定して横へスクロール。■＝適用期間・期限、◆＝公表・決定。月途中の開始/終了もその月を表示するため、効果推計では制度詳細の日付を参照。</x:v>
      </x:c>
      <x:c r="CJ2" s="7" t="str">
        <x:v>左を固定して横へスクロール。■＝適用期間・期限、◆＝公表・決定。月途中の開始/終了もその月を表示するため、効果推計では制度詳細の日付を参照。</x:v>
      </x:c>
      <x:c r="CK2" s="7" t="str">
        <x:v>左を固定して横へスクロール。■＝適用期間・期限、◆＝公表・決定。月途中の開始/終了もその月を表示するため、効果推計では制度詳細の日付を参照。</x:v>
      </x:c>
      <x:c r="CL2" s="7" t="str">
        <x:v>左を固定して横へスクロール。■＝適用期間・期限、◆＝公表・決定。月途中の開始/終了もその月を表示するため、効果推計では制度詳細の日付を参照。</x:v>
      </x:c>
      <x:c r="CM2" s="7" t="str">
        <x:v>左を固定して横へスクロール。■＝適用期間・期限、◆＝公表・決定。月途中の開始/終了もその月を表示するため、効果推計では制度詳細の日付を参照。</x:v>
      </x:c>
      <x:c r="CN2" s="7" t="str">
        <x:v>左を固定して横へスクロール。■＝適用期間・期限、◆＝公表・決定。月途中の開始/終了もその月を表示するため、効果推計では制度詳細の日付を参照。</x:v>
      </x:c>
      <x:c r="CO2" s="7" t="str">
        <x:v>左を固定して横へスクロール。■＝適用期間・期限、◆＝公表・決定。月途中の開始/終了もその月を表示するため、効果推計では制度詳細の日付を参照。</x:v>
      </x:c>
      <x:c r="CP2" s="7" t="str">
        <x:v>左を固定して横へスクロール。■＝適用期間・期限、◆＝公表・決定。月途中の開始/終了もその月を表示するため、効果推計では制度詳細の日付を参照。</x:v>
      </x:c>
      <x:c r="CQ2" s="7" t="str">
        <x:v>左を固定して横へスクロール。■＝適用期間・期限、◆＝公表・決定。月途中の開始/終了もその月を表示するため、効果推計では制度詳細の日付を参照。</x:v>
      </x:c>
      <x:c r="CR2" s="7" t="str">
        <x:v>左を固定して横へスクロール。■＝適用期間・期限、◆＝公表・決定。月途中の開始/終了もその月を表示するため、効果推計では制度詳細の日付を参照。</x:v>
      </x:c>
      <x:c r="CS2" s="7" t="str">
        <x:v>左を固定して横へスクロール。■＝適用期間・期限、◆＝公表・決定。月途中の開始/終了もその月を表示するため、効果推計では制度詳細の日付を参照。</x:v>
      </x:c>
      <x:c r="CT2" s="7" t="str">
        <x:v>左を固定して横へスクロール。■＝適用期間・期限、◆＝公表・決定。月途中の開始/終了もその月を表示するため、効果推計では制度詳細の日付を参照。</x:v>
      </x:c>
      <x:c r="CU2" s="1"/>
      <x:c r="CV2" s="1"/>
      <x:c r="CW2" s="1"/>
      <x:c r="CX2" s="1"/>
      <x:c r="CY2" s="1"/>
      <x:c r="CZ2" s="1"/>
      <x:c r="DA2" s="1"/>
      <x:c r="DB2" s="1"/>
      <x:c r="DC2" s="1"/>
      <x:c r="DD2" s="1"/>
    </x:row>
    <x:row r="3" ht="34" customHeight="1">
      <x:c r="A3" s="7" t="str">
        <x:v>購入優遇＝緑／輸入条件＝青／生産義務＝紫／猶予＝灰。将来は薄色、未確定は黄。開始月未確定は帯なし。2028年以降の終了日は制度詳細に保持。</x:v>
      </x:c>
      <x:c r="B3" s="7" t="str">
        <x:v>購入優遇＝緑／輸入条件＝青／生産義務＝紫／猶予＝灰。将来は薄色、未確定は黄。開始月未確定は帯なし。2028年以降の終了日は制度詳細に保持。</x:v>
      </x:c>
      <x:c r="C3" s="7" t="str">
        <x:v>購入優遇＝緑／輸入条件＝青／生産義務＝紫／猶予＝灰。将来は薄色、未確定は黄。開始月未確定は帯なし。2028年以降の終了日は制度詳細に保持。</x:v>
      </x:c>
      <x:c r="D3" s="7" t="str">
        <x:v>購入優遇＝緑／輸入条件＝青／生産義務＝紫／猶予＝灰。将来は薄色、未確定は黄。開始月未確定は帯なし。2028年以降の終了日は制度詳細に保持。</x:v>
      </x:c>
      <x:c r="E3" s="7" t="str">
        <x:v>購入優遇＝緑／輸入条件＝青／生産義務＝紫／猶予＝灰。将来は薄色、未確定は黄。開始月未確定は帯なし。2028年以降の終了日は制度詳細に保持。</x:v>
      </x:c>
      <x:c r="F3" s="7" t="str">
        <x:v>購入優遇＝緑／輸入条件＝青／生産義務＝紫／猶予＝灰。将来は薄色、未確定は黄。開始月未確定は帯なし。2028年以降の終了日は制度詳細に保持。</x:v>
      </x:c>
      <x:c r="G3" s="7" t="str">
        <x:v>購入優遇＝緑／輸入条件＝青／生産義務＝紫／猶予＝灰。将来は薄色、未確定は黄。開始月未確定は帯なし。2028年以降の終了日は制度詳細に保持。</x:v>
      </x:c>
      <x:c r="H3" s="7" t="str">
        <x:v>購入優遇＝緑／輸入条件＝青／生産義務＝紫／猶予＝灰。将来は薄色、未確定は黄。開始月未確定は帯なし。2028年以降の終了日は制度詳細に保持。</x:v>
      </x:c>
      <x:c r="I3" s="7" t="str">
        <x:v>購入優遇＝緑／輸入条件＝青／生産義務＝紫／猶予＝灰。将来は薄色、未確定は黄。開始月未確定は帯なし。2028年以降の終了日は制度詳細に保持。</x:v>
      </x:c>
      <x:c r="J3" s="7" t="str">
        <x:v>購入優遇＝緑／輸入条件＝青／生産義務＝紫／猶予＝灰。将来は薄色、未確定は黄。開始月未確定は帯なし。2028年以降の終了日は制度詳細に保持。</x:v>
      </x:c>
      <x:c r="K3" s="7" t="str">
        <x:v>購入優遇＝緑／輸入条件＝青／生産義務＝紫／猶予＝灰。将来は薄色、未確定は黄。開始月未確定は帯なし。2028年以降の終了日は制度詳細に保持。</x:v>
      </x:c>
      <x:c r="L3" s="7" t="str">
        <x:v>購入優遇＝緑／輸入条件＝青／生産義務＝紫／猶予＝灰。将来は薄色、未確定は黄。開始月未確定は帯なし。2028年以降の終了日は制度詳細に保持。</x:v>
      </x:c>
      <x:c r="M3" s="7" t="str">
        <x:v>購入優遇＝緑／輸入条件＝青／生産義務＝紫／猶予＝灰。将来は薄色、未確定は黄。開始月未確定は帯なし。2028年以降の終了日は制度詳細に保持。</x:v>
      </x:c>
      <x:c r="N3" s="7" t="str">
        <x:v>購入優遇＝緑／輸入条件＝青／生産義務＝紫／猶予＝灰。将来は薄色、未確定は黄。開始月未確定は帯なし。2028年以降の終了日は制度詳細に保持。</x:v>
      </x:c>
      <x:c r="O3" s="7" t="str">
        <x:v>購入優遇＝緑／輸入条件＝青／生産義務＝紫／猶予＝灰。将来は薄色、未確定は黄。開始月未確定は帯なし。2028年以降の終了日は制度詳細に保持。</x:v>
      </x:c>
      <x:c r="P3" s="7" t="str">
        <x:v>購入優遇＝緑／輸入条件＝青／生産義務＝紫／猶予＝灰。将来は薄色、未確定は黄。開始月未確定は帯なし。2028年以降の終了日は制度詳細に保持。</x:v>
      </x:c>
      <x:c r="Q3" s="7" t="str">
        <x:v>購入優遇＝緑／輸入条件＝青／生産義務＝紫／猶予＝灰。将来は薄色、未確定は黄。開始月未確定は帯なし。2028年以降の終了日は制度詳細に保持。</x:v>
      </x:c>
      <x:c r="R3" s="7" t="str">
        <x:v>購入優遇＝緑／輸入条件＝青／生産義務＝紫／猶予＝灰。将来は薄色、未確定は黄。開始月未確定は帯なし。2028年以降の終了日は制度詳細に保持。</x:v>
      </x:c>
      <x:c r="S3" s="7" t="str">
        <x:v>購入優遇＝緑／輸入条件＝青／生産義務＝紫／猶予＝灰。将来は薄色、未確定は黄。開始月未確定は帯なし。2028年以降の終了日は制度詳細に保持。</x:v>
      </x:c>
      <x:c r="T3" s="7" t="str">
        <x:v>購入優遇＝緑／輸入条件＝青／生産義務＝紫／猶予＝灰。将来は薄色、未確定は黄。開始月未確定は帯なし。2028年以降の終了日は制度詳細に保持。</x:v>
      </x:c>
      <x:c r="U3" s="7" t="str">
        <x:v>購入優遇＝緑／輸入条件＝青／生産義務＝紫／猶予＝灰。将来は薄色、未確定は黄。開始月未確定は帯なし。2028年以降の終了日は制度詳細に保持。</x:v>
      </x:c>
      <x:c r="V3" s="7" t="str">
        <x:v>購入優遇＝緑／輸入条件＝青／生産義務＝紫／猶予＝灰。将来は薄色、未確定は黄。開始月未確定は帯なし。2028年以降の終了日は制度詳細に保持。</x:v>
      </x:c>
      <x:c r="W3" s="7" t="str">
        <x:v>購入優遇＝緑／輸入条件＝青／生産義務＝紫／猶予＝灰。将来は薄色、未確定は黄。開始月未確定は帯なし。2028年以降の終了日は制度詳細に保持。</x:v>
      </x:c>
      <x:c r="X3" s="7" t="str">
        <x:v>購入優遇＝緑／輸入条件＝青／生産義務＝紫／猶予＝灰。将来は薄色、未確定は黄。開始月未確定は帯なし。2028年以降の終了日は制度詳細に保持。</x:v>
      </x:c>
      <x:c r="Y3" s="7" t="str">
        <x:v>購入優遇＝緑／輸入条件＝青／生産義務＝紫／猶予＝灰。将来は薄色、未確定は黄。開始月未確定は帯なし。2028年以降の終了日は制度詳細に保持。</x:v>
      </x:c>
      <x:c r="Z3" s="7" t="str">
        <x:v>購入優遇＝緑／輸入条件＝青／生産義務＝紫／猶予＝灰。将来は薄色、未確定は黄。開始月未確定は帯なし。2028年以降の終了日は制度詳細に保持。</x:v>
      </x:c>
      <x:c r="AA3" s="7" t="str">
        <x:v>購入優遇＝緑／輸入条件＝青／生産義務＝紫／猶予＝灰。将来は薄色、未確定は黄。開始月未確定は帯なし。2028年以降の終了日は制度詳細に保持。</x:v>
      </x:c>
      <x:c r="AB3" s="7" t="str">
        <x:v>購入優遇＝緑／輸入条件＝青／生産義務＝紫／猶予＝灰。将来は薄色、未確定は黄。開始月未確定は帯なし。2028年以降の終了日は制度詳細に保持。</x:v>
      </x:c>
      <x:c r="AC3" s="7" t="str">
        <x:v>購入優遇＝緑／輸入条件＝青／生産義務＝紫／猶予＝灰。将来は薄色、未確定は黄。開始月未確定は帯なし。2028年以降の終了日は制度詳細に保持。</x:v>
      </x:c>
      <x:c r="AD3" s="7" t="str">
        <x:v>購入優遇＝緑／輸入条件＝青／生産義務＝紫／猶予＝灰。将来は薄色、未確定は黄。開始月未確定は帯なし。2028年以降の終了日は制度詳細に保持。</x:v>
      </x:c>
      <x:c r="AE3" s="7" t="str">
        <x:v>購入優遇＝緑／輸入条件＝青／生産義務＝紫／猶予＝灰。将来は薄色、未確定は黄。開始月未確定は帯なし。2028年以降の終了日は制度詳細に保持。</x:v>
      </x:c>
      <x:c r="AF3" s="7" t="str">
        <x:v>購入優遇＝緑／輸入条件＝青／生産義務＝紫／猶予＝灰。将来は薄色、未確定は黄。開始月未確定は帯なし。2028年以降の終了日は制度詳細に保持。</x:v>
      </x:c>
      <x:c r="AG3" s="7" t="str">
        <x:v>購入優遇＝緑／輸入条件＝青／生産義務＝紫／猶予＝灰。将来は薄色、未確定は黄。開始月未確定は帯なし。2028年以降の終了日は制度詳細に保持。</x:v>
      </x:c>
      <x:c r="AH3" s="7" t="str">
        <x:v>購入優遇＝緑／輸入条件＝青／生産義務＝紫／猶予＝灰。将来は薄色、未確定は黄。開始月未確定は帯なし。2028年以降の終了日は制度詳細に保持。</x:v>
      </x:c>
      <x:c r="AI3" s="7" t="str">
        <x:v>購入優遇＝緑／輸入条件＝青／生産義務＝紫／猶予＝灰。将来は薄色、未確定は黄。開始月未確定は帯なし。2028年以降の終了日は制度詳細に保持。</x:v>
      </x:c>
      <x:c r="AJ3" s="7" t="str">
        <x:v>購入優遇＝緑／輸入条件＝青／生産義務＝紫／猶予＝灰。将来は薄色、未確定は黄。開始月未確定は帯なし。2028年以降の終了日は制度詳細に保持。</x:v>
      </x:c>
      <x:c r="AK3" s="7" t="str">
        <x:v>購入優遇＝緑／輸入条件＝青／生産義務＝紫／猶予＝灰。将来は薄色、未確定は黄。開始月未確定は帯なし。2028年以降の終了日は制度詳細に保持。</x:v>
      </x:c>
      <x:c r="AL3" s="7" t="str">
        <x:v>購入優遇＝緑／輸入条件＝青／生産義務＝紫／猶予＝灰。将来は薄色、未確定は黄。開始月未確定は帯なし。2028年以降の終了日は制度詳細に保持。</x:v>
      </x:c>
      <x:c r="AM3" s="7" t="str">
        <x:v>購入優遇＝緑／輸入条件＝青／生産義務＝紫／猶予＝灰。将来は薄色、未確定は黄。開始月未確定は帯なし。2028年以降の終了日は制度詳細に保持。</x:v>
      </x:c>
      <x:c r="AN3" s="7" t="str">
        <x:v>購入優遇＝緑／輸入条件＝青／生産義務＝紫／猶予＝灰。将来は薄色、未確定は黄。開始月未確定は帯なし。2028年以降の終了日は制度詳細に保持。</x:v>
      </x:c>
      <x:c r="AO3" s="7" t="str">
        <x:v>購入優遇＝緑／輸入条件＝青／生産義務＝紫／猶予＝灰。将来は薄色、未確定は黄。開始月未確定は帯なし。2028年以降の終了日は制度詳細に保持。</x:v>
      </x:c>
      <x:c r="AP3" s="7" t="str">
        <x:v>購入優遇＝緑／輸入条件＝青／生産義務＝紫／猶予＝灰。将来は薄色、未確定は黄。開始月未確定は帯なし。2028年以降の終了日は制度詳細に保持。</x:v>
      </x:c>
      <x:c r="AQ3" s="7" t="str">
        <x:v>購入優遇＝緑／輸入条件＝青／生産義務＝紫／猶予＝灰。将来は薄色、未確定は黄。開始月未確定は帯なし。2028年以降の終了日は制度詳細に保持。</x:v>
      </x:c>
      <x:c r="AR3" s="7" t="str">
        <x:v>購入優遇＝緑／輸入条件＝青／生産義務＝紫／猶予＝灰。将来は薄色、未確定は黄。開始月未確定は帯なし。2028年以降の終了日は制度詳細に保持。</x:v>
      </x:c>
      <x:c r="AS3" s="7" t="str">
        <x:v>購入優遇＝緑／輸入条件＝青／生産義務＝紫／猶予＝灰。将来は薄色、未確定は黄。開始月未確定は帯なし。2028年以降の終了日は制度詳細に保持。</x:v>
      </x:c>
      <x:c r="AT3" s="7" t="str">
        <x:v>購入優遇＝緑／輸入条件＝青／生産義務＝紫／猶予＝灰。将来は薄色、未確定は黄。開始月未確定は帯なし。2028年以降の終了日は制度詳細に保持。</x:v>
      </x:c>
      <x:c r="AU3" s="7" t="str">
        <x:v>購入優遇＝緑／輸入条件＝青／生産義務＝紫／猶予＝灰。将来は薄色、未確定は黄。開始月未確定は帯なし。2028年以降の終了日は制度詳細に保持。</x:v>
      </x:c>
      <x:c r="AV3" s="7" t="str">
        <x:v>購入優遇＝緑／輸入条件＝青／生産義務＝紫／猶予＝灰。将来は薄色、未確定は黄。開始月未確定は帯なし。2028年以降の終了日は制度詳細に保持。</x:v>
      </x:c>
      <x:c r="AW3" s="7" t="str">
        <x:v>購入優遇＝緑／輸入条件＝青／生産義務＝紫／猶予＝灰。将来は薄色、未確定は黄。開始月未確定は帯なし。2028年以降の終了日は制度詳細に保持。</x:v>
      </x:c>
      <x:c r="AX3" s="7" t="str">
        <x:v>購入優遇＝緑／輸入条件＝青／生産義務＝紫／猶予＝灰。将来は薄色、未確定は黄。開始月未確定は帯なし。2028年以降の終了日は制度詳細に保持。</x:v>
      </x:c>
      <x:c r="AY3" s="7" t="str">
        <x:v>購入優遇＝緑／輸入条件＝青／生産義務＝紫／猶予＝灰。将来は薄色、未確定は黄。開始月未確定は帯なし。2028年以降の終了日は制度詳細に保持。</x:v>
      </x:c>
      <x:c r="AZ3" s="7" t="str">
        <x:v>購入優遇＝緑／輸入条件＝青／生産義務＝紫／猶予＝灰。将来は薄色、未確定は黄。開始月未確定は帯なし。2028年以降の終了日は制度詳細に保持。</x:v>
      </x:c>
      <x:c r="BA3" s="7" t="str">
        <x:v>購入優遇＝緑／輸入条件＝青／生産義務＝紫／猶予＝灰。将来は薄色、未確定は黄。開始月未確定は帯なし。2028年以降の終了日は制度詳細に保持。</x:v>
      </x:c>
      <x:c r="BB3" s="7" t="str">
        <x:v>購入優遇＝緑／輸入条件＝青／生産義務＝紫／猶予＝灰。将来は薄色、未確定は黄。開始月未確定は帯なし。2028年以降の終了日は制度詳細に保持。</x:v>
      </x:c>
      <x:c r="BC3" s="7" t="str">
        <x:v>購入優遇＝緑／輸入条件＝青／生産義務＝紫／猶予＝灰。将来は薄色、未確定は黄。開始月未確定は帯なし。2028年以降の終了日は制度詳細に保持。</x:v>
      </x:c>
      <x:c r="BD3" s="7" t="str">
        <x:v>購入優遇＝緑／輸入条件＝青／生産義務＝紫／猶予＝灰。将来は薄色、未確定は黄。開始月未確定は帯なし。2028年以降の終了日は制度詳細に保持。</x:v>
      </x:c>
      <x:c r="BE3" s="7" t="str">
        <x:v>購入優遇＝緑／輸入条件＝青／生産義務＝紫／猶予＝灰。将来は薄色、未確定は黄。開始月未確定は帯なし。2028年以降の終了日は制度詳細に保持。</x:v>
      </x:c>
      <x:c r="BF3" s="7" t="str">
        <x:v>購入優遇＝緑／輸入条件＝青／生産義務＝紫／猶予＝灰。将来は薄色、未確定は黄。開始月未確定は帯なし。2028年以降の終了日は制度詳細に保持。</x:v>
      </x:c>
      <x:c r="BG3" s="7" t="str">
        <x:v>購入優遇＝緑／輸入条件＝青／生産義務＝紫／猶予＝灰。将来は薄色、未確定は黄。開始月未確定は帯なし。2028年以降の終了日は制度詳細に保持。</x:v>
      </x:c>
      <x:c r="BH3" s="7" t="str">
        <x:v>購入優遇＝緑／輸入条件＝青／生産義務＝紫／猶予＝灰。将来は薄色、未確定は黄。開始月未確定は帯なし。2028年以降の終了日は制度詳細に保持。</x:v>
      </x:c>
      <x:c r="BI3" s="7" t="str">
        <x:v>購入優遇＝緑／輸入条件＝青／生産義務＝紫／猶予＝灰。将来は薄色、未確定は黄。開始月未確定は帯なし。2028年以降の終了日は制度詳細に保持。</x:v>
      </x:c>
      <x:c r="BJ3" s="7" t="str">
        <x:v>購入優遇＝緑／輸入条件＝青／生産義務＝紫／猶予＝灰。将来は薄色、未確定は黄。開始月未確定は帯なし。2028年以降の終了日は制度詳細に保持。</x:v>
      </x:c>
      <x:c r="BK3" s="7" t="str">
        <x:v>購入優遇＝緑／輸入条件＝青／生産義務＝紫／猶予＝灰。将来は薄色、未確定は黄。開始月未確定は帯なし。2028年以降の終了日は制度詳細に保持。</x:v>
      </x:c>
      <x:c r="BL3" s="7" t="str">
        <x:v>購入優遇＝緑／輸入条件＝青／生産義務＝紫／猶予＝灰。将来は薄色、未確定は黄。開始月未確定は帯なし。2028年以降の終了日は制度詳細に保持。</x:v>
      </x:c>
      <x:c r="BM3" s="7" t="str">
        <x:v>購入優遇＝緑／輸入条件＝青／生産義務＝紫／猶予＝灰。将来は薄色、未確定は黄。開始月未確定は帯なし。2028年以降の終了日は制度詳細に保持。</x:v>
      </x:c>
      <x:c r="BN3" s="7" t="str">
        <x:v>購入優遇＝緑／輸入条件＝青／生産義務＝紫／猶予＝灰。将来は薄色、未確定は黄。開始月未確定は帯なし。2028年以降の終了日は制度詳細に保持。</x:v>
      </x:c>
      <x:c r="BO3" s="7" t="str">
        <x:v>購入優遇＝緑／輸入条件＝青／生産義務＝紫／猶予＝灰。将来は薄色、未確定は黄。開始月未確定は帯なし。2028年以降の終了日は制度詳細に保持。</x:v>
      </x:c>
      <x:c r="BP3" s="7" t="str">
        <x:v>購入優遇＝緑／輸入条件＝青／生産義務＝紫／猶予＝灰。将来は薄色、未確定は黄。開始月未確定は帯なし。2028年以降の終了日は制度詳細に保持。</x:v>
      </x:c>
      <x:c r="BQ3" s="7" t="str">
        <x:v>購入優遇＝緑／輸入条件＝青／生産義務＝紫／猶予＝灰。将来は薄色、未確定は黄。開始月未確定は帯なし。2028年以降の終了日は制度詳細に保持。</x:v>
      </x:c>
      <x:c r="BR3" s="7" t="str">
        <x:v>購入優遇＝緑／輸入条件＝青／生産義務＝紫／猶予＝灰。将来は薄色、未確定は黄。開始月未確定は帯なし。2028年以降の終了日は制度詳細に保持。</x:v>
      </x:c>
      <x:c r="BS3" s="7" t="str">
        <x:v>購入優遇＝緑／輸入条件＝青／生産義務＝紫／猶予＝灰。将来は薄色、未確定は黄。開始月未確定は帯なし。2028年以降の終了日は制度詳細に保持。</x:v>
      </x:c>
      <x:c r="BT3" s="7" t="str">
        <x:v>購入優遇＝緑／輸入条件＝青／生産義務＝紫／猶予＝灰。将来は薄色、未確定は黄。開始月未確定は帯なし。2028年以降の終了日は制度詳細に保持。</x:v>
      </x:c>
      <x:c r="BU3" s="7" t="str">
        <x:v>購入優遇＝緑／輸入条件＝青／生産義務＝紫／猶予＝灰。将来は薄色、未確定は黄。開始月未確定は帯なし。2028年以降の終了日は制度詳細に保持。</x:v>
      </x:c>
      <x:c r="BV3" s="7" t="str">
        <x:v>購入優遇＝緑／輸入条件＝青／生産義務＝紫／猶予＝灰。将来は薄色、未確定は黄。開始月未確定は帯なし。2028年以降の終了日は制度詳細に保持。</x:v>
      </x:c>
      <x:c r="BW3" s="7" t="str">
        <x:v>購入優遇＝緑／輸入条件＝青／生産義務＝紫／猶予＝灰。将来は薄色、未確定は黄。開始月未確定は帯なし。2028年以降の終了日は制度詳細に保持。</x:v>
      </x:c>
      <x:c r="BX3" s="7" t="str">
        <x:v>購入優遇＝緑／輸入条件＝青／生産義務＝紫／猶予＝灰。将来は薄色、未確定は黄。開始月未確定は帯なし。2028年以降の終了日は制度詳細に保持。</x:v>
      </x:c>
      <x:c r="BY3" s="7" t="str">
        <x:v>購入優遇＝緑／輸入条件＝青／生産義務＝紫／猶予＝灰。将来は薄色、未確定は黄。開始月未確定は帯なし。2028年以降の終了日は制度詳細に保持。</x:v>
      </x:c>
      <x:c r="BZ3" s="7" t="str">
        <x:v>購入優遇＝緑／輸入条件＝青／生産義務＝紫／猶予＝灰。将来は薄色、未確定は黄。開始月未確定は帯なし。2028年以降の終了日は制度詳細に保持。</x:v>
      </x:c>
      <x:c r="CA3" s="7" t="str">
        <x:v>購入優遇＝緑／輸入条件＝青／生産義務＝紫／猶予＝灰。将来は薄色、未確定は黄。開始月未確定は帯なし。2028年以降の終了日は制度詳細に保持。</x:v>
      </x:c>
      <x:c r="CB3" s="7" t="str">
        <x:v>購入優遇＝緑／輸入条件＝青／生産義務＝紫／猶予＝灰。将来は薄色、未確定は黄。開始月未確定は帯なし。2028年以降の終了日は制度詳細に保持。</x:v>
      </x:c>
      <x:c r="CC3" s="7" t="str">
        <x:v>購入優遇＝緑／輸入条件＝青／生産義務＝紫／猶予＝灰。将来は薄色、未確定は黄。開始月未確定は帯なし。2028年以降の終了日は制度詳細に保持。</x:v>
      </x:c>
      <x:c r="CD3" s="7" t="str">
        <x:v>購入優遇＝緑／輸入条件＝青／生産義務＝紫／猶予＝灰。将来は薄色、未確定は黄。開始月未確定は帯なし。2028年以降の終了日は制度詳細に保持。</x:v>
      </x:c>
      <x:c r="CE3" s="7" t="str">
        <x:v>購入優遇＝緑／輸入条件＝青／生産義務＝紫／猶予＝灰。将来は薄色、未確定は黄。開始月未確定は帯なし。2028年以降の終了日は制度詳細に保持。</x:v>
      </x:c>
      <x:c r="CF3" s="7" t="str">
        <x:v>購入優遇＝緑／輸入条件＝青／生産義務＝紫／猶予＝灰。将来は薄色、未確定は黄。開始月未確定は帯なし。2028年以降の終了日は制度詳細に保持。</x:v>
      </x:c>
      <x:c r="CG3" s="7" t="str">
        <x:v>購入優遇＝緑／輸入条件＝青／生産義務＝紫／猶予＝灰。将来は薄色、未確定は黄。開始月未確定は帯なし。2028年以降の終了日は制度詳細に保持。</x:v>
      </x:c>
      <x:c r="CH3" s="7" t="str">
        <x:v>購入優遇＝緑／輸入条件＝青／生産義務＝紫／猶予＝灰。将来は薄色、未確定は黄。開始月未確定は帯なし。2028年以降の終了日は制度詳細に保持。</x:v>
      </x:c>
      <x:c r="CI3" s="7" t="str">
        <x:v>購入優遇＝緑／輸入条件＝青／生産義務＝紫／猶予＝灰。将来は薄色、未確定は黄。開始月未確定は帯なし。2028年以降の終了日は制度詳細に保持。</x:v>
      </x:c>
      <x:c r="CJ3" s="7" t="str">
        <x:v>購入優遇＝緑／輸入条件＝青／生産義務＝紫／猶予＝灰。将来は薄色、未確定は黄。開始月未確定は帯なし。2028年以降の終了日は制度詳細に保持。</x:v>
      </x:c>
      <x:c r="CK3" s="7" t="str">
        <x:v>購入優遇＝緑／輸入条件＝青／生産義務＝紫／猶予＝灰。将来は薄色、未確定は黄。開始月未確定は帯なし。2028年以降の終了日は制度詳細に保持。</x:v>
      </x:c>
      <x:c r="CL3" s="7" t="str">
        <x:v>購入優遇＝緑／輸入条件＝青／生産義務＝紫／猶予＝灰。将来は薄色、未確定は黄。開始月未確定は帯なし。2028年以降の終了日は制度詳細に保持。</x:v>
      </x:c>
      <x:c r="CM3" s="7" t="str">
        <x:v>購入優遇＝緑／輸入条件＝青／生産義務＝紫／猶予＝灰。将来は薄色、未確定は黄。開始月未確定は帯なし。2028年以降の終了日は制度詳細に保持。</x:v>
      </x:c>
      <x:c r="CN3" s="7" t="str">
        <x:v>購入優遇＝緑／輸入条件＝青／生産義務＝紫／猶予＝灰。将来は薄色、未確定は黄。開始月未確定は帯なし。2028年以降の終了日は制度詳細に保持。</x:v>
      </x:c>
      <x:c r="CO3" s="7" t="str">
        <x:v>購入優遇＝緑／輸入条件＝青／生産義務＝紫／猶予＝灰。将来は薄色、未確定は黄。開始月未確定は帯なし。2028年以降の終了日は制度詳細に保持。</x:v>
      </x:c>
      <x:c r="CP3" s="7" t="str">
        <x:v>購入優遇＝緑／輸入条件＝青／生産義務＝紫／猶予＝灰。将来は薄色、未確定は黄。開始月未確定は帯なし。2028年以降の終了日は制度詳細に保持。</x:v>
      </x:c>
      <x:c r="CQ3" s="7" t="str">
        <x:v>購入優遇＝緑／輸入条件＝青／生産義務＝紫／猶予＝灰。将来は薄色、未確定は黄。開始月未確定は帯なし。2028年以降の終了日は制度詳細に保持。</x:v>
      </x:c>
      <x:c r="CR3" s="7" t="str">
        <x:v>購入優遇＝緑／輸入条件＝青／生産義務＝紫／猶予＝灰。将来は薄色、未確定は黄。開始月未確定は帯なし。2028年以降の終了日は制度詳細に保持。</x:v>
      </x:c>
      <x:c r="CS3" s="7" t="str">
        <x:v>購入優遇＝緑／輸入条件＝青／生産義務＝紫／猶予＝灰。将来は薄色、未確定は黄。開始月未確定は帯なし。2028年以降の終了日は制度詳細に保持。</x:v>
      </x:c>
      <x:c r="CT3" s="7" t="str">
        <x:v>購入優遇＝緑／輸入条件＝青／生産義務＝紫／猶予＝灰。将来は薄色、未確定は黄。開始月未確定は帯なし。2028年以降の終了日は制度詳細に保持。</x:v>
      </x:c>
      <x:c r="CU3" s="1"/>
      <x:c r="CV3" s="1"/>
      <x:c r="CW3" s="1"/>
      <x:c r="CX3" s="1"/>
      <x:c r="CY3" s="1"/>
      <x:c r="CZ3" s="1"/>
      <x:c r="DA3" s="1"/>
      <x:c r="DB3" s="1"/>
      <x:c r="DC3" s="1"/>
      <x:c r="DD3" s="1"/>
    </x:row>
    <x:row r="4" ht="40" customHeight="1">
      <x:c r="A4" s="1"/>
      <x:c r="B4" s="1"/>
      <x:c r="C4" s="1"/>
      <x:c r="D4" s="1"/>
      <x:c r="E4" s="13" t="n">
        <x:v>2020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 t="n">
        <x:v>2021</x:v>
      </x:c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 t="n">
        <x:v>2022</x:v>
      </x:c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 t="n">
        <x:v>2023</x:v>
      </x:c>
      <x:c r="AP4" s="13"/>
      <x:c r="AQ4" s="13"/>
      <x:c r="AR4" s="13"/>
      <x:c r="AS4" s="13"/>
      <x:c r="AT4" s="13"/>
      <x:c r="AU4" s="13"/>
      <x:c r="AV4" s="13"/>
      <x:c r="AW4" s="13"/>
      <x:c r="AX4" s="13"/>
      <x:c r="AY4" s="13"/>
      <x:c r="AZ4" s="13"/>
      <x:c r="BA4" s="13" t="n">
        <x:v>2024</x:v>
      </x:c>
      <x:c r="BB4" s="13"/>
      <x:c r="BC4" s="13"/>
      <x:c r="BD4" s="13"/>
      <x:c r="BE4" s="13"/>
      <x:c r="BF4" s="13"/>
      <x:c r="BG4" s="13"/>
      <x:c r="BH4" s="13"/>
      <x:c r="BI4" s="13"/>
      <x:c r="BJ4" s="13"/>
      <x:c r="BK4" s="13"/>
      <x:c r="BL4" s="13"/>
      <x:c r="BM4" s="13" t="n">
        <x:v>2025</x:v>
      </x:c>
      <x:c r="BN4" s="13"/>
      <x:c r="BO4" s="13"/>
      <x:c r="BP4" s="13"/>
      <x:c r="BQ4" s="13"/>
      <x:c r="BR4" s="13"/>
      <x:c r="BS4" s="13"/>
      <x:c r="BT4" s="13"/>
      <x:c r="BU4" s="13"/>
      <x:c r="BV4" s="13"/>
      <x:c r="BW4" s="13"/>
      <x:c r="BX4" s="13"/>
      <x:c r="BY4" s="13" t="n">
        <x:v>2026</x:v>
      </x:c>
      <x:c r="BZ4" s="13"/>
      <x:c r="CA4" s="13"/>
      <x:c r="CB4" s="13"/>
      <x:c r="CC4" s="13"/>
      <x:c r="CD4" s="13"/>
      <x:c r="CE4" s="13"/>
      <x:c r="CF4" s="13"/>
      <x:c r="CG4" s="13"/>
      <x:c r="CH4" s="13"/>
      <x:c r="CI4" s="13"/>
      <x:c r="CJ4" s="13"/>
      <x:c r="CK4" s="13" t="n">
        <x:v>2027</x:v>
      </x:c>
      <x:c r="CL4" s="13"/>
      <x:c r="CM4" s="13"/>
      <x:c r="CN4" s="13"/>
      <x:c r="CO4" s="13"/>
      <x:c r="CP4" s="13"/>
      <x:c r="CQ4" s="13"/>
      <x:c r="CR4" s="13"/>
      <x:c r="CS4" s="13"/>
      <x:c r="CT4" s="13"/>
      <x:c r="CU4" s="13"/>
      <x:c r="CV4" s="13"/>
      <x:c r="CW4" s="1"/>
      <x:c r="CX4" s="1"/>
      <x:c r="CY4" s="1"/>
      <x:c r="CZ4" s="1"/>
      <x:c r="DA4" s="1"/>
      <x:c r="DB4" s="1"/>
      <x:c r="DC4" s="1"/>
      <x:c r="DD4" s="1"/>
    </x:row>
    <x:row r="5" ht="40" customHeight="1">
      <x:c r="A5" s="13" t="str">
        <x:v>制度ID</x:v>
      </x:c>
      <x:c r="B5" s="13" t="str">
        <x:v>国</x:v>
      </x:c>
      <x:c r="C5" s="13" t="str">
        <x:v>制度・措置</x:v>
      </x:c>
      <x:c r="D5" s="13" t="str">
        <x:v>動力</x:v>
      </x:c>
      <x:c r="E5" s="62" t="d">
        <x:v>2020-01-01T00:00:00.000Z</x:v>
      </x:c>
      <x:c r="F5" s="62" t="d">
        <x:v>2020-02-01T00:00:00.000Z</x:v>
      </x:c>
      <x:c r="G5" s="62" t="d">
        <x:v>2020-03-01T00:00:00.000Z</x:v>
      </x:c>
      <x:c r="H5" s="62" t="d">
        <x:v>2020-04-01T00:00:00.000Z</x:v>
      </x:c>
      <x:c r="I5" s="62" t="d">
        <x:v>2020-05-01T00:00:00.000Z</x:v>
      </x:c>
      <x:c r="J5" s="62" t="d">
        <x:v>2020-06-01T00:00:00.000Z</x:v>
      </x:c>
      <x:c r="K5" s="62" t="d">
        <x:v>2020-07-01T00:00:00.000Z</x:v>
      </x:c>
      <x:c r="L5" s="62" t="d">
        <x:v>2020-08-01T00:00:00.000Z</x:v>
      </x:c>
      <x:c r="M5" s="62" t="d">
        <x:v>2020-09-01T00:00:00.000Z</x:v>
      </x:c>
      <x:c r="N5" s="62" t="d">
        <x:v>2020-10-01T00:00:00.000Z</x:v>
      </x:c>
      <x:c r="O5" s="62" t="d">
        <x:v>2020-11-01T00:00:00.000Z</x:v>
      </x:c>
      <x:c r="P5" s="62" t="d">
        <x:v>2020-12-01T00:00:00.000Z</x:v>
      </x:c>
      <x:c r="Q5" s="62" t="d">
        <x:v>2021-01-01T00:00:00.000Z</x:v>
      </x:c>
      <x:c r="R5" s="62" t="d">
        <x:v>2021-02-01T00:00:00.000Z</x:v>
      </x:c>
      <x:c r="S5" s="62" t="d">
        <x:v>2021-03-01T00:00:00.000Z</x:v>
      </x:c>
      <x:c r="T5" s="62" t="d">
        <x:v>2021-04-01T00:00:00.000Z</x:v>
      </x:c>
      <x:c r="U5" s="62" t="d">
        <x:v>2021-05-01T00:00:00.000Z</x:v>
      </x:c>
      <x:c r="V5" s="62" t="d">
        <x:v>2021-06-01T00:00:00.000Z</x:v>
      </x:c>
      <x:c r="W5" s="62" t="d">
        <x:v>2021-07-01T00:00:00.000Z</x:v>
      </x:c>
      <x:c r="X5" s="62" t="d">
        <x:v>2021-08-01T00:00:00.000Z</x:v>
      </x:c>
      <x:c r="Y5" s="62" t="d">
        <x:v>2021-09-01T00:00:00.000Z</x:v>
      </x:c>
      <x:c r="Z5" s="62" t="d">
        <x:v>2021-10-01T00:00:00.000Z</x:v>
      </x:c>
      <x:c r="AA5" s="62" t="d">
        <x:v>2021-11-01T00:00:00.000Z</x:v>
      </x:c>
      <x:c r="AB5" s="62" t="d">
        <x:v>2021-12-01T00:00:00.000Z</x:v>
      </x:c>
      <x:c r="AC5" s="62" t="d">
        <x:v>2022-01-01T00:00:00.000Z</x:v>
      </x:c>
      <x:c r="AD5" s="62" t="d">
        <x:v>2022-02-01T00:00:00.000Z</x:v>
      </x:c>
      <x:c r="AE5" s="62" t="d">
        <x:v>2022-03-01T00:00:00.000Z</x:v>
      </x:c>
      <x:c r="AF5" s="62" t="d">
        <x:v>2022-04-01T00:00:00.000Z</x:v>
      </x:c>
      <x:c r="AG5" s="62" t="d">
        <x:v>2022-05-01T00:00:00.000Z</x:v>
      </x:c>
      <x:c r="AH5" s="62" t="d">
        <x:v>2022-06-01T00:00:00.000Z</x:v>
      </x:c>
      <x:c r="AI5" s="62" t="d">
        <x:v>2022-07-01T00:00:00.000Z</x:v>
      </x:c>
      <x:c r="AJ5" s="62" t="d">
        <x:v>2022-08-01T00:00:00.000Z</x:v>
      </x:c>
      <x:c r="AK5" s="62" t="d">
        <x:v>2022-09-01T00:00:00.000Z</x:v>
      </x:c>
      <x:c r="AL5" s="62" t="d">
        <x:v>2022-10-01T00:00:00.000Z</x:v>
      </x:c>
      <x:c r="AM5" s="62" t="d">
        <x:v>2022-11-01T00:00:00.000Z</x:v>
      </x:c>
      <x:c r="AN5" s="62" t="d">
        <x:v>2022-12-01T00:00:00.000Z</x:v>
      </x:c>
      <x:c r="AO5" s="62" t="d">
        <x:v>2023-01-01T00:00:00.000Z</x:v>
      </x:c>
      <x:c r="AP5" s="62" t="d">
        <x:v>2023-02-01T00:00:00.000Z</x:v>
      </x:c>
      <x:c r="AQ5" s="62" t="d">
        <x:v>2023-03-01T00:00:00.000Z</x:v>
      </x:c>
      <x:c r="AR5" s="62" t="d">
        <x:v>2023-04-01T00:00:00.000Z</x:v>
      </x:c>
      <x:c r="AS5" s="62" t="d">
        <x:v>2023-05-01T00:00:00.000Z</x:v>
      </x:c>
      <x:c r="AT5" s="62" t="d">
        <x:v>2023-06-01T00:00:00.000Z</x:v>
      </x:c>
      <x:c r="AU5" s="62" t="d">
        <x:v>2023-07-01T00:00:00.000Z</x:v>
      </x:c>
      <x:c r="AV5" s="62" t="d">
        <x:v>2023-08-01T00:00:00.000Z</x:v>
      </x:c>
      <x:c r="AW5" s="62" t="d">
        <x:v>2023-09-01T00:00:00.000Z</x:v>
      </x:c>
      <x:c r="AX5" s="62" t="d">
        <x:v>2023-10-01T00:00:00.000Z</x:v>
      </x:c>
      <x:c r="AY5" s="62" t="d">
        <x:v>2023-11-01T00:00:00.000Z</x:v>
      </x:c>
      <x:c r="AZ5" s="62" t="d">
        <x:v>2023-12-01T00:00:00.000Z</x:v>
      </x:c>
      <x:c r="BA5" s="62" t="d">
        <x:v>2024-01-01T00:00:00.000Z</x:v>
      </x:c>
      <x:c r="BB5" s="62" t="d">
        <x:v>2024-02-01T00:00:00.000Z</x:v>
      </x:c>
      <x:c r="BC5" s="62" t="d">
        <x:v>2024-03-01T00:00:00.000Z</x:v>
      </x:c>
      <x:c r="BD5" s="62" t="d">
        <x:v>2024-04-01T00:00:00.000Z</x:v>
      </x:c>
      <x:c r="BE5" s="62" t="d">
        <x:v>2024-05-01T00:00:00.000Z</x:v>
      </x:c>
      <x:c r="BF5" s="62" t="d">
        <x:v>2024-06-01T00:00:00.000Z</x:v>
      </x:c>
      <x:c r="BG5" s="62" t="d">
        <x:v>2024-07-01T00:00:00.000Z</x:v>
      </x:c>
      <x:c r="BH5" s="62" t="d">
        <x:v>2024-08-01T00:00:00.000Z</x:v>
      </x:c>
      <x:c r="BI5" s="62" t="d">
        <x:v>2024-09-01T00:00:00.000Z</x:v>
      </x:c>
      <x:c r="BJ5" s="62" t="d">
        <x:v>2024-10-01T00:00:00.000Z</x:v>
      </x:c>
      <x:c r="BK5" s="62" t="d">
        <x:v>2024-11-01T00:00:00.000Z</x:v>
      </x:c>
      <x:c r="BL5" s="62" t="d">
        <x:v>2024-12-01T00:00:00.000Z</x:v>
      </x:c>
      <x:c r="BM5" s="62" t="d">
        <x:v>2025-01-01T00:00:00.000Z</x:v>
      </x:c>
      <x:c r="BN5" s="62" t="d">
        <x:v>2025-02-01T00:00:00.000Z</x:v>
      </x:c>
      <x:c r="BO5" s="62" t="d">
        <x:v>2025-03-01T00:00:00.000Z</x:v>
      </x:c>
      <x:c r="BP5" s="62" t="d">
        <x:v>2025-04-01T00:00:00.000Z</x:v>
      </x:c>
      <x:c r="BQ5" s="62" t="d">
        <x:v>2025-05-01T00:00:00.000Z</x:v>
      </x:c>
      <x:c r="BR5" s="62" t="d">
        <x:v>2025-06-01T00:00:00.000Z</x:v>
      </x:c>
      <x:c r="BS5" s="62" t="d">
        <x:v>2025-07-01T00:00:00.000Z</x:v>
      </x:c>
      <x:c r="BT5" s="62" t="d">
        <x:v>2025-08-01T00:00:00.000Z</x:v>
      </x:c>
      <x:c r="BU5" s="62" t="d">
        <x:v>2025-09-01T00:00:00.000Z</x:v>
      </x:c>
      <x:c r="BV5" s="62" t="d">
        <x:v>2025-10-01T00:00:00.000Z</x:v>
      </x:c>
      <x:c r="BW5" s="62" t="d">
        <x:v>2025-11-01T00:00:00.000Z</x:v>
      </x:c>
      <x:c r="BX5" s="62" t="d">
        <x:v>2025-12-01T00:00:00.000Z</x:v>
      </x:c>
      <x:c r="BY5" s="62" t="d">
        <x:v>2026-01-01T00:00:00.000Z</x:v>
      </x:c>
      <x:c r="BZ5" s="62" t="d">
        <x:v>2026-02-01T00:00:00.000Z</x:v>
      </x:c>
      <x:c r="CA5" s="62" t="d">
        <x:v>2026-03-01T00:00:00.000Z</x:v>
      </x:c>
      <x:c r="CB5" s="62" t="d">
        <x:v>2026-04-01T00:00:00.000Z</x:v>
      </x:c>
      <x:c r="CC5" s="62" t="d">
        <x:v>2026-05-01T00:00:00.000Z</x:v>
      </x:c>
      <x:c r="CD5" s="62" t="d">
        <x:v>2026-06-01T00:00:00.000Z</x:v>
      </x:c>
      <x:c r="CE5" s="62" t="d">
        <x:v>2026-07-01T00:00:00.000Z</x:v>
      </x:c>
      <x:c r="CF5" s="62" t="d">
        <x:v>2026-08-01T00:00:00.000Z</x:v>
      </x:c>
      <x:c r="CG5" s="62" t="d">
        <x:v>2026-09-01T00:00:00.000Z</x:v>
      </x:c>
      <x:c r="CH5" s="62" t="d">
        <x:v>2026-10-01T00:00:00.000Z</x:v>
      </x:c>
      <x:c r="CI5" s="62" t="d">
        <x:v>2026-11-01T00:00:00.000Z</x:v>
      </x:c>
      <x:c r="CJ5" s="62" t="d">
        <x:v>2026-12-01T00:00:00.000Z</x:v>
      </x:c>
      <x:c r="CK5" s="62" t="d">
        <x:v>2027-01-01T00:00:00.000Z</x:v>
      </x:c>
      <x:c r="CL5" s="62" t="d">
        <x:v>2027-02-01T00:00:00.000Z</x:v>
      </x:c>
      <x:c r="CM5" s="62" t="d">
        <x:v>2027-03-01T00:00:00.000Z</x:v>
      </x:c>
      <x:c r="CN5" s="62" t="d">
        <x:v>2027-04-01T00:00:00.000Z</x:v>
      </x:c>
      <x:c r="CO5" s="62" t="d">
        <x:v>2027-05-01T00:00:00.000Z</x:v>
      </x:c>
      <x:c r="CP5" s="62" t="d">
        <x:v>2027-06-01T00:00:00.000Z</x:v>
      </x:c>
      <x:c r="CQ5" s="62" t="d">
        <x:v>2027-07-01T00:00:00.000Z</x:v>
      </x:c>
      <x:c r="CR5" s="62" t="d">
        <x:v>2027-08-01T00:00:00.000Z</x:v>
      </x:c>
      <x:c r="CS5" s="62" t="d">
        <x:v>2027-09-01T00:00:00.000Z</x:v>
      </x:c>
      <x:c r="CT5" s="62" t="d">
        <x:v>2027-10-01T00:00:00.000Z</x:v>
      </x:c>
      <x:c r="CU5" s="62" t="d">
        <x:v>2027-11-01T00:00:00.000Z</x:v>
      </x:c>
      <x:c r="CV5" s="62" t="d">
        <x:v>2027-12-01T00:00:00.000Z</x:v>
      </x:c>
      <x:c r="CW5" s="1"/>
      <x:c r="CX5" s="1"/>
      <x:c r="CY5" s="1"/>
      <x:c r="CZ5" s="1"/>
      <x:c r="DA5" s="1"/>
      <x:c r="DB5" s="1"/>
      <x:c r="DC5" s="1"/>
      <x:c r="DD5" s="1"/>
    </x:row>
    <x:row r="6" ht="27" customHeight="1">
      <x:c r="A6" s="53" t="str">
        <x:v>TH01</x:v>
      </x:c>
      <x:c r="B6" s="53" t="str">
        <x:v>タイ</x:v>
      </x:c>
      <x:c r="C6" s="53" t="str">
        <x:v>EV3：開始月未確定</x:v>
      </x:c>
      <x:c r="D6" s="53" t="str">
        <x:v>BEV</x:v>
      </x:c>
      <x:c r="E6" s="57" t="str">
        <x:f>IF('制度詳細'!$H$6="",IF('制度詳細'!$J$6="","",IF(AND('制度詳細'!$J$6&gt;=E$5,'制度詳細'!$J$6&lt;=EOMONTH(E$5,0)),"◆","")),IF(MAX('制度詳細'!$H$6,E$5)&lt;=MIN(IF('制度詳細'!$I$6="",EOMONTH(E$5,0),'制度詳細'!$I$6),EOMONTH(E$5,0)),"■",IF(AND('制度詳細'!$J$6&lt;&gt;"",'制度詳細'!$J$6&gt;=E$5,'制度詳細'!$J$6&lt;=EOMONTH(E$5,0)),"◆","")))</x:f>
      </x:c>
      <x:c r="F6" s="57" t="str">
        <x:f>IF('制度詳細'!$H$6="",IF('制度詳細'!$J$6="","",IF(AND('制度詳細'!$J$6&gt;=F$5,'制度詳細'!$J$6&lt;=EOMONTH(F$5,0)),"◆","")),IF(MAX('制度詳細'!$H$6,F$5)&lt;=MIN(IF('制度詳細'!$I$6="",EOMONTH(F$5,0),'制度詳細'!$I$6),EOMONTH(F$5,0)),"■",IF(AND('制度詳細'!$J$6&lt;&gt;"",'制度詳細'!$J$6&gt;=F$5,'制度詳細'!$J$6&lt;=EOMONTH(F$5,0)),"◆","")))</x:f>
      </x:c>
      <x:c r="G6" s="57" t="str">
        <x:f>IF('制度詳細'!$H$6="",IF('制度詳細'!$J$6="","",IF(AND('制度詳細'!$J$6&gt;=G$5,'制度詳細'!$J$6&lt;=EOMONTH(G$5,0)),"◆","")),IF(MAX('制度詳細'!$H$6,G$5)&lt;=MIN(IF('制度詳細'!$I$6="",EOMONTH(G$5,0),'制度詳細'!$I$6),EOMONTH(G$5,0)),"■",IF(AND('制度詳細'!$J$6&lt;&gt;"",'制度詳細'!$J$6&gt;=G$5,'制度詳細'!$J$6&lt;=EOMONTH(G$5,0)),"◆","")))</x:f>
      </x:c>
      <x:c r="H6" s="57" t="str">
        <x:f>IF('制度詳細'!$H$6="",IF('制度詳細'!$J$6="","",IF(AND('制度詳細'!$J$6&gt;=H$5,'制度詳細'!$J$6&lt;=EOMONTH(H$5,0)),"◆","")),IF(MAX('制度詳細'!$H$6,H$5)&lt;=MIN(IF('制度詳細'!$I$6="",EOMONTH(H$5,0),'制度詳細'!$I$6),EOMONTH(H$5,0)),"■",IF(AND('制度詳細'!$J$6&lt;&gt;"",'制度詳細'!$J$6&gt;=H$5,'制度詳細'!$J$6&lt;=EOMONTH(H$5,0)),"◆","")))</x:f>
      </x:c>
      <x:c r="I6" s="57" t="str">
        <x:f>IF('制度詳細'!$H$6="",IF('制度詳細'!$J$6="","",IF(AND('制度詳細'!$J$6&gt;=I$5,'制度詳細'!$J$6&lt;=EOMONTH(I$5,0)),"◆","")),IF(MAX('制度詳細'!$H$6,I$5)&lt;=MIN(IF('制度詳細'!$I$6="",EOMONTH(I$5,0),'制度詳細'!$I$6),EOMONTH(I$5,0)),"■",IF(AND('制度詳細'!$J$6&lt;&gt;"",'制度詳細'!$J$6&gt;=I$5,'制度詳細'!$J$6&lt;=EOMONTH(I$5,0)),"◆","")))</x:f>
      </x:c>
      <x:c r="J6" s="57" t="str">
        <x:f>IF('制度詳細'!$H$6="",IF('制度詳細'!$J$6="","",IF(AND('制度詳細'!$J$6&gt;=J$5,'制度詳細'!$J$6&lt;=EOMONTH(J$5,0)),"◆","")),IF(MAX('制度詳細'!$H$6,J$5)&lt;=MIN(IF('制度詳細'!$I$6="",EOMONTH(J$5,0),'制度詳細'!$I$6),EOMONTH(J$5,0)),"■",IF(AND('制度詳細'!$J$6&lt;&gt;"",'制度詳細'!$J$6&gt;=J$5,'制度詳細'!$J$6&lt;=EOMONTH(J$5,0)),"◆","")))</x:f>
      </x:c>
      <x:c r="K6" s="57" t="str">
        <x:f>IF('制度詳細'!$H$6="",IF('制度詳細'!$J$6="","",IF(AND('制度詳細'!$J$6&gt;=K$5,'制度詳細'!$J$6&lt;=EOMONTH(K$5,0)),"◆","")),IF(MAX('制度詳細'!$H$6,K$5)&lt;=MIN(IF('制度詳細'!$I$6="",EOMONTH(K$5,0),'制度詳細'!$I$6),EOMONTH(K$5,0)),"■",IF(AND('制度詳細'!$J$6&lt;&gt;"",'制度詳細'!$J$6&gt;=K$5,'制度詳細'!$J$6&lt;=EOMONTH(K$5,0)),"◆","")))</x:f>
      </x:c>
      <x:c r="L6" s="57" t="str">
        <x:f>IF('制度詳細'!$H$6="",IF('制度詳細'!$J$6="","",IF(AND('制度詳細'!$J$6&gt;=L$5,'制度詳細'!$J$6&lt;=EOMONTH(L$5,0)),"◆","")),IF(MAX('制度詳細'!$H$6,L$5)&lt;=MIN(IF('制度詳細'!$I$6="",EOMONTH(L$5,0),'制度詳細'!$I$6),EOMONTH(L$5,0)),"■",IF(AND('制度詳細'!$J$6&lt;&gt;"",'制度詳細'!$J$6&gt;=L$5,'制度詳細'!$J$6&lt;=EOMONTH(L$5,0)),"◆","")))</x:f>
      </x:c>
      <x:c r="M6" s="57" t="str">
        <x:f>IF('制度詳細'!$H$6="",IF('制度詳細'!$J$6="","",IF(AND('制度詳細'!$J$6&gt;=M$5,'制度詳細'!$J$6&lt;=EOMONTH(M$5,0)),"◆","")),IF(MAX('制度詳細'!$H$6,M$5)&lt;=MIN(IF('制度詳細'!$I$6="",EOMONTH(M$5,0),'制度詳細'!$I$6),EOMONTH(M$5,0)),"■",IF(AND('制度詳細'!$J$6&lt;&gt;"",'制度詳細'!$J$6&gt;=M$5,'制度詳細'!$J$6&lt;=EOMONTH(M$5,0)),"◆","")))</x:f>
      </x:c>
      <x:c r="N6" s="57" t="str">
        <x:f>IF('制度詳細'!$H$6="",IF('制度詳細'!$J$6="","",IF(AND('制度詳細'!$J$6&gt;=N$5,'制度詳細'!$J$6&lt;=EOMONTH(N$5,0)),"◆","")),IF(MAX('制度詳細'!$H$6,N$5)&lt;=MIN(IF('制度詳細'!$I$6="",EOMONTH(N$5,0),'制度詳細'!$I$6),EOMONTH(N$5,0)),"■",IF(AND('制度詳細'!$J$6&lt;&gt;"",'制度詳細'!$J$6&gt;=N$5,'制度詳細'!$J$6&lt;=EOMONTH(N$5,0)),"◆","")))</x:f>
      </x:c>
      <x:c r="O6" s="57" t="str">
        <x:f>IF('制度詳細'!$H$6="",IF('制度詳細'!$J$6="","",IF(AND('制度詳細'!$J$6&gt;=O$5,'制度詳細'!$J$6&lt;=EOMONTH(O$5,0)),"◆","")),IF(MAX('制度詳細'!$H$6,O$5)&lt;=MIN(IF('制度詳細'!$I$6="",EOMONTH(O$5,0),'制度詳細'!$I$6),EOMONTH(O$5,0)),"■",IF(AND('制度詳細'!$J$6&lt;&gt;"",'制度詳細'!$J$6&gt;=O$5,'制度詳細'!$J$6&lt;=EOMONTH(O$5,0)),"◆","")))</x:f>
      </x:c>
      <x:c r="P6" s="57" t="str">
        <x:f>IF('制度詳細'!$H$6="",IF('制度詳細'!$J$6="","",IF(AND('制度詳細'!$J$6&gt;=P$5,'制度詳細'!$J$6&lt;=EOMONTH(P$5,0)),"◆","")),IF(MAX('制度詳細'!$H$6,P$5)&lt;=MIN(IF('制度詳細'!$I$6="",EOMONTH(P$5,0),'制度詳細'!$I$6),EOMONTH(P$5,0)),"■",IF(AND('制度詳細'!$J$6&lt;&gt;"",'制度詳細'!$J$6&gt;=P$5,'制度詳細'!$J$6&lt;=EOMONTH(P$5,0)),"◆","")))</x:f>
      </x:c>
      <x:c r="Q6" s="57" t="str">
        <x:f>IF('制度詳細'!$H$6="",IF('制度詳細'!$J$6="","",IF(AND('制度詳細'!$J$6&gt;=Q$5,'制度詳細'!$J$6&lt;=EOMONTH(Q$5,0)),"◆","")),IF(MAX('制度詳細'!$H$6,Q$5)&lt;=MIN(IF('制度詳細'!$I$6="",EOMONTH(Q$5,0),'制度詳細'!$I$6),EOMONTH(Q$5,0)),"■",IF(AND('制度詳細'!$J$6&lt;&gt;"",'制度詳細'!$J$6&gt;=Q$5,'制度詳細'!$J$6&lt;=EOMONTH(Q$5,0)),"◆","")))</x:f>
      </x:c>
      <x:c r="R6" s="57" t="str">
        <x:f>IF('制度詳細'!$H$6="",IF('制度詳細'!$J$6="","",IF(AND('制度詳細'!$J$6&gt;=R$5,'制度詳細'!$J$6&lt;=EOMONTH(R$5,0)),"◆","")),IF(MAX('制度詳細'!$H$6,R$5)&lt;=MIN(IF('制度詳細'!$I$6="",EOMONTH(R$5,0),'制度詳細'!$I$6),EOMONTH(R$5,0)),"■",IF(AND('制度詳細'!$J$6&lt;&gt;"",'制度詳細'!$J$6&gt;=R$5,'制度詳細'!$J$6&lt;=EOMONTH(R$5,0)),"◆","")))</x:f>
      </x:c>
      <x:c r="S6" s="57" t="str">
        <x:f>IF('制度詳細'!$H$6="",IF('制度詳細'!$J$6="","",IF(AND('制度詳細'!$J$6&gt;=S$5,'制度詳細'!$J$6&lt;=EOMONTH(S$5,0)),"◆","")),IF(MAX('制度詳細'!$H$6,S$5)&lt;=MIN(IF('制度詳細'!$I$6="",EOMONTH(S$5,0),'制度詳細'!$I$6),EOMONTH(S$5,0)),"■",IF(AND('制度詳細'!$J$6&lt;&gt;"",'制度詳細'!$J$6&gt;=S$5,'制度詳細'!$J$6&lt;=EOMONTH(S$5,0)),"◆","")))</x:f>
      </x:c>
      <x:c r="T6" s="57" t="str">
        <x:f>IF('制度詳細'!$H$6="",IF('制度詳細'!$J$6="","",IF(AND('制度詳細'!$J$6&gt;=T$5,'制度詳細'!$J$6&lt;=EOMONTH(T$5,0)),"◆","")),IF(MAX('制度詳細'!$H$6,T$5)&lt;=MIN(IF('制度詳細'!$I$6="",EOMONTH(T$5,0),'制度詳細'!$I$6),EOMONTH(T$5,0)),"■",IF(AND('制度詳細'!$J$6&lt;&gt;"",'制度詳細'!$J$6&gt;=T$5,'制度詳細'!$J$6&lt;=EOMONTH(T$5,0)),"◆","")))</x:f>
      </x:c>
      <x:c r="U6" s="57" t="str">
        <x:f>IF('制度詳細'!$H$6="",IF('制度詳細'!$J$6="","",IF(AND('制度詳細'!$J$6&gt;=U$5,'制度詳細'!$J$6&lt;=EOMONTH(U$5,0)),"◆","")),IF(MAX('制度詳細'!$H$6,U$5)&lt;=MIN(IF('制度詳細'!$I$6="",EOMONTH(U$5,0),'制度詳細'!$I$6),EOMONTH(U$5,0)),"■",IF(AND('制度詳細'!$J$6&lt;&gt;"",'制度詳細'!$J$6&gt;=U$5,'制度詳細'!$J$6&lt;=EOMONTH(U$5,0)),"◆","")))</x:f>
      </x:c>
      <x:c r="V6" s="57" t="str">
        <x:f>IF('制度詳細'!$H$6="",IF('制度詳細'!$J$6="","",IF(AND('制度詳細'!$J$6&gt;=V$5,'制度詳細'!$J$6&lt;=EOMONTH(V$5,0)),"◆","")),IF(MAX('制度詳細'!$H$6,V$5)&lt;=MIN(IF('制度詳細'!$I$6="",EOMONTH(V$5,0),'制度詳細'!$I$6),EOMONTH(V$5,0)),"■",IF(AND('制度詳細'!$J$6&lt;&gt;"",'制度詳細'!$J$6&gt;=V$5,'制度詳細'!$J$6&lt;=EOMONTH(V$5,0)),"◆","")))</x:f>
      </x:c>
      <x:c r="W6" s="57" t="str">
        <x:f>IF('制度詳細'!$H$6="",IF('制度詳細'!$J$6="","",IF(AND('制度詳細'!$J$6&gt;=W$5,'制度詳細'!$J$6&lt;=EOMONTH(W$5,0)),"◆","")),IF(MAX('制度詳細'!$H$6,W$5)&lt;=MIN(IF('制度詳細'!$I$6="",EOMONTH(W$5,0),'制度詳細'!$I$6),EOMONTH(W$5,0)),"■",IF(AND('制度詳細'!$J$6&lt;&gt;"",'制度詳細'!$J$6&gt;=W$5,'制度詳細'!$J$6&lt;=EOMONTH(W$5,0)),"◆","")))</x:f>
      </x:c>
      <x:c r="X6" s="57" t="str">
        <x:f>IF('制度詳細'!$H$6="",IF('制度詳細'!$J$6="","",IF(AND('制度詳細'!$J$6&gt;=X$5,'制度詳細'!$J$6&lt;=EOMONTH(X$5,0)),"◆","")),IF(MAX('制度詳細'!$H$6,X$5)&lt;=MIN(IF('制度詳細'!$I$6="",EOMONTH(X$5,0),'制度詳細'!$I$6),EOMONTH(X$5,0)),"■",IF(AND('制度詳細'!$J$6&lt;&gt;"",'制度詳細'!$J$6&gt;=X$5,'制度詳細'!$J$6&lt;=EOMONTH(X$5,0)),"◆","")))</x:f>
      </x:c>
      <x:c r="Y6" s="57" t="str">
        <x:f>IF('制度詳細'!$H$6="",IF('制度詳細'!$J$6="","",IF(AND('制度詳細'!$J$6&gt;=Y$5,'制度詳細'!$J$6&lt;=EOMONTH(Y$5,0)),"◆","")),IF(MAX('制度詳細'!$H$6,Y$5)&lt;=MIN(IF('制度詳細'!$I$6="",EOMONTH(Y$5,0),'制度詳細'!$I$6),EOMONTH(Y$5,0)),"■",IF(AND('制度詳細'!$J$6&lt;&gt;"",'制度詳細'!$J$6&gt;=Y$5,'制度詳細'!$J$6&lt;=EOMONTH(Y$5,0)),"◆","")))</x:f>
      </x:c>
      <x:c r="Z6" s="57" t="str">
        <x:f>IF('制度詳細'!$H$6="",IF('制度詳細'!$J$6="","",IF(AND('制度詳細'!$J$6&gt;=Z$5,'制度詳細'!$J$6&lt;=EOMONTH(Z$5,0)),"◆","")),IF(MAX('制度詳細'!$H$6,Z$5)&lt;=MIN(IF('制度詳細'!$I$6="",EOMONTH(Z$5,0),'制度詳細'!$I$6),EOMONTH(Z$5,0)),"■",IF(AND('制度詳細'!$J$6&lt;&gt;"",'制度詳細'!$J$6&gt;=Z$5,'制度詳細'!$J$6&lt;=EOMONTH(Z$5,0)),"◆","")))</x:f>
      </x:c>
      <x:c r="AA6" s="57" t="str">
        <x:f>IF('制度詳細'!$H$6="",IF('制度詳細'!$J$6="","",IF(AND('制度詳細'!$J$6&gt;=AA$5,'制度詳細'!$J$6&lt;=EOMONTH(AA$5,0)),"◆","")),IF(MAX('制度詳細'!$H$6,AA$5)&lt;=MIN(IF('制度詳細'!$I$6="",EOMONTH(AA$5,0),'制度詳細'!$I$6),EOMONTH(AA$5,0)),"■",IF(AND('制度詳細'!$J$6&lt;&gt;"",'制度詳細'!$J$6&gt;=AA$5,'制度詳細'!$J$6&lt;=EOMONTH(AA$5,0)),"◆","")))</x:f>
      </x:c>
      <x:c r="AB6" s="57" t="str">
        <x:f>IF('制度詳細'!$H$6="",IF('制度詳細'!$J$6="","",IF(AND('制度詳細'!$J$6&gt;=AB$5,'制度詳細'!$J$6&lt;=EOMONTH(AB$5,0)),"◆","")),IF(MAX('制度詳細'!$H$6,AB$5)&lt;=MIN(IF('制度詳細'!$I$6="",EOMONTH(AB$5,0),'制度詳細'!$I$6),EOMONTH(AB$5,0)),"■",IF(AND('制度詳細'!$J$6&lt;&gt;"",'制度詳細'!$J$6&gt;=AB$5,'制度詳細'!$J$6&lt;=EOMONTH(AB$5,0)),"◆","")))</x:f>
      </x:c>
      <x:c r="AC6" s="57" t="str">
        <x:f>IF('制度詳細'!$H$6="",IF('制度詳細'!$J$6="","",IF(AND('制度詳細'!$J$6&gt;=AC$5,'制度詳細'!$J$6&lt;=EOMONTH(AC$5,0)),"◆","")),IF(MAX('制度詳細'!$H$6,AC$5)&lt;=MIN(IF('制度詳細'!$I$6="",EOMONTH(AC$5,0),'制度詳細'!$I$6),EOMONTH(AC$5,0)),"■",IF(AND('制度詳細'!$J$6&lt;&gt;"",'制度詳細'!$J$6&gt;=AC$5,'制度詳細'!$J$6&lt;=EOMONTH(AC$5,0)),"◆","")))</x:f>
      </x:c>
      <x:c r="AD6" s="57" t="str">
        <x:f>IF('制度詳細'!$H$6="",IF('制度詳細'!$J$6="","",IF(AND('制度詳細'!$J$6&gt;=AD$5,'制度詳細'!$J$6&lt;=EOMONTH(AD$5,0)),"◆","")),IF(MAX('制度詳細'!$H$6,AD$5)&lt;=MIN(IF('制度詳細'!$I$6="",EOMONTH(AD$5,0),'制度詳細'!$I$6),EOMONTH(AD$5,0)),"■",IF(AND('制度詳細'!$J$6&lt;&gt;"",'制度詳細'!$J$6&gt;=AD$5,'制度詳細'!$J$6&lt;=EOMONTH(AD$5,0)),"◆","")))</x:f>
      </x:c>
      <x:c r="AE6" s="57" t="str">
        <x:f>IF('制度詳細'!$H$6="",IF('制度詳細'!$J$6="","",IF(AND('制度詳細'!$J$6&gt;=AE$5,'制度詳細'!$J$6&lt;=EOMONTH(AE$5,0)),"◆","")),IF(MAX('制度詳細'!$H$6,AE$5)&lt;=MIN(IF('制度詳細'!$I$6="",EOMONTH(AE$5,0),'制度詳細'!$I$6),EOMONTH(AE$5,0)),"■",IF(AND('制度詳細'!$J$6&lt;&gt;"",'制度詳細'!$J$6&gt;=AE$5,'制度詳細'!$J$6&lt;=EOMONTH(AE$5,0)),"◆","")))</x:f>
      </x:c>
      <x:c r="AF6" s="57" t="str">
        <x:f>IF('制度詳細'!$H$6="",IF('制度詳細'!$J$6="","",IF(AND('制度詳細'!$J$6&gt;=AF$5,'制度詳細'!$J$6&lt;=EOMONTH(AF$5,0)),"◆","")),IF(MAX('制度詳細'!$H$6,AF$5)&lt;=MIN(IF('制度詳細'!$I$6="",EOMONTH(AF$5,0),'制度詳細'!$I$6),EOMONTH(AF$5,0)),"■",IF(AND('制度詳細'!$J$6&lt;&gt;"",'制度詳細'!$J$6&gt;=AF$5,'制度詳細'!$J$6&lt;=EOMONTH(AF$5,0)),"◆","")))</x:f>
      </x:c>
      <x:c r="AG6" s="57" t="str">
        <x:f>IF('制度詳細'!$H$6="",IF('制度詳細'!$J$6="","",IF(AND('制度詳細'!$J$6&gt;=AG$5,'制度詳細'!$J$6&lt;=EOMONTH(AG$5,0)),"◆","")),IF(MAX('制度詳細'!$H$6,AG$5)&lt;=MIN(IF('制度詳細'!$I$6="",EOMONTH(AG$5,0),'制度詳細'!$I$6),EOMONTH(AG$5,0)),"■",IF(AND('制度詳細'!$J$6&lt;&gt;"",'制度詳細'!$J$6&gt;=AG$5,'制度詳細'!$J$6&lt;=EOMONTH(AG$5,0)),"◆","")))</x:f>
      </x:c>
      <x:c r="AH6" s="57" t="str">
        <x:f>IF('制度詳細'!$H$6="",IF('制度詳細'!$J$6="","",IF(AND('制度詳細'!$J$6&gt;=AH$5,'制度詳細'!$J$6&lt;=EOMONTH(AH$5,0)),"◆","")),IF(MAX('制度詳細'!$H$6,AH$5)&lt;=MIN(IF('制度詳細'!$I$6="",EOMONTH(AH$5,0),'制度詳細'!$I$6),EOMONTH(AH$5,0)),"■",IF(AND('制度詳細'!$J$6&lt;&gt;"",'制度詳細'!$J$6&gt;=AH$5,'制度詳細'!$J$6&lt;=EOMONTH(AH$5,0)),"◆","")))</x:f>
      </x:c>
      <x:c r="AI6" s="57" t="str">
        <x:f>IF('制度詳細'!$H$6="",IF('制度詳細'!$J$6="","",IF(AND('制度詳細'!$J$6&gt;=AI$5,'制度詳細'!$J$6&lt;=EOMONTH(AI$5,0)),"◆","")),IF(MAX('制度詳細'!$H$6,AI$5)&lt;=MIN(IF('制度詳細'!$I$6="",EOMONTH(AI$5,0),'制度詳細'!$I$6),EOMONTH(AI$5,0)),"■",IF(AND('制度詳細'!$J$6&lt;&gt;"",'制度詳細'!$J$6&gt;=AI$5,'制度詳細'!$J$6&lt;=EOMONTH(AI$5,0)),"◆","")))</x:f>
      </x:c>
      <x:c r="AJ6" s="57" t="str">
        <x:f>IF('制度詳細'!$H$6="",IF('制度詳細'!$J$6="","",IF(AND('制度詳細'!$J$6&gt;=AJ$5,'制度詳細'!$J$6&lt;=EOMONTH(AJ$5,0)),"◆","")),IF(MAX('制度詳細'!$H$6,AJ$5)&lt;=MIN(IF('制度詳細'!$I$6="",EOMONTH(AJ$5,0),'制度詳細'!$I$6),EOMONTH(AJ$5,0)),"■",IF(AND('制度詳細'!$J$6&lt;&gt;"",'制度詳細'!$J$6&gt;=AJ$5,'制度詳細'!$J$6&lt;=EOMONTH(AJ$5,0)),"◆","")))</x:f>
      </x:c>
      <x:c r="AK6" s="57" t="str">
        <x:f>IF('制度詳細'!$H$6="",IF('制度詳細'!$J$6="","",IF(AND('制度詳細'!$J$6&gt;=AK$5,'制度詳細'!$J$6&lt;=EOMONTH(AK$5,0)),"◆","")),IF(MAX('制度詳細'!$H$6,AK$5)&lt;=MIN(IF('制度詳細'!$I$6="",EOMONTH(AK$5,0),'制度詳細'!$I$6),EOMONTH(AK$5,0)),"■",IF(AND('制度詳細'!$J$6&lt;&gt;"",'制度詳細'!$J$6&gt;=AK$5,'制度詳細'!$J$6&lt;=EOMONTH(AK$5,0)),"◆","")))</x:f>
      </x:c>
      <x:c r="AL6" s="57" t="str">
        <x:f>IF('制度詳細'!$H$6="",IF('制度詳細'!$J$6="","",IF(AND('制度詳細'!$J$6&gt;=AL$5,'制度詳細'!$J$6&lt;=EOMONTH(AL$5,0)),"◆","")),IF(MAX('制度詳細'!$H$6,AL$5)&lt;=MIN(IF('制度詳細'!$I$6="",EOMONTH(AL$5,0),'制度詳細'!$I$6),EOMONTH(AL$5,0)),"■",IF(AND('制度詳細'!$J$6&lt;&gt;"",'制度詳細'!$J$6&gt;=AL$5,'制度詳細'!$J$6&lt;=EOMONTH(AL$5,0)),"◆","")))</x:f>
      </x:c>
      <x:c r="AM6" s="57" t="str">
        <x:f>IF('制度詳細'!$H$6="",IF('制度詳細'!$J$6="","",IF(AND('制度詳細'!$J$6&gt;=AM$5,'制度詳細'!$J$6&lt;=EOMONTH(AM$5,0)),"◆","")),IF(MAX('制度詳細'!$H$6,AM$5)&lt;=MIN(IF('制度詳細'!$I$6="",EOMONTH(AM$5,0),'制度詳細'!$I$6),EOMONTH(AM$5,0)),"■",IF(AND('制度詳細'!$J$6&lt;&gt;"",'制度詳細'!$J$6&gt;=AM$5,'制度詳細'!$J$6&lt;=EOMONTH(AM$5,0)),"◆","")))</x:f>
      </x:c>
      <x:c r="AN6" s="57" t="str">
        <x:f>IF('制度詳細'!$H$6="",IF('制度詳細'!$J$6="","",IF(AND('制度詳細'!$J$6&gt;=AN$5,'制度詳細'!$J$6&lt;=EOMONTH(AN$5,0)),"◆","")),IF(MAX('制度詳細'!$H$6,AN$5)&lt;=MIN(IF('制度詳細'!$I$6="",EOMONTH(AN$5,0),'制度詳細'!$I$6),EOMONTH(AN$5,0)),"■",IF(AND('制度詳細'!$J$6&lt;&gt;"",'制度詳細'!$J$6&gt;=AN$5,'制度詳細'!$J$6&lt;=EOMONTH(AN$5,0)),"◆","")))</x:f>
      </x:c>
      <x:c r="AO6" s="57" t="str">
        <x:f>IF('制度詳細'!$H$6="",IF('制度詳細'!$J$6="","",IF(AND('制度詳細'!$J$6&gt;=AO$5,'制度詳細'!$J$6&lt;=EOMONTH(AO$5,0)),"◆","")),IF(MAX('制度詳細'!$H$6,AO$5)&lt;=MIN(IF('制度詳細'!$I$6="",EOMONTH(AO$5,0),'制度詳細'!$I$6),EOMONTH(AO$5,0)),"■",IF(AND('制度詳細'!$J$6&lt;&gt;"",'制度詳細'!$J$6&gt;=AO$5,'制度詳細'!$J$6&lt;=EOMONTH(AO$5,0)),"◆","")))</x:f>
      </x:c>
      <x:c r="AP6" s="57" t="str">
        <x:f>IF('制度詳細'!$H$6="",IF('制度詳細'!$J$6="","",IF(AND('制度詳細'!$J$6&gt;=AP$5,'制度詳細'!$J$6&lt;=EOMONTH(AP$5,0)),"◆","")),IF(MAX('制度詳細'!$H$6,AP$5)&lt;=MIN(IF('制度詳細'!$I$6="",EOMONTH(AP$5,0),'制度詳細'!$I$6),EOMONTH(AP$5,0)),"■",IF(AND('制度詳細'!$J$6&lt;&gt;"",'制度詳細'!$J$6&gt;=AP$5,'制度詳細'!$J$6&lt;=EOMONTH(AP$5,0)),"◆","")))</x:f>
      </x:c>
      <x:c r="AQ6" s="57" t="str">
        <x:f>IF('制度詳細'!$H$6="",IF('制度詳細'!$J$6="","",IF(AND('制度詳細'!$J$6&gt;=AQ$5,'制度詳細'!$J$6&lt;=EOMONTH(AQ$5,0)),"◆","")),IF(MAX('制度詳細'!$H$6,AQ$5)&lt;=MIN(IF('制度詳細'!$I$6="",EOMONTH(AQ$5,0),'制度詳細'!$I$6),EOMONTH(AQ$5,0)),"■",IF(AND('制度詳細'!$J$6&lt;&gt;"",'制度詳細'!$J$6&gt;=AQ$5,'制度詳細'!$J$6&lt;=EOMONTH(AQ$5,0)),"◆","")))</x:f>
      </x:c>
      <x:c r="AR6" s="57" t="str">
        <x:f>IF('制度詳細'!$H$6="",IF('制度詳細'!$J$6="","",IF(AND('制度詳細'!$J$6&gt;=AR$5,'制度詳細'!$J$6&lt;=EOMONTH(AR$5,0)),"◆","")),IF(MAX('制度詳細'!$H$6,AR$5)&lt;=MIN(IF('制度詳細'!$I$6="",EOMONTH(AR$5,0),'制度詳細'!$I$6),EOMONTH(AR$5,0)),"■",IF(AND('制度詳細'!$J$6&lt;&gt;"",'制度詳細'!$J$6&gt;=AR$5,'制度詳細'!$J$6&lt;=EOMONTH(AR$5,0)),"◆","")))</x:f>
      </x:c>
      <x:c r="AS6" s="57" t="str">
        <x:f>IF('制度詳細'!$H$6="",IF('制度詳細'!$J$6="","",IF(AND('制度詳細'!$J$6&gt;=AS$5,'制度詳細'!$J$6&lt;=EOMONTH(AS$5,0)),"◆","")),IF(MAX('制度詳細'!$H$6,AS$5)&lt;=MIN(IF('制度詳細'!$I$6="",EOMONTH(AS$5,0),'制度詳細'!$I$6),EOMONTH(AS$5,0)),"■",IF(AND('制度詳細'!$J$6&lt;&gt;"",'制度詳細'!$J$6&gt;=AS$5,'制度詳細'!$J$6&lt;=EOMONTH(AS$5,0)),"◆","")))</x:f>
      </x:c>
      <x:c r="AT6" s="57" t="str">
        <x:f>IF('制度詳細'!$H$6="",IF('制度詳細'!$J$6="","",IF(AND('制度詳細'!$J$6&gt;=AT$5,'制度詳細'!$J$6&lt;=EOMONTH(AT$5,0)),"◆","")),IF(MAX('制度詳細'!$H$6,AT$5)&lt;=MIN(IF('制度詳細'!$I$6="",EOMONTH(AT$5,0),'制度詳細'!$I$6),EOMONTH(AT$5,0)),"■",IF(AND('制度詳細'!$J$6&lt;&gt;"",'制度詳細'!$J$6&gt;=AT$5,'制度詳細'!$J$6&lt;=EOMONTH(AT$5,0)),"◆","")))</x:f>
      </x:c>
      <x:c r="AU6" s="57" t="str">
        <x:f>IF('制度詳細'!$H$6="",IF('制度詳細'!$J$6="","",IF(AND('制度詳細'!$J$6&gt;=AU$5,'制度詳細'!$J$6&lt;=EOMONTH(AU$5,0)),"◆","")),IF(MAX('制度詳細'!$H$6,AU$5)&lt;=MIN(IF('制度詳細'!$I$6="",EOMONTH(AU$5,0),'制度詳細'!$I$6),EOMONTH(AU$5,0)),"■",IF(AND('制度詳細'!$J$6&lt;&gt;"",'制度詳細'!$J$6&gt;=AU$5,'制度詳細'!$J$6&lt;=EOMONTH(AU$5,0)),"◆","")))</x:f>
      </x:c>
      <x:c r="AV6" s="57" t="str">
        <x:f>IF('制度詳細'!$H$6="",IF('制度詳細'!$J$6="","",IF(AND('制度詳細'!$J$6&gt;=AV$5,'制度詳細'!$J$6&lt;=EOMONTH(AV$5,0)),"◆","")),IF(MAX('制度詳細'!$H$6,AV$5)&lt;=MIN(IF('制度詳細'!$I$6="",EOMONTH(AV$5,0),'制度詳細'!$I$6),EOMONTH(AV$5,0)),"■",IF(AND('制度詳細'!$J$6&lt;&gt;"",'制度詳細'!$J$6&gt;=AV$5,'制度詳細'!$J$6&lt;=EOMONTH(AV$5,0)),"◆","")))</x:f>
      </x:c>
      <x:c r="AW6" s="57" t="str">
        <x:f>IF('制度詳細'!$H$6="",IF('制度詳細'!$J$6="","",IF(AND('制度詳細'!$J$6&gt;=AW$5,'制度詳細'!$J$6&lt;=EOMONTH(AW$5,0)),"◆","")),IF(MAX('制度詳細'!$H$6,AW$5)&lt;=MIN(IF('制度詳細'!$I$6="",EOMONTH(AW$5,0),'制度詳細'!$I$6),EOMONTH(AW$5,0)),"■",IF(AND('制度詳細'!$J$6&lt;&gt;"",'制度詳細'!$J$6&gt;=AW$5,'制度詳細'!$J$6&lt;=EOMONTH(AW$5,0)),"◆","")))</x:f>
      </x:c>
      <x:c r="AX6" s="57" t="str">
        <x:f>IF('制度詳細'!$H$6="",IF('制度詳細'!$J$6="","",IF(AND('制度詳細'!$J$6&gt;=AX$5,'制度詳細'!$J$6&lt;=EOMONTH(AX$5,0)),"◆","")),IF(MAX('制度詳細'!$H$6,AX$5)&lt;=MIN(IF('制度詳細'!$I$6="",EOMONTH(AX$5,0),'制度詳細'!$I$6),EOMONTH(AX$5,0)),"■",IF(AND('制度詳細'!$J$6&lt;&gt;"",'制度詳細'!$J$6&gt;=AX$5,'制度詳細'!$J$6&lt;=EOMONTH(AX$5,0)),"◆","")))</x:f>
      </x:c>
      <x:c r="AY6" s="57" t="str">
        <x:f>IF('制度詳細'!$H$6="",IF('制度詳細'!$J$6="","",IF(AND('制度詳細'!$J$6&gt;=AY$5,'制度詳細'!$J$6&lt;=EOMONTH(AY$5,0)),"◆","")),IF(MAX('制度詳細'!$H$6,AY$5)&lt;=MIN(IF('制度詳細'!$I$6="",EOMONTH(AY$5,0),'制度詳細'!$I$6),EOMONTH(AY$5,0)),"■",IF(AND('制度詳細'!$J$6&lt;&gt;"",'制度詳細'!$J$6&gt;=AY$5,'制度詳細'!$J$6&lt;=EOMONTH(AY$5,0)),"◆","")))</x:f>
      </x:c>
      <x:c r="AZ6" s="57" t="str">
        <x:f>IF('制度詳細'!$H$6="",IF('制度詳細'!$J$6="","",IF(AND('制度詳細'!$J$6&gt;=AZ$5,'制度詳細'!$J$6&lt;=EOMONTH(AZ$5,0)),"◆","")),IF(MAX('制度詳細'!$H$6,AZ$5)&lt;=MIN(IF('制度詳細'!$I$6="",EOMONTH(AZ$5,0),'制度詳細'!$I$6),EOMONTH(AZ$5,0)),"■",IF(AND('制度詳細'!$J$6&lt;&gt;"",'制度詳細'!$J$6&gt;=AZ$5,'制度詳細'!$J$6&lt;=EOMONTH(AZ$5,0)),"◆","")))</x:f>
      </x:c>
      <x:c r="BA6" s="57" t="str">
        <x:f>IF('制度詳細'!$H$6="",IF('制度詳細'!$J$6="","",IF(AND('制度詳細'!$J$6&gt;=BA$5,'制度詳細'!$J$6&lt;=EOMONTH(BA$5,0)),"◆","")),IF(MAX('制度詳細'!$H$6,BA$5)&lt;=MIN(IF('制度詳細'!$I$6="",EOMONTH(BA$5,0),'制度詳細'!$I$6),EOMONTH(BA$5,0)),"■",IF(AND('制度詳細'!$J$6&lt;&gt;"",'制度詳細'!$J$6&gt;=BA$5,'制度詳細'!$J$6&lt;=EOMONTH(BA$5,0)),"◆","")))</x:f>
      </x:c>
      <x:c r="BB6" s="57" t="str">
        <x:f>IF('制度詳細'!$H$6="",IF('制度詳細'!$J$6="","",IF(AND('制度詳細'!$J$6&gt;=BB$5,'制度詳細'!$J$6&lt;=EOMONTH(BB$5,0)),"◆","")),IF(MAX('制度詳細'!$H$6,BB$5)&lt;=MIN(IF('制度詳細'!$I$6="",EOMONTH(BB$5,0),'制度詳細'!$I$6),EOMONTH(BB$5,0)),"■",IF(AND('制度詳細'!$J$6&lt;&gt;"",'制度詳細'!$J$6&gt;=BB$5,'制度詳細'!$J$6&lt;=EOMONTH(BB$5,0)),"◆","")))</x:f>
      </x:c>
      <x:c r="BC6" s="57" t="str">
        <x:f>IF('制度詳細'!$H$6="",IF('制度詳細'!$J$6="","",IF(AND('制度詳細'!$J$6&gt;=BC$5,'制度詳細'!$J$6&lt;=EOMONTH(BC$5,0)),"◆","")),IF(MAX('制度詳細'!$H$6,BC$5)&lt;=MIN(IF('制度詳細'!$I$6="",EOMONTH(BC$5,0),'制度詳細'!$I$6),EOMONTH(BC$5,0)),"■",IF(AND('制度詳細'!$J$6&lt;&gt;"",'制度詳細'!$J$6&gt;=BC$5,'制度詳細'!$J$6&lt;=EOMONTH(BC$5,0)),"◆","")))</x:f>
      </x:c>
      <x:c r="BD6" s="57" t="str">
        <x:f>IF('制度詳細'!$H$6="",IF('制度詳細'!$J$6="","",IF(AND('制度詳細'!$J$6&gt;=BD$5,'制度詳細'!$J$6&lt;=EOMONTH(BD$5,0)),"◆","")),IF(MAX('制度詳細'!$H$6,BD$5)&lt;=MIN(IF('制度詳細'!$I$6="",EOMONTH(BD$5,0),'制度詳細'!$I$6),EOMONTH(BD$5,0)),"■",IF(AND('制度詳細'!$J$6&lt;&gt;"",'制度詳細'!$J$6&gt;=BD$5,'制度詳細'!$J$6&lt;=EOMONTH(BD$5,0)),"◆","")))</x:f>
      </x:c>
      <x:c r="BE6" s="57" t="str">
        <x:f>IF('制度詳細'!$H$6="",IF('制度詳細'!$J$6="","",IF(AND('制度詳細'!$J$6&gt;=BE$5,'制度詳細'!$J$6&lt;=EOMONTH(BE$5,0)),"◆","")),IF(MAX('制度詳細'!$H$6,BE$5)&lt;=MIN(IF('制度詳細'!$I$6="",EOMONTH(BE$5,0),'制度詳細'!$I$6),EOMONTH(BE$5,0)),"■",IF(AND('制度詳細'!$J$6&lt;&gt;"",'制度詳細'!$J$6&gt;=BE$5,'制度詳細'!$J$6&lt;=EOMONTH(BE$5,0)),"◆","")))</x:f>
      </x:c>
      <x:c r="BF6" s="57" t="str">
        <x:f>IF('制度詳細'!$H$6="",IF('制度詳細'!$J$6="","",IF(AND('制度詳細'!$J$6&gt;=BF$5,'制度詳細'!$J$6&lt;=EOMONTH(BF$5,0)),"◆","")),IF(MAX('制度詳細'!$H$6,BF$5)&lt;=MIN(IF('制度詳細'!$I$6="",EOMONTH(BF$5,0),'制度詳細'!$I$6),EOMONTH(BF$5,0)),"■",IF(AND('制度詳細'!$J$6&lt;&gt;"",'制度詳細'!$J$6&gt;=BF$5,'制度詳細'!$J$6&lt;=EOMONTH(BF$5,0)),"◆","")))</x:f>
      </x:c>
      <x:c r="BG6" s="57" t="str">
        <x:f>IF('制度詳細'!$H$6="",IF('制度詳細'!$J$6="","",IF(AND('制度詳細'!$J$6&gt;=BG$5,'制度詳細'!$J$6&lt;=EOMONTH(BG$5,0)),"◆","")),IF(MAX('制度詳細'!$H$6,BG$5)&lt;=MIN(IF('制度詳細'!$I$6="",EOMONTH(BG$5,0),'制度詳細'!$I$6),EOMONTH(BG$5,0)),"■",IF(AND('制度詳細'!$J$6&lt;&gt;"",'制度詳細'!$J$6&gt;=BG$5,'制度詳細'!$J$6&lt;=EOMONTH(BG$5,0)),"◆","")))</x:f>
      </x:c>
      <x:c r="BH6" s="57" t="str">
        <x:f>IF('制度詳細'!$H$6="",IF('制度詳細'!$J$6="","",IF(AND('制度詳細'!$J$6&gt;=BH$5,'制度詳細'!$J$6&lt;=EOMONTH(BH$5,0)),"◆","")),IF(MAX('制度詳細'!$H$6,BH$5)&lt;=MIN(IF('制度詳細'!$I$6="",EOMONTH(BH$5,0),'制度詳細'!$I$6),EOMONTH(BH$5,0)),"■",IF(AND('制度詳細'!$J$6&lt;&gt;"",'制度詳細'!$J$6&gt;=BH$5,'制度詳細'!$J$6&lt;=EOMONTH(BH$5,0)),"◆","")))</x:f>
      </x:c>
      <x:c r="BI6" s="57" t="str">
        <x:f>IF('制度詳細'!$H$6="",IF('制度詳細'!$J$6="","",IF(AND('制度詳細'!$J$6&gt;=BI$5,'制度詳細'!$J$6&lt;=EOMONTH(BI$5,0)),"◆","")),IF(MAX('制度詳細'!$H$6,BI$5)&lt;=MIN(IF('制度詳細'!$I$6="",EOMONTH(BI$5,0),'制度詳細'!$I$6),EOMONTH(BI$5,0)),"■",IF(AND('制度詳細'!$J$6&lt;&gt;"",'制度詳細'!$J$6&gt;=BI$5,'制度詳細'!$J$6&lt;=EOMONTH(BI$5,0)),"◆","")))</x:f>
      </x:c>
      <x:c r="BJ6" s="57" t="str">
        <x:f>IF('制度詳細'!$H$6="",IF('制度詳細'!$J$6="","",IF(AND('制度詳細'!$J$6&gt;=BJ$5,'制度詳細'!$J$6&lt;=EOMONTH(BJ$5,0)),"◆","")),IF(MAX('制度詳細'!$H$6,BJ$5)&lt;=MIN(IF('制度詳細'!$I$6="",EOMONTH(BJ$5,0),'制度詳細'!$I$6),EOMONTH(BJ$5,0)),"■",IF(AND('制度詳細'!$J$6&lt;&gt;"",'制度詳細'!$J$6&gt;=BJ$5,'制度詳細'!$J$6&lt;=EOMONTH(BJ$5,0)),"◆","")))</x:f>
      </x:c>
      <x:c r="BK6" s="57" t="str">
        <x:f>IF('制度詳細'!$H$6="",IF('制度詳細'!$J$6="","",IF(AND('制度詳細'!$J$6&gt;=BK$5,'制度詳細'!$J$6&lt;=EOMONTH(BK$5,0)),"◆","")),IF(MAX('制度詳細'!$H$6,BK$5)&lt;=MIN(IF('制度詳細'!$I$6="",EOMONTH(BK$5,0),'制度詳細'!$I$6),EOMONTH(BK$5,0)),"■",IF(AND('制度詳細'!$J$6&lt;&gt;"",'制度詳細'!$J$6&gt;=BK$5,'制度詳細'!$J$6&lt;=EOMONTH(BK$5,0)),"◆","")))</x:f>
      </x:c>
      <x:c r="BL6" s="57" t="str">
        <x:f>IF('制度詳細'!$H$6="",IF('制度詳細'!$J$6="","",IF(AND('制度詳細'!$J$6&gt;=BL$5,'制度詳細'!$J$6&lt;=EOMONTH(BL$5,0)),"◆","")),IF(MAX('制度詳細'!$H$6,BL$5)&lt;=MIN(IF('制度詳細'!$I$6="",EOMONTH(BL$5,0),'制度詳細'!$I$6),EOMONTH(BL$5,0)),"■",IF(AND('制度詳細'!$J$6&lt;&gt;"",'制度詳細'!$J$6&gt;=BL$5,'制度詳細'!$J$6&lt;=EOMONTH(BL$5,0)),"◆","")))</x:f>
      </x:c>
      <x:c r="BM6" s="57" t="str">
        <x:f>IF('制度詳細'!$H$6="",IF('制度詳細'!$J$6="","",IF(AND('制度詳細'!$J$6&gt;=BM$5,'制度詳細'!$J$6&lt;=EOMONTH(BM$5,0)),"◆","")),IF(MAX('制度詳細'!$H$6,BM$5)&lt;=MIN(IF('制度詳細'!$I$6="",EOMONTH(BM$5,0),'制度詳細'!$I$6),EOMONTH(BM$5,0)),"■",IF(AND('制度詳細'!$J$6&lt;&gt;"",'制度詳細'!$J$6&gt;=BM$5,'制度詳細'!$J$6&lt;=EOMONTH(BM$5,0)),"◆","")))</x:f>
      </x:c>
      <x:c r="BN6" s="57" t="str">
        <x:f>IF('制度詳細'!$H$6="",IF('制度詳細'!$J$6="","",IF(AND('制度詳細'!$J$6&gt;=BN$5,'制度詳細'!$J$6&lt;=EOMONTH(BN$5,0)),"◆","")),IF(MAX('制度詳細'!$H$6,BN$5)&lt;=MIN(IF('制度詳細'!$I$6="",EOMONTH(BN$5,0),'制度詳細'!$I$6),EOMONTH(BN$5,0)),"■",IF(AND('制度詳細'!$J$6&lt;&gt;"",'制度詳細'!$J$6&gt;=BN$5,'制度詳細'!$J$6&lt;=EOMONTH(BN$5,0)),"◆","")))</x:f>
      </x:c>
      <x:c r="BO6" s="57" t="str">
        <x:f>IF('制度詳細'!$H$6="",IF('制度詳細'!$J$6="","",IF(AND('制度詳細'!$J$6&gt;=BO$5,'制度詳細'!$J$6&lt;=EOMONTH(BO$5,0)),"◆","")),IF(MAX('制度詳細'!$H$6,BO$5)&lt;=MIN(IF('制度詳細'!$I$6="",EOMONTH(BO$5,0),'制度詳細'!$I$6),EOMONTH(BO$5,0)),"■",IF(AND('制度詳細'!$J$6&lt;&gt;"",'制度詳細'!$J$6&gt;=BO$5,'制度詳細'!$J$6&lt;=EOMONTH(BO$5,0)),"◆","")))</x:f>
      </x:c>
      <x:c r="BP6" s="57" t="str">
        <x:f>IF('制度詳細'!$H$6="",IF('制度詳細'!$J$6="","",IF(AND('制度詳細'!$J$6&gt;=BP$5,'制度詳細'!$J$6&lt;=EOMONTH(BP$5,0)),"◆","")),IF(MAX('制度詳細'!$H$6,BP$5)&lt;=MIN(IF('制度詳細'!$I$6="",EOMONTH(BP$5,0),'制度詳細'!$I$6),EOMONTH(BP$5,0)),"■",IF(AND('制度詳細'!$J$6&lt;&gt;"",'制度詳細'!$J$6&gt;=BP$5,'制度詳細'!$J$6&lt;=EOMONTH(BP$5,0)),"◆","")))</x:f>
      </x:c>
      <x:c r="BQ6" s="57" t="str">
        <x:f>IF('制度詳細'!$H$6="",IF('制度詳細'!$J$6="","",IF(AND('制度詳細'!$J$6&gt;=BQ$5,'制度詳細'!$J$6&lt;=EOMONTH(BQ$5,0)),"◆","")),IF(MAX('制度詳細'!$H$6,BQ$5)&lt;=MIN(IF('制度詳細'!$I$6="",EOMONTH(BQ$5,0),'制度詳細'!$I$6),EOMONTH(BQ$5,0)),"■",IF(AND('制度詳細'!$J$6&lt;&gt;"",'制度詳細'!$J$6&gt;=BQ$5,'制度詳細'!$J$6&lt;=EOMONTH(BQ$5,0)),"◆","")))</x:f>
      </x:c>
      <x:c r="BR6" s="57" t="str">
        <x:f>IF('制度詳細'!$H$6="",IF('制度詳細'!$J$6="","",IF(AND('制度詳細'!$J$6&gt;=BR$5,'制度詳細'!$J$6&lt;=EOMONTH(BR$5,0)),"◆","")),IF(MAX('制度詳細'!$H$6,BR$5)&lt;=MIN(IF('制度詳細'!$I$6="",EOMONTH(BR$5,0),'制度詳細'!$I$6),EOMONTH(BR$5,0)),"■",IF(AND('制度詳細'!$J$6&lt;&gt;"",'制度詳細'!$J$6&gt;=BR$5,'制度詳細'!$J$6&lt;=EOMONTH(BR$5,0)),"◆","")))</x:f>
      </x:c>
      <x:c r="BS6" s="57" t="str">
        <x:f>IF('制度詳細'!$H$6="",IF('制度詳細'!$J$6="","",IF(AND('制度詳細'!$J$6&gt;=BS$5,'制度詳細'!$J$6&lt;=EOMONTH(BS$5,0)),"◆","")),IF(MAX('制度詳細'!$H$6,BS$5)&lt;=MIN(IF('制度詳細'!$I$6="",EOMONTH(BS$5,0),'制度詳細'!$I$6),EOMONTH(BS$5,0)),"■",IF(AND('制度詳細'!$J$6&lt;&gt;"",'制度詳細'!$J$6&gt;=BS$5,'制度詳細'!$J$6&lt;=EOMONTH(BS$5,0)),"◆","")))</x:f>
      </x:c>
      <x:c r="BT6" s="57" t="str">
        <x:f>IF('制度詳細'!$H$6="",IF('制度詳細'!$J$6="","",IF(AND('制度詳細'!$J$6&gt;=BT$5,'制度詳細'!$J$6&lt;=EOMONTH(BT$5,0)),"◆","")),IF(MAX('制度詳細'!$H$6,BT$5)&lt;=MIN(IF('制度詳細'!$I$6="",EOMONTH(BT$5,0),'制度詳細'!$I$6),EOMONTH(BT$5,0)),"■",IF(AND('制度詳細'!$J$6&lt;&gt;"",'制度詳細'!$J$6&gt;=BT$5,'制度詳細'!$J$6&lt;=EOMONTH(BT$5,0)),"◆","")))</x:f>
      </x:c>
      <x:c r="BU6" s="57" t="str">
        <x:f>IF('制度詳細'!$H$6="",IF('制度詳細'!$J$6="","",IF(AND('制度詳細'!$J$6&gt;=BU$5,'制度詳細'!$J$6&lt;=EOMONTH(BU$5,0)),"◆","")),IF(MAX('制度詳細'!$H$6,BU$5)&lt;=MIN(IF('制度詳細'!$I$6="",EOMONTH(BU$5,0),'制度詳細'!$I$6),EOMONTH(BU$5,0)),"■",IF(AND('制度詳細'!$J$6&lt;&gt;"",'制度詳細'!$J$6&gt;=BU$5,'制度詳細'!$J$6&lt;=EOMONTH(BU$5,0)),"◆","")))</x:f>
      </x:c>
      <x:c r="BV6" s="57" t="str">
        <x:f>IF('制度詳細'!$H$6="",IF('制度詳細'!$J$6="","",IF(AND('制度詳細'!$J$6&gt;=BV$5,'制度詳細'!$J$6&lt;=EOMONTH(BV$5,0)),"◆","")),IF(MAX('制度詳細'!$H$6,BV$5)&lt;=MIN(IF('制度詳細'!$I$6="",EOMONTH(BV$5,0),'制度詳細'!$I$6),EOMONTH(BV$5,0)),"■",IF(AND('制度詳細'!$J$6&lt;&gt;"",'制度詳細'!$J$6&gt;=BV$5,'制度詳細'!$J$6&lt;=EOMONTH(BV$5,0)),"◆","")))</x:f>
      </x:c>
      <x:c r="BW6" s="57" t="str">
        <x:f>IF('制度詳細'!$H$6="",IF('制度詳細'!$J$6="","",IF(AND('制度詳細'!$J$6&gt;=BW$5,'制度詳細'!$J$6&lt;=EOMONTH(BW$5,0)),"◆","")),IF(MAX('制度詳細'!$H$6,BW$5)&lt;=MIN(IF('制度詳細'!$I$6="",EOMONTH(BW$5,0),'制度詳細'!$I$6),EOMONTH(BW$5,0)),"■",IF(AND('制度詳細'!$J$6&lt;&gt;"",'制度詳細'!$J$6&gt;=BW$5,'制度詳細'!$J$6&lt;=EOMONTH(BW$5,0)),"◆","")))</x:f>
      </x:c>
      <x:c r="BX6" s="57" t="str">
        <x:f>IF('制度詳細'!$H$6="",IF('制度詳細'!$J$6="","",IF(AND('制度詳細'!$J$6&gt;=BX$5,'制度詳細'!$J$6&lt;=EOMONTH(BX$5,0)),"◆","")),IF(MAX('制度詳細'!$H$6,BX$5)&lt;=MIN(IF('制度詳細'!$I$6="",EOMONTH(BX$5,0),'制度詳細'!$I$6),EOMONTH(BX$5,0)),"■",IF(AND('制度詳細'!$J$6&lt;&gt;"",'制度詳細'!$J$6&gt;=BX$5,'制度詳細'!$J$6&lt;=EOMONTH(BX$5,0)),"◆","")))</x:f>
      </x:c>
      <x:c r="BY6" s="57" t="str">
        <x:f>IF('制度詳細'!$H$6="",IF('制度詳細'!$J$6="","",IF(AND('制度詳細'!$J$6&gt;=BY$5,'制度詳細'!$J$6&lt;=EOMONTH(BY$5,0)),"◆","")),IF(MAX('制度詳細'!$H$6,BY$5)&lt;=MIN(IF('制度詳細'!$I$6="",EOMONTH(BY$5,0),'制度詳細'!$I$6),EOMONTH(BY$5,0)),"■",IF(AND('制度詳細'!$J$6&lt;&gt;"",'制度詳細'!$J$6&gt;=BY$5,'制度詳細'!$J$6&lt;=EOMONTH(BY$5,0)),"◆","")))</x:f>
      </x:c>
      <x:c r="BZ6" s="57" t="str">
        <x:f>IF('制度詳細'!$H$6="",IF('制度詳細'!$J$6="","",IF(AND('制度詳細'!$J$6&gt;=BZ$5,'制度詳細'!$J$6&lt;=EOMONTH(BZ$5,0)),"◆","")),IF(MAX('制度詳細'!$H$6,BZ$5)&lt;=MIN(IF('制度詳細'!$I$6="",EOMONTH(BZ$5,0),'制度詳細'!$I$6),EOMONTH(BZ$5,0)),"■",IF(AND('制度詳細'!$J$6&lt;&gt;"",'制度詳細'!$J$6&gt;=BZ$5,'制度詳細'!$J$6&lt;=EOMONTH(BZ$5,0)),"◆","")))</x:f>
      </x:c>
      <x:c r="CA6" s="57" t="str">
        <x:f>IF('制度詳細'!$H$6="",IF('制度詳細'!$J$6="","",IF(AND('制度詳細'!$J$6&gt;=CA$5,'制度詳細'!$J$6&lt;=EOMONTH(CA$5,0)),"◆","")),IF(MAX('制度詳細'!$H$6,CA$5)&lt;=MIN(IF('制度詳細'!$I$6="",EOMONTH(CA$5,0),'制度詳細'!$I$6),EOMONTH(CA$5,0)),"■",IF(AND('制度詳細'!$J$6&lt;&gt;"",'制度詳細'!$J$6&gt;=CA$5,'制度詳細'!$J$6&lt;=EOMONTH(CA$5,0)),"◆","")))</x:f>
      </x:c>
      <x:c r="CB6" s="57" t="str">
        <x:f>IF('制度詳細'!$H$6="",IF('制度詳細'!$J$6="","",IF(AND('制度詳細'!$J$6&gt;=CB$5,'制度詳細'!$J$6&lt;=EOMONTH(CB$5,0)),"◆","")),IF(MAX('制度詳細'!$H$6,CB$5)&lt;=MIN(IF('制度詳細'!$I$6="",EOMONTH(CB$5,0),'制度詳細'!$I$6),EOMONTH(CB$5,0)),"■",IF(AND('制度詳細'!$J$6&lt;&gt;"",'制度詳細'!$J$6&gt;=CB$5,'制度詳細'!$J$6&lt;=EOMONTH(CB$5,0)),"◆","")))</x:f>
      </x:c>
      <x:c r="CC6" s="57" t="str">
        <x:f>IF('制度詳細'!$H$6="",IF('制度詳細'!$J$6="","",IF(AND('制度詳細'!$J$6&gt;=CC$5,'制度詳細'!$J$6&lt;=EOMONTH(CC$5,0)),"◆","")),IF(MAX('制度詳細'!$H$6,CC$5)&lt;=MIN(IF('制度詳細'!$I$6="",EOMONTH(CC$5,0),'制度詳細'!$I$6),EOMONTH(CC$5,0)),"■",IF(AND('制度詳細'!$J$6&lt;&gt;"",'制度詳細'!$J$6&gt;=CC$5,'制度詳細'!$J$6&lt;=EOMONTH(CC$5,0)),"◆","")))</x:f>
      </x:c>
      <x:c r="CD6" s="57" t="str">
        <x:f>IF('制度詳細'!$H$6="",IF('制度詳細'!$J$6="","",IF(AND('制度詳細'!$J$6&gt;=CD$5,'制度詳細'!$J$6&lt;=EOMONTH(CD$5,0)),"◆","")),IF(MAX('制度詳細'!$H$6,CD$5)&lt;=MIN(IF('制度詳細'!$I$6="",EOMONTH(CD$5,0),'制度詳細'!$I$6),EOMONTH(CD$5,0)),"■",IF(AND('制度詳細'!$J$6&lt;&gt;"",'制度詳細'!$J$6&gt;=CD$5,'制度詳細'!$J$6&lt;=EOMONTH(CD$5,0)),"◆","")))</x:f>
      </x:c>
      <x:c r="CE6" s="57" t="str">
        <x:f>IF('制度詳細'!$H$6="",IF('制度詳細'!$J$6="","",IF(AND('制度詳細'!$J$6&gt;=CE$5,'制度詳細'!$J$6&lt;=EOMONTH(CE$5,0)),"◆","")),IF(MAX('制度詳細'!$H$6,CE$5)&lt;=MIN(IF('制度詳細'!$I$6="",EOMONTH(CE$5,0),'制度詳細'!$I$6),EOMONTH(CE$5,0)),"■",IF(AND('制度詳細'!$J$6&lt;&gt;"",'制度詳細'!$J$6&gt;=CE$5,'制度詳細'!$J$6&lt;=EOMONTH(CE$5,0)),"◆","")))</x:f>
      </x:c>
      <x:c r="CF6" s="57" t="str">
        <x:f>IF('制度詳細'!$H$6="",IF('制度詳細'!$J$6="","",IF(AND('制度詳細'!$J$6&gt;=CF$5,'制度詳細'!$J$6&lt;=EOMONTH(CF$5,0)),"◆","")),IF(MAX('制度詳細'!$H$6,CF$5)&lt;=MIN(IF('制度詳細'!$I$6="",EOMONTH(CF$5,0),'制度詳細'!$I$6),EOMONTH(CF$5,0)),"■",IF(AND('制度詳細'!$J$6&lt;&gt;"",'制度詳細'!$J$6&gt;=CF$5,'制度詳細'!$J$6&lt;=EOMONTH(CF$5,0)),"◆","")))</x:f>
      </x:c>
      <x:c r="CG6" s="57" t="str">
        <x:f>IF('制度詳細'!$H$6="",IF('制度詳細'!$J$6="","",IF(AND('制度詳細'!$J$6&gt;=CG$5,'制度詳細'!$J$6&lt;=EOMONTH(CG$5,0)),"◆","")),IF(MAX('制度詳細'!$H$6,CG$5)&lt;=MIN(IF('制度詳細'!$I$6="",EOMONTH(CG$5,0),'制度詳細'!$I$6),EOMONTH(CG$5,0)),"■",IF(AND('制度詳細'!$J$6&lt;&gt;"",'制度詳細'!$J$6&gt;=CG$5,'制度詳細'!$J$6&lt;=EOMONTH(CG$5,0)),"◆","")))</x:f>
      </x:c>
      <x:c r="CH6" s="57" t="str">
        <x:f>IF('制度詳細'!$H$6="",IF('制度詳細'!$J$6="","",IF(AND('制度詳細'!$J$6&gt;=CH$5,'制度詳細'!$J$6&lt;=EOMONTH(CH$5,0)),"◆","")),IF(MAX('制度詳細'!$H$6,CH$5)&lt;=MIN(IF('制度詳細'!$I$6="",EOMONTH(CH$5,0),'制度詳細'!$I$6),EOMONTH(CH$5,0)),"■",IF(AND('制度詳細'!$J$6&lt;&gt;"",'制度詳細'!$J$6&gt;=CH$5,'制度詳細'!$J$6&lt;=EOMONTH(CH$5,0)),"◆","")))</x:f>
      </x:c>
      <x:c r="CI6" s="57" t="str">
        <x:f>IF('制度詳細'!$H$6="",IF('制度詳細'!$J$6="","",IF(AND('制度詳細'!$J$6&gt;=CI$5,'制度詳細'!$J$6&lt;=EOMONTH(CI$5,0)),"◆","")),IF(MAX('制度詳細'!$H$6,CI$5)&lt;=MIN(IF('制度詳細'!$I$6="",EOMONTH(CI$5,0),'制度詳細'!$I$6),EOMONTH(CI$5,0)),"■",IF(AND('制度詳細'!$J$6&lt;&gt;"",'制度詳細'!$J$6&gt;=CI$5,'制度詳細'!$J$6&lt;=EOMONTH(CI$5,0)),"◆","")))</x:f>
      </x:c>
      <x:c r="CJ6" s="57" t="str">
        <x:f>IF('制度詳細'!$H$6="",IF('制度詳細'!$J$6="","",IF(AND('制度詳細'!$J$6&gt;=CJ$5,'制度詳細'!$J$6&lt;=EOMONTH(CJ$5,0)),"◆","")),IF(MAX('制度詳細'!$H$6,CJ$5)&lt;=MIN(IF('制度詳細'!$I$6="",EOMONTH(CJ$5,0),'制度詳細'!$I$6),EOMONTH(CJ$5,0)),"■",IF(AND('制度詳細'!$J$6&lt;&gt;"",'制度詳細'!$J$6&gt;=CJ$5,'制度詳細'!$J$6&lt;=EOMONTH(CJ$5,0)),"◆","")))</x:f>
      </x:c>
      <x:c r="CK6" s="57" t="str">
        <x:f>IF('制度詳細'!$H$6="",IF('制度詳細'!$J$6="","",IF(AND('制度詳細'!$J$6&gt;=CK$5,'制度詳細'!$J$6&lt;=EOMONTH(CK$5,0)),"◆","")),IF(MAX('制度詳細'!$H$6,CK$5)&lt;=MIN(IF('制度詳細'!$I$6="",EOMONTH(CK$5,0),'制度詳細'!$I$6),EOMONTH(CK$5,0)),"■",IF(AND('制度詳細'!$J$6&lt;&gt;"",'制度詳細'!$J$6&gt;=CK$5,'制度詳細'!$J$6&lt;=EOMONTH(CK$5,0)),"◆","")))</x:f>
      </x:c>
      <x:c r="CL6" s="57" t="str">
        <x:f>IF('制度詳細'!$H$6="",IF('制度詳細'!$J$6="","",IF(AND('制度詳細'!$J$6&gt;=CL$5,'制度詳細'!$J$6&lt;=EOMONTH(CL$5,0)),"◆","")),IF(MAX('制度詳細'!$H$6,CL$5)&lt;=MIN(IF('制度詳細'!$I$6="",EOMONTH(CL$5,0),'制度詳細'!$I$6),EOMONTH(CL$5,0)),"■",IF(AND('制度詳細'!$J$6&lt;&gt;"",'制度詳細'!$J$6&gt;=CL$5,'制度詳細'!$J$6&lt;=EOMONTH(CL$5,0)),"◆","")))</x:f>
      </x:c>
      <x:c r="CM6" s="57" t="str">
        <x:f>IF('制度詳細'!$H$6="",IF('制度詳細'!$J$6="","",IF(AND('制度詳細'!$J$6&gt;=CM$5,'制度詳細'!$J$6&lt;=EOMONTH(CM$5,0)),"◆","")),IF(MAX('制度詳細'!$H$6,CM$5)&lt;=MIN(IF('制度詳細'!$I$6="",EOMONTH(CM$5,0),'制度詳細'!$I$6),EOMONTH(CM$5,0)),"■",IF(AND('制度詳細'!$J$6&lt;&gt;"",'制度詳細'!$J$6&gt;=CM$5,'制度詳細'!$J$6&lt;=EOMONTH(CM$5,0)),"◆","")))</x:f>
      </x:c>
      <x:c r="CN6" s="57" t="str">
        <x:f>IF('制度詳細'!$H$6="",IF('制度詳細'!$J$6="","",IF(AND('制度詳細'!$J$6&gt;=CN$5,'制度詳細'!$J$6&lt;=EOMONTH(CN$5,0)),"◆","")),IF(MAX('制度詳細'!$H$6,CN$5)&lt;=MIN(IF('制度詳細'!$I$6="",EOMONTH(CN$5,0),'制度詳細'!$I$6),EOMONTH(CN$5,0)),"■",IF(AND('制度詳細'!$J$6&lt;&gt;"",'制度詳細'!$J$6&gt;=CN$5,'制度詳細'!$J$6&lt;=EOMONTH(CN$5,0)),"◆","")))</x:f>
      </x:c>
      <x:c r="CO6" s="57" t="str">
        <x:f>IF('制度詳細'!$H$6="",IF('制度詳細'!$J$6="","",IF(AND('制度詳細'!$J$6&gt;=CO$5,'制度詳細'!$J$6&lt;=EOMONTH(CO$5,0)),"◆","")),IF(MAX('制度詳細'!$H$6,CO$5)&lt;=MIN(IF('制度詳細'!$I$6="",EOMONTH(CO$5,0),'制度詳細'!$I$6),EOMONTH(CO$5,0)),"■",IF(AND('制度詳細'!$J$6&lt;&gt;"",'制度詳細'!$J$6&gt;=CO$5,'制度詳細'!$J$6&lt;=EOMONTH(CO$5,0)),"◆","")))</x:f>
      </x:c>
      <x:c r="CP6" s="57" t="str">
        <x:f>IF('制度詳細'!$H$6="",IF('制度詳細'!$J$6="","",IF(AND('制度詳細'!$J$6&gt;=CP$5,'制度詳細'!$J$6&lt;=EOMONTH(CP$5,0)),"◆","")),IF(MAX('制度詳細'!$H$6,CP$5)&lt;=MIN(IF('制度詳細'!$I$6="",EOMONTH(CP$5,0),'制度詳細'!$I$6),EOMONTH(CP$5,0)),"■",IF(AND('制度詳細'!$J$6&lt;&gt;"",'制度詳細'!$J$6&gt;=CP$5,'制度詳細'!$J$6&lt;=EOMONTH(CP$5,0)),"◆","")))</x:f>
      </x:c>
      <x:c r="CQ6" s="57" t="str">
        <x:f>IF('制度詳細'!$H$6="",IF('制度詳細'!$J$6="","",IF(AND('制度詳細'!$J$6&gt;=CQ$5,'制度詳細'!$J$6&lt;=EOMONTH(CQ$5,0)),"◆","")),IF(MAX('制度詳細'!$H$6,CQ$5)&lt;=MIN(IF('制度詳細'!$I$6="",EOMONTH(CQ$5,0),'制度詳細'!$I$6),EOMONTH(CQ$5,0)),"■",IF(AND('制度詳細'!$J$6&lt;&gt;"",'制度詳細'!$J$6&gt;=CQ$5,'制度詳細'!$J$6&lt;=EOMONTH(CQ$5,0)),"◆","")))</x:f>
      </x:c>
      <x:c r="CR6" s="57" t="str">
        <x:f>IF('制度詳細'!$H$6="",IF('制度詳細'!$J$6="","",IF(AND('制度詳細'!$J$6&gt;=CR$5,'制度詳細'!$J$6&lt;=EOMONTH(CR$5,0)),"◆","")),IF(MAX('制度詳細'!$H$6,CR$5)&lt;=MIN(IF('制度詳細'!$I$6="",EOMONTH(CR$5,0),'制度詳細'!$I$6),EOMONTH(CR$5,0)),"■",IF(AND('制度詳細'!$J$6&lt;&gt;"",'制度詳細'!$J$6&gt;=CR$5,'制度詳細'!$J$6&lt;=EOMONTH(CR$5,0)),"◆","")))</x:f>
      </x:c>
      <x:c r="CS6" s="57" t="str">
        <x:f>IF('制度詳細'!$H$6="",IF('制度詳細'!$J$6="","",IF(AND('制度詳細'!$J$6&gt;=CS$5,'制度詳細'!$J$6&lt;=EOMONTH(CS$5,0)),"◆","")),IF(MAX('制度詳細'!$H$6,CS$5)&lt;=MIN(IF('制度詳細'!$I$6="",EOMONTH(CS$5,0),'制度詳細'!$I$6),EOMONTH(CS$5,0)),"■",IF(AND('制度詳細'!$J$6&lt;&gt;"",'制度詳細'!$J$6&gt;=CS$5,'制度詳細'!$J$6&lt;=EOMONTH(CS$5,0)),"◆","")))</x:f>
      </x:c>
      <x:c r="CT6" s="57" t="str">
        <x:f>IF('制度詳細'!$H$6="",IF('制度詳細'!$J$6="","",IF(AND('制度詳細'!$J$6&gt;=CT$5,'制度詳細'!$J$6&lt;=EOMONTH(CT$5,0)),"◆","")),IF(MAX('制度詳細'!$H$6,CT$5)&lt;=MIN(IF('制度詳細'!$I$6="",EOMONTH(CT$5,0),'制度詳細'!$I$6),EOMONTH(CT$5,0)),"■",IF(AND('制度詳細'!$J$6&lt;&gt;"",'制度詳細'!$J$6&gt;=CT$5,'制度詳細'!$J$6&lt;=EOMONTH(CT$5,0)),"◆","")))</x:f>
      </x:c>
      <x:c r="CU6" s="57" t="str">
        <x:f>IF('制度詳細'!$H$6="",IF('制度詳細'!$J$6="","",IF(AND('制度詳細'!$J$6&gt;=CU$5,'制度詳細'!$J$6&lt;=EOMONTH(CU$5,0)),"◆","")),IF(MAX('制度詳細'!$H$6,CU$5)&lt;=MIN(IF('制度詳細'!$I$6="",EOMONTH(CU$5,0),'制度詳細'!$I$6),EOMONTH(CU$5,0)),"■",IF(AND('制度詳細'!$J$6&lt;&gt;"",'制度詳細'!$J$6&gt;=CU$5,'制度詳細'!$J$6&lt;=EOMONTH(CU$5,0)),"◆","")))</x:f>
      </x:c>
      <x:c r="CV6" s="57" t="str">
        <x:f>IF('制度詳細'!$H$6="",IF('制度詳細'!$J$6="","",IF(AND('制度詳細'!$J$6&gt;=CV$5,'制度詳細'!$J$6&lt;=EOMONTH(CV$5,0)),"◆","")),IF(MAX('制度詳細'!$H$6,CV$5)&lt;=MIN(IF('制度詳細'!$I$6="",EOMONTH(CV$5,0),'制度詳細'!$I$6),EOMONTH(CV$5,0)),"■",IF(AND('制度詳細'!$J$6&lt;&gt;"",'制度詳細'!$J$6&gt;=CV$5,'制度詳細'!$J$6&lt;=EOMONTH(CV$5,0)),"◆","")))</x:f>
      </x:c>
      <x:c r="CW6" s="1"/>
      <x:c r="CX6" s="1"/>
      <x:c r="CY6" s="1"/>
      <x:c r="CZ6" s="1"/>
      <x:c r="DA6" s="1"/>
      <x:c r="DB6" s="1"/>
      <x:c r="DC6" s="1"/>
      <x:c r="DD6" s="1"/>
    </x:row>
    <x:row r="7" ht="27" customHeight="1">
      <x:c r="A7" s="58" t="str">
        <x:v>TH02</x:v>
      </x:c>
      <x:c r="B7" s="58" t="str">
        <x:v>タイ</x:v>
      </x:c>
      <x:c r="C7" s="58" t="str">
        <x:v>EV3.5：購入補助</x:v>
      </x:c>
      <x:c r="D7" s="58" t="str">
        <x:v>BEV</x:v>
      </x:c>
      <x:c r="E7" s="57" t="str">
        <x:f>IF('制度詳細'!$H$7="",IF('制度詳細'!$J$7="","",IF(AND('制度詳細'!$J$7&gt;=E$5,'制度詳細'!$J$7&lt;=EOMONTH(E$5,0)),"◆","")),IF(MAX('制度詳細'!$H$7,E$5)&lt;=MIN(IF('制度詳細'!$I$7="",EOMONTH(E$5,0),'制度詳細'!$I$7),EOMONTH(E$5,0)),"■",IF(AND('制度詳細'!$J$7&lt;&gt;"",'制度詳細'!$J$7&gt;=E$5,'制度詳細'!$J$7&lt;=EOMONTH(E$5,0)),"◆","")))</x:f>
      </x:c>
      <x:c r="F7" s="57" t="str">
        <x:f>IF('制度詳細'!$H$7="",IF('制度詳細'!$J$7="","",IF(AND('制度詳細'!$J$7&gt;=F$5,'制度詳細'!$J$7&lt;=EOMONTH(F$5,0)),"◆","")),IF(MAX('制度詳細'!$H$7,F$5)&lt;=MIN(IF('制度詳細'!$I$7="",EOMONTH(F$5,0),'制度詳細'!$I$7),EOMONTH(F$5,0)),"■",IF(AND('制度詳細'!$J$7&lt;&gt;"",'制度詳細'!$J$7&gt;=F$5,'制度詳細'!$J$7&lt;=EOMONTH(F$5,0)),"◆","")))</x:f>
      </x:c>
      <x:c r="G7" s="57" t="str">
        <x:f>IF('制度詳細'!$H$7="",IF('制度詳細'!$J$7="","",IF(AND('制度詳細'!$J$7&gt;=G$5,'制度詳細'!$J$7&lt;=EOMONTH(G$5,0)),"◆","")),IF(MAX('制度詳細'!$H$7,G$5)&lt;=MIN(IF('制度詳細'!$I$7="",EOMONTH(G$5,0),'制度詳細'!$I$7),EOMONTH(G$5,0)),"■",IF(AND('制度詳細'!$J$7&lt;&gt;"",'制度詳細'!$J$7&gt;=G$5,'制度詳細'!$J$7&lt;=EOMONTH(G$5,0)),"◆","")))</x:f>
      </x:c>
      <x:c r="H7" s="57" t="str">
        <x:f>IF('制度詳細'!$H$7="",IF('制度詳細'!$J$7="","",IF(AND('制度詳細'!$J$7&gt;=H$5,'制度詳細'!$J$7&lt;=EOMONTH(H$5,0)),"◆","")),IF(MAX('制度詳細'!$H$7,H$5)&lt;=MIN(IF('制度詳細'!$I$7="",EOMONTH(H$5,0),'制度詳細'!$I$7),EOMONTH(H$5,0)),"■",IF(AND('制度詳細'!$J$7&lt;&gt;"",'制度詳細'!$J$7&gt;=H$5,'制度詳細'!$J$7&lt;=EOMONTH(H$5,0)),"◆","")))</x:f>
      </x:c>
      <x:c r="I7" s="57" t="str">
        <x:f>IF('制度詳細'!$H$7="",IF('制度詳細'!$J$7="","",IF(AND('制度詳細'!$J$7&gt;=I$5,'制度詳細'!$J$7&lt;=EOMONTH(I$5,0)),"◆","")),IF(MAX('制度詳細'!$H$7,I$5)&lt;=MIN(IF('制度詳細'!$I$7="",EOMONTH(I$5,0),'制度詳細'!$I$7),EOMONTH(I$5,0)),"■",IF(AND('制度詳細'!$J$7&lt;&gt;"",'制度詳細'!$J$7&gt;=I$5,'制度詳細'!$J$7&lt;=EOMONTH(I$5,0)),"◆","")))</x:f>
      </x:c>
      <x:c r="J7" s="57" t="str">
        <x:f>IF('制度詳細'!$H$7="",IF('制度詳細'!$J$7="","",IF(AND('制度詳細'!$J$7&gt;=J$5,'制度詳細'!$J$7&lt;=EOMONTH(J$5,0)),"◆","")),IF(MAX('制度詳細'!$H$7,J$5)&lt;=MIN(IF('制度詳細'!$I$7="",EOMONTH(J$5,0),'制度詳細'!$I$7),EOMONTH(J$5,0)),"■",IF(AND('制度詳細'!$J$7&lt;&gt;"",'制度詳細'!$J$7&gt;=J$5,'制度詳細'!$J$7&lt;=EOMONTH(J$5,0)),"◆","")))</x:f>
      </x:c>
      <x:c r="K7" s="57" t="str">
        <x:f>IF('制度詳細'!$H$7="",IF('制度詳細'!$J$7="","",IF(AND('制度詳細'!$J$7&gt;=K$5,'制度詳細'!$J$7&lt;=EOMONTH(K$5,0)),"◆","")),IF(MAX('制度詳細'!$H$7,K$5)&lt;=MIN(IF('制度詳細'!$I$7="",EOMONTH(K$5,0),'制度詳細'!$I$7),EOMONTH(K$5,0)),"■",IF(AND('制度詳細'!$J$7&lt;&gt;"",'制度詳細'!$J$7&gt;=K$5,'制度詳細'!$J$7&lt;=EOMONTH(K$5,0)),"◆","")))</x:f>
      </x:c>
      <x:c r="L7" s="57" t="str">
        <x:f>IF('制度詳細'!$H$7="",IF('制度詳細'!$J$7="","",IF(AND('制度詳細'!$J$7&gt;=L$5,'制度詳細'!$J$7&lt;=EOMONTH(L$5,0)),"◆","")),IF(MAX('制度詳細'!$H$7,L$5)&lt;=MIN(IF('制度詳細'!$I$7="",EOMONTH(L$5,0),'制度詳細'!$I$7),EOMONTH(L$5,0)),"■",IF(AND('制度詳細'!$J$7&lt;&gt;"",'制度詳細'!$J$7&gt;=L$5,'制度詳細'!$J$7&lt;=EOMONTH(L$5,0)),"◆","")))</x:f>
      </x:c>
      <x:c r="M7" s="57" t="str">
        <x:f>IF('制度詳細'!$H$7="",IF('制度詳細'!$J$7="","",IF(AND('制度詳細'!$J$7&gt;=M$5,'制度詳細'!$J$7&lt;=EOMONTH(M$5,0)),"◆","")),IF(MAX('制度詳細'!$H$7,M$5)&lt;=MIN(IF('制度詳細'!$I$7="",EOMONTH(M$5,0),'制度詳細'!$I$7),EOMONTH(M$5,0)),"■",IF(AND('制度詳細'!$J$7&lt;&gt;"",'制度詳細'!$J$7&gt;=M$5,'制度詳細'!$J$7&lt;=EOMONTH(M$5,0)),"◆","")))</x:f>
      </x:c>
      <x:c r="N7" s="57" t="str">
        <x:f>IF('制度詳細'!$H$7="",IF('制度詳細'!$J$7="","",IF(AND('制度詳細'!$J$7&gt;=N$5,'制度詳細'!$J$7&lt;=EOMONTH(N$5,0)),"◆","")),IF(MAX('制度詳細'!$H$7,N$5)&lt;=MIN(IF('制度詳細'!$I$7="",EOMONTH(N$5,0),'制度詳細'!$I$7),EOMONTH(N$5,0)),"■",IF(AND('制度詳細'!$J$7&lt;&gt;"",'制度詳細'!$J$7&gt;=N$5,'制度詳細'!$J$7&lt;=EOMONTH(N$5,0)),"◆","")))</x:f>
      </x:c>
      <x:c r="O7" s="57" t="str">
        <x:f>IF('制度詳細'!$H$7="",IF('制度詳細'!$J$7="","",IF(AND('制度詳細'!$J$7&gt;=O$5,'制度詳細'!$J$7&lt;=EOMONTH(O$5,0)),"◆","")),IF(MAX('制度詳細'!$H$7,O$5)&lt;=MIN(IF('制度詳細'!$I$7="",EOMONTH(O$5,0),'制度詳細'!$I$7),EOMONTH(O$5,0)),"■",IF(AND('制度詳細'!$J$7&lt;&gt;"",'制度詳細'!$J$7&gt;=O$5,'制度詳細'!$J$7&lt;=EOMONTH(O$5,0)),"◆","")))</x:f>
      </x:c>
      <x:c r="P7" s="57" t="str">
        <x:f>IF('制度詳細'!$H$7="",IF('制度詳細'!$J$7="","",IF(AND('制度詳細'!$J$7&gt;=P$5,'制度詳細'!$J$7&lt;=EOMONTH(P$5,0)),"◆","")),IF(MAX('制度詳細'!$H$7,P$5)&lt;=MIN(IF('制度詳細'!$I$7="",EOMONTH(P$5,0),'制度詳細'!$I$7),EOMONTH(P$5,0)),"■",IF(AND('制度詳細'!$J$7&lt;&gt;"",'制度詳細'!$J$7&gt;=P$5,'制度詳細'!$J$7&lt;=EOMONTH(P$5,0)),"◆","")))</x:f>
      </x:c>
      <x:c r="Q7" s="57" t="str">
        <x:f>IF('制度詳細'!$H$7="",IF('制度詳細'!$J$7="","",IF(AND('制度詳細'!$J$7&gt;=Q$5,'制度詳細'!$J$7&lt;=EOMONTH(Q$5,0)),"◆","")),IF(MAX('制度詳細'!$H$7,Q$5)&lt;=MIN(IF('制度詳細'!$I$7="",EOMONTH(Q$5,0),'制度詳細'!$I$7),EOMONTH(Q$5,0)),"■",IF(AND('制度詳細'!$J$7&lt;&gt;"",'制度詳細'!$J$7&gt;=Q$5,'制度詳細'!$J$7&lt;=EOMONTH(Q$5,0)),"◆","")))</x:f>
      </x:c>
      <x:c r="R7" s="57" t="str">
        <x:f>IF('制度詳細'!$H$7="",IF('制度詳細'!$J$7="","",IF(AND('制度詳細'!$J$7&gt;=R$5,'制度詳細'!$J$7&lt;=EOMONTH(R$5,0)),"◆","")),IF(MAX('制度詳細'!$H$7,R$5)&lt;=MIN(IF('制度詳細'!$I$7="",EOMONTH(R$5,0),'制度詳細'!$I$7),EOMONTH(R$5,0)),"■",IF(AND('制度詳細'!$J$7&lt;&gt;"",'制度詳細'!$J$7&gt;=R$5,'制度詳細'!$J$7&lt;=EOMONTH(R$5,0)),"◆","")))</x:f>
      </x:c>
      <x:c r="S7" s="57" t="str">
        <x:f>IF('制度詳細'!$H$7="",IF('制度詳細'!$J$7="","",IF(AND('制度詳細'!$J$7&gt;=S$5,'制度詳細'!$J$7&lt;=EOMONTH(S$5,0)),"◆","")),IF(MAX('制度詳細'!$H$7,S$5)&lt;=MIN(IF('制度詳細'!$I$7="",EOMONTH(S$5,0),'制度詳細'!$I$7),EOMONTH(S$5,0)),"■",IF(AND('制度詳細'!$J$7&lt;&gt;"",'制度詳細'!$J$7&gt;=S$5,'制度詳細'!$J$7&lt;=EOMONTH(S$5,0)),"◆","")))</x:f>
      </x:c>
      <x:c r="T7" s="57" t="str">
        <x:f>IF('制度詳細'!$H$7="",IF('制度詳細'!$J$7="","",IF(AND('制度詳細'!$J$7&gt;=T$5,'制度詳細'!$J$7&lt;=EOMONTH(T$5,0)),"◆","")),IF(MAX('制度詳細'!$H$7,T$5)&lt;=MIN(IF('制度詳細'!$I$7="",EOMONTH(T$5,0),'制度詳細'!$I$7),EOMONTH(T$5,0)),"■",IF(AND('制度詳細'!$J$7&lt;&gt;"",'制度詳細'!$J$7&gt;=T$5,'制度詳細'!$J$7&lt;=EOMONTH(T$5,0)),"◆","")))</x:f>
      </x:c>
      <x:c r="U7" s="57" t="str">
        <x:f>IF('制度詳細'!$H$7="",IF('制度詳細'!$J$7="","",IF(AND('制度詳細'!$J$7&gt;=U$5,'制度詳細'!$J$7&lt;=EOMONTH(U$5,0)),"◆","")),IF(MAX('制度詳細'!$H$7,U$5)&lt;=MIN(IF('制度詳細'!$I$7="",EOMONTH(U$5,0),'制度詳細'!$I$7),EOMONTH(U$5,0)),"■",IF(AND('制度詳細'!$J$7&lt;&gt;"",'制度詳細'!$J$7&gt;=U$5,'制度詳細'!$J$7&lt;=EOMONTH(U$5,0)),"◆","")))</x:f>
      </x:c>
      <x:c r="V7" s="57" t="str">
        <x:f>IF('制度詳細'!$H$7="",IF('制度詳細'!$J$7="","",IF(AND('制度詳細'!$J$7&gt;=V$5,'制度詳細'!$J$7&lt;=EOMONTH(V$5,0)),"◆","")),IF(MAX('制度詳細'!$H$7,V$5)&lt;=MIN(IF('制度詳細'!$I$7="",EOMONTH(V$5,0),'制度詳細'!$I$7),EOMONTH(V$5,0)),"■",IF(AND('制度詳細'!$J$7&lt;&gt;"",'制度詳細'!$J$7&gt;=V$5,'制度詳細'!$J$7&lt;=EOMONTH(V$5,0)),"◆","")))</x:f>
      </x:c>
      <x:c r="W7" s="57" t="str">
        <x:f>IF('制度詳細'!$H$7="",IF('制度詳細'!$J$7="","",IF(AND('制度詳細'!$J$7&gt;=W$5,'制度詳細'!$J$7&lt;=EOMONTH(W$5,0)),"◆","")),IF(MAX('制度詳細'!$H$7,W$5)&lt;=MIN(IF('制度詳細'!$I$7="",EOMONTH(W$5,0),'制度詳細'!$I$7),EOMONTH(W$5,0)),"■",IF(AND('制度詳細'!$J$7&lt;&gt;"",'制度詳細'!$J$7&gt;=W$5,'制度詳細'!$J$7&lt;=EOMONTH(W$5,0)),"◆","")))</x:f>
      </x:c>
      <x:c r="X7" s="57" t="str">
        <x:f>IF('制度詳細'!$H$7="",IF('制度詳細'!$J$7="","",IF(AND('制度詳細'!$J$7&gt;=X$5,'制度詳細'!$J$7&lt;=EOMONTH(X$5,0)),"◆","")),IF(MAX('制度詳細'!$H$7,X$5)&lt;=MIN(IF('制度詳細'!$I$7="",EOMONTH(X$5,0),'制度詳細'!$I$7),EOMONTH(X$5,0)),"■",IF(AND('制度詳細'!$J$7&lt;&gt;"",'制度詳細'!$J$7&gt;=X$5,'制度詳細'!$J$7&lt;=EOMONTH(X$5,0)),"◆","")))</x:f>
      </x:c>
      <x:c r="Y7" s="57" t="str">
        <x:f>IF('制度詳細'!$H$7="",IF('制度詳細'!$J$7="","",IF(AND('制度詳細'!$J$7&gt;=Y$5,'制度詳細'!$J$7&lt;=EOMONTH(Y$5,0)),"◆","")),IF(MAX('制度詳細'!$H$7,Y$5)&lt;=MIN(IF('制度詳細'!$I$7="",EOMONTH(Y$5,0),'制度詳細'!$I$7),EOMONTH(Y$5,0)),"■",IF(AND('制度詳細'!$J$7&lt;&gt;"",'制度詳細'!$J$7&gt;=Y$5,'制度詳細'!$J$7&lt;=EOMONTH(Y$5,0)),"◆","")))</x:f>
      </x:c>
      <x:c r="Z7" s="57" t="str">
        <x:f>IF('制度詳細'!$H$7="",IF('制度詳細'!$J$7="","",IF(AND('制度詳細'!$J$7&gt;=Z$5,'制度詳細'!$J$7&lt;=EOMONTH(Z$5,0)),"◆","")),IF(MAX('制度詳細'!$H$7,Z$5)&lt;=MIN(IF('制度詳細'!$I$7="",EOMONTH(Z$5,0),'制度詳細'!$I$7),EOMONTH(Z$5,0)),"■",IF(AND('制度詳細'!$J$7&lt;&gt;"",'制度詳細'!$J$7&gt;=Z$5,'制度詳細'!$J$7&lt;=EOMONTH(Z$5,0)),"◆","")))</x:f>
      </x:c>
      <x:c r="AA7" s="57" t="str">
        <x:f>IF('制度詳細'!$H$7="",IF('制度詳細'!$J$7="","",IF(AND('制度詳細'!$J$7&gt;=AA$5,'制度詳細'!$J$7&lt;=EOMONTH(AA$5,0)),"◆","")),IF(MAX('制度詳細'!$H$7,AA$5)&lt;=MIN(IF('制度詳細'!$I$7="",EOMONTH(AA$5,0),'制度詳細'!$I$7),EOMONTH(AA$5,0)),"■",IF(AND('制度詳細'!$J$7&lt;&gt;"",'制度詳細'!$J$7&gt;=AA$5,'制度詳細'!$J$7&lt;=EOMONTH(AA$5,0)),"◆","")))</x:f>
      </x:c>
      <x:c r="AB7" s="57" t="str">
        <x:f>IF('制度詳細'!$H$7="",IF('制度詳細'!$J$7="","",IF(AND('制度詳細'!$J$7&gt;=AB$5,'制度詳細'!$J$7&lt;=EOMONTH(AB$5,0)),"◆","")),IF(MAX('制度詳細'!$H$7,AB$5)&lt;=MIN(IF('制度詳細'!$I$7="",EOMONTH(AB$5,0),'制度詳細'!$I$7),EOMONTH(AB$5,0)),"■",IF(AND('制度詳細'!$J$7&lt;&gt;"",'制度詳細'!$J$7&gt;=AB$5,'制度詳細'!$J$7&lt;=EOMONTH(AB$5,0)),"◆","")))</x:f>
      </x:c>
      <x:c r="AC7" s="57" t="str">
        <x:f>IF('制度詳細'!$H$7="",IF('制度詳細'!$J$7="","",IF(AND('制度詳細'!$J$7&gt;=AC$5,'制度詳細'!$J$7&lt;=EOMONTH(AC$5,0)),"◆","")),IF(MAX('制度詳細'!$H$7,AC$5)&lt;=MIN(IF('制度詳細'!$I$7="",EOMONTH(AC$5,0),'制度詳細'!$I$7),EOMONTH(AC$5,0)),"■",IF(AND('制度詳細'!$J$7&lt;&gt;"",'制度詳細'!$J$7&gt;=AC$5,'制度詳細'!$J$7&lt;=EOMONTH(AC$5,0)),"◆","")))</x:f>
      </x:c>
      <x:c r="AD7" s="57" t="str">
        <x:f>IF('制度詳細'!$H$7="",IF('制度詳細'!$J$7="","",IF(AND('制度詳細'!$J$7&gt;=AD$5,'制度詳細'!$J$7&lt;=EOMONTH(AD$5,0)),"◆","")),IF(MAX('制度詳細'!$H$7,AD$5)&lt;=MIN(IF('制度詳細'!$I$7="",EOMONTH(AD$5,0),'制度詳細'!$I$7),EOMONTH(AD$5,0)),"■",IF(AND('制度詳細'!$J$7&lt;&gt;"",'制度詳細'!$J$7&gt;=AD$5,'制度詳細'!$J$7&lt;=EOMONTH(AD$5,0)),"◆","")))</x:f>
      </x:c>
      <x:c r="AE7" s="57" t="str">
        <x:f>IF('制度詳細'!$H$7="",IF('制度詳細'!$J$7="","",IF(AND('制度詳細'!$J$7&gt;=AE$5,'制度詳細'!$J$7&lt;=EOMONTH(AE$5,0)),"◆","")),IF(MAX('制度詳細'!$H$7,AE$5)&lt;=MIN(IF('制度詳細'!$I$7="",EOMONTH(AE$5,0),'制度詳細'!$I$7),EOMONTH(AE$5,0)),"■",IF(AND('制度詳細'!$J$7&lt;&gt;"",'制度詳細'!$J$7&gt;=AE$5,'制度詳細'!$J$7&lt;=EOMONTH(AE$5,0)),"◆","")))</x:f>
      </x:c>
      <x:c r="AF7" s="57" t="str">
        <x:f>IF('制度詳細'!$H$7="",IF('制度詳細'!$J$7="","",IF(AND('制度詳細'!$J$7&gt;=AF$5,'制度詳細'!$J$7&lt;=EOMONTH(AF$5,0)),"◆","")),IF(MAX('制度詳細'!$H$7,AF$5)&lt;=MIN(IF('制度詳細'!$I$7="",EOMONTH(AF$5,0),'制度詳細'!$I$7),EOMONTH(AF$5,0)),"■",IF(AND('制度詳細'!$J$7&lt;&gt;"",'制度詳細'!$J$7&gt;=AF$5,'制度詳細'!$J$7&lt;=EOMONTH(AF$5,0)),"◆","")))</x:f>
      </x:c>
      <x:c r="AG7" s="57" t="str">
        <x:f>IF('制度詳細'!$H$7="",IF('制度詳細'!$J$7="","",IF(AND('制度詳細'!$J$7&gt;=AG$5,'制度詳細'!$J$7&lt;=EOMONTH(AG$5,0)),"◆","")),IF(MAX('制度詳細'!$H$7,AG$5)&lt;=MIN(IF('制度詳細'!$I$7="",EOMONTH(AG$5,0),'制度詳細'!$I$7),EOMONTH(AG$5,0)),"■",IF(AND('制度詳細'!$J$7&lt;&gt;"",'制度詳細'!$J$7&gt;=AG$5,'制度詳細'!$J$7&lt;=EOMONTH(AG$5,0)),"◆","")))</x:f>
      </x:c>
      <x:c r="AH7" s="57" t="str">
        <x:f>IF('制度詳細'!$H$7="",IF('制度詳細'!$J$7="","",IF(AND('制度詳細'!$J$7&gt;=AH$5,'制度詳細'!$J$7&lt;=EOMONTH(AH$5,0)),"◆","")),IF(MAX('制度詳細'!$H$7,AH$5)&lt;=MIN(IF('制度詳細'!$I$7="",EOMONTH(AH$5,0),'制度詳細'!$I$7),EOMONTH(AH$5,0)),"■",IF(AND('制度詳細'!$J$7&lt;&gt;"",'制度詳細'!$J$7&gt;=AH$5,'制度詳細'!$J$7&lt;=EOMONTH(AH$5,0)),"◆","")))</x:f>
      </x:c>
      <x:c r="AI7" s="57" t="str">
        <x:f>IF('制度詳細'!$H$7="",IF('制度詳細'!$J$7="","",IF(AND('制度詳細'!$J$7&gt;=AI$5,'制度詳細'!$J$7&lt;=EOMONTH(AI$5,0)),"◆","")),IF(MAX('制度詳細'!$H$7,AI$5)&lt;=MIN(IF('制度詳細'!$I$7="",EOMONTH(AI$5,0),'制度詳細'!$I$7),EOMONTH(AI$5,0)),"■",IF(AND('制度詳細'!$J$7&lt;&gt;"",'制度詳細'!$J$7&gt;=AI$5,'制度詳細'!$J$7&lt;=EOMONTH(AI$5,0)),"◆","")))</x:f>
      </x:c>
      <x:c r="AJ7" s="57" t="str">
        <x:f>IF('制度詳細'!$H$7="",IF('制度詳細'!$J$7="","",IF(AND('制度詳細'!$J$7&gt;=AJ$5,'制度詳細'!$J$7&lt;=EOMONTH(AJ$5,0)),"◆","")),IF(MAX('制度詳細'!$H$7,AJ$5)&lt;=MIN(IF('制度詳細'!$I$7="",EOMONTH(AJ$5,0),'制度詳細'!$I$7),EOMONTH(AJ$5,0)),"■",IF(AND('制度詳細'!$J$7&lt;&gt;"",'制度詳細'!$J$7&gt;=AJ$5,'制度詳細'!$J$7&lt;=EOMONTH(AJ$5,0)),"◆","")))</x:f>
      </x:c>
      <x:c r="AK7" s="57" t="str">
        <x:f>IF('制度詳細'!$H$7="",IF('制度詳細'!$J$7="","",IF(AND('制度詳細'!$J$7&gt;=AK$5,'制度詳細'!$J$7&lt;=EOMONTH(AK$5,0)),"◆","")),IF(MAX('制度詳細'!$H$7,AK$5)&lt;=MIN(IF('制度詳細'!$I$7="",EOMONTH(AK$5,0),'制度詳細'!$I$7),EOMONTH(AK$5,0)),"■",IF(AND('制度詳細'!$J$7&lt;&gt;"",'制度詳細'!$J$7&gt;=AK$5,'制度詳細'!$J$7&lt;=EOMONTH(AK$5,0)),"◆","")))</x:f>
      </x:c>
      <x:c r="AL7" s="57" t="str">
        <x:f>IF('制度詳細'!$H$7="",IF('制度詳細'!$J$7="","",IF(AND('制度詳細'!$J$7&gt;=AL$5,'制度詳細'!$J$7&lt;=EOMONTH(AL$5,0)),"◆","")),IF(MAX('制度詳細'!$H$7,AL$5)&lt;=MIN(IF('制度詳細'!$I$7="",EOMONTH(AL$5,0),'制度詳細'!$I$7),EOMONTH(AL$5,0)),"■",IF(AND('制度詳細'!$J$7&lt;&gt;"",'制度詳細'!$J$7&gt;=AL$5,'制度詳細'!$J$7&lt;=EOMONTH(AL$5,0)),"◆","")))</x:f>
      </x:c>
      <x:c r="AM7" s="57" t="str">
        <x:f>IF('制度詳細'!$H$7="",IF('制度詳細'!$J$7="","",IF(AND('制度詳細'!$J$7&gt;=AM$5,'制度詳細'!$J$7&lt;=EOMONTH(AM$5,0)),"◆","")),IF(MAX('制度詳細'!$H$7,AM$5)&lt;=MIN(IF('制度詳細'!$I$7="",EOMONTH(AM$5,0),'制度詳細'!$I$7),EOMONTH(AM$5,0)),"■",IF(AND('制度詳細'!$J$7&lt;&gt;"",'制度詳細'!$J$7&gt;=AM$5,'制度詳細'!$J$7&lt;=EOMONTH(AM$5,0)),"◆","")))</x:f>
      </x:c>
      <x:c r="AN7" s="57" t="str">
        <x:f>IF('制度詳細'!$H$7="",IF('制度詳細'!$J$7="","",IF(AND('制度詳細'!$J$7&gt;=AN$5,'制度詳細'!$J$7&lt;=EOMONTH(AN$5,0)),"◆","")),IF(MAX('制度詳細'!$H$7,AN$5)&lt;=MIN(IF('制度詳細'!$I$7="",EOMONTH(AN$5,0),'制度詳細'!$I$7),EOMONTH(AN$5,0)),"■",IF(AND('制度詳細'!$J$7&lt;&gt;"",'制度詳細'!$J$7&gt;=AN$5,'制度詳細'!$J$7&lt;=EOMONTH(AN$5,0)),"◆","")))</x:f>
      </x:c>
      <x:c r="AO7" s="57" t="str">
        <x:f>IF('制度詳細'!$H$7="",IF('制度詳細'!$J$7="","",IF(AND('制度詳細'!$J$7&gt;=AO$5,'制度詳細'!$J$7&lt;=EOMONTH(AO$5,0)),"◆","")),IF(MAX('制度詳細'!$H$7,AO$5)&lt;=MIN(IF('制度詳細'!$I$7="",EOMONTH(AO$5,0),'制度詳細'!$I$7),EOMONTH(AO$5,0)),"■",IF(AND('制度詳細'!$J$7&lt;&gt;"",'制度詳細'!$J$7&gt;=AO$5,'制度詳細'!$J$7&lt;=EOMONTH(AO$5,0)),"◆","")))</x:f>
      </x:c>
      <x:c r="AP7" s="57" t="str">
        <x:f>IF('制度詳細'!$H$7="",IF('制度詳細'!$J$7="","",IF(AND('制度詳細'!$J$7&gt;=AP$5,'制度詳細'!$J$7&lt;=EOMONTH(AP$5,0)),"◆","")),IF(MAX('制度詳細'!$H$7,AP$5)&lt;=MIN(IF('制度詳細'!$I$7="",EOMONTH(AP$5,0),'制度詳細'!$I$7),EOMONTH(AP$5,0)),"■",IF(AND('制度詳細'!$J$7&lt;&gt;"",'制度詳細'!$J$7&gt;=AP$5,'制度詳細'!$J$7&lt;=EOMONTH(AP$5,0)),"◆","")))</x:f>
      </x:c>
      <x:c r="AQ7" s="57" t="str">
        <x:f>IF('制度詳細'!$H$7="",IF('制度詳細'!$J$7="","",IF(AND('制度詳細'!$J$7&gt;=AQ$5,'制度詳細'!$J$7&lt;=EOMONTH(AQ$5,0)),"◆","")),IF(MAX('制度詳細'!$H$7,AQ$5)&lt;=MIN(IF('制度詳細'!$I$7="",EOMONTH(AQ$5,0),'制度詳細'!$I$7),EOMONTH(AQ$5,0)),"■",IF(AND('制度詳細'!$J$7&lt;&gt;"",'制度詳細'!$J$7&gt;=AQ$5,'制度詳細'!$J$7&lt;=EOMONTH(AQ$5,0)),"◆","")))</x:f>
      </x:c>
      <x:c r="AR7" s="57" t="str">
        <x:f>IF('制度詳細'!$H$7="",IF('制度詳細'!$J$7="","",IF(AND('制度詳細'!$J$7&gt;=AR$5,'制度詳細'!$J$7&lt;=EOMONTH(AR$5,0)),"◆","")),IF(MAX('制度詳細'!$H$7,AR$5)&lt;=MIN(IF('制度詳細'!$I$7="",EOMONTH(AR$5,0),'制度詳細'!$I$7),EOMONTH(AR$5,0)),"■",IF(AND('制度詳細'!$J$7&lt;&gt;"",'制度詳細'!$J$7&gt;=AR$5,'制度詳細'!$J$7&lt;=EOMONTH(AR$5,0)),"◆","")))</x:f>
      </x:c>
      <x:c r="AS7" s="57" t="str">
        <x:f>IF('制度詳細'!$H$7="",IF('制度詳細'!$J$7="","",IF(AND('制度詳細'!$J$7&gt;=AS$5,'制度詳細'!$J$7&lt;=EOMONTH(AS$5,0)),"◆","")),IF(MAX('制度詳細'!$H$7,AS$5)&lt;=MIN(IF('制度詳細'!$I$7="",EOMONTH(AS$5,0),'制度詳細'!$I$7),EOMONTH(AS$5,0)),"■",IF(AND('制度詳細'!$J$7&lt;&gt;"",'制度詳細'!$J$7&gt;=AS$5,'制度詳細'!$J$7&lt;=EOMONTH(AS$5,0)),"◆","")))</x:f>
      </x:c>
      <x:c r="AT7" s="57" t="str">
        <x:f>IF('制度詳細'!$H$7="",IF('制度詳細'!$J$7="","",IF(AND('制度詳細'!$J$7&gt;=AT$5,'制度詳細'!$J$7&lt;=EOMONTH(AT$5,0)),"◆","")),IF(MAX('制度詳細'!$H$7,AT$5)&lt;=MIN(IF('制度詳細'!$I$7="",EOMONTH(AT$5,0),'制度詳細'!$I$7),EOMONTH(AT$5,0)),"■",IF(AND('制度詳細'!$J$7&lt;&gt;"",'制度詳細'!$J$7&gt;=AT$5,'制度詳細'!$J$7&lt;=EOMONTH(AT$5,0)),"◆","")))</x:f>
      </x:c>
      <x:c r="AU7" s="57" t="str">
        <x:f>IF('制度詳細'!$H$7="",IF('制度詳細'!$J$7="","",IF(AND('制度詳細'!$J$7&gt;=AU$5,'制度詳細'!$J$7&lt;=EOMONTH(AU$5,0)),"◆","")),IF(MAX('制度詳細'!$H$7,AU$5)&lt;=MIN(IF('制度詳細'!$I$7="",EOMONTH(AU$5,0),'制度詳細'!$I$7),EOMONTH(AU$5,0)),"■",IF(AND('制度詳細'!$J$7&lt;&gt;"",'制度詳細'!$J$7&gt;=AU$5,'制度詳細'!$J$7&lt;=EOMONTH(AU$5,0)),"◆","")))</x:f>
      </x:c>
      <x:c r="AV7" s="57" t="str">
        <x:f>IF('制度詳細'!$H$7="",IF('制度詳細'!$J$7="","",IF(AND('制度詳細'!$J$7&gt;=AV$5,'制度詳細'!$J$7&lt;=EOMONTH(AV$5,0)),"◆","")),IF(MAX('制度詳細'!$H$7,AV$5)&lt;=MIN(IF('制度詳細'!$I$7="",EOMONTH(AV$5,0),'制度詳細'!$I$7),EOMONTH(AV$5,0)),"■",IF(AND('制度詳細'!$J$7&lt;&gt;"",'制度詳細'!$J$7&gt;=AV$5,'制度詳細'!$J$7&lt;=EOMONTH(AV$5,0)),"◆","")))</x:f>
      </x:c>
      <x:c r="AW7" s="57" t="str">
        <x:f>IF('制度詳細'!$H$7="",IF('制度詳細'!$J$7="","",IF(AND('制度詳細'!$J$7&gt;=AW$5,'制度詳細'!$J$7&lt;=EOMONTH(AW$5,0)),"◆","")),IF(MAX('制度詳細'!$H$7,AW$5)&lt;=MIN(IF('制度詳細'!$I$7="",EOMONTH(AW$5,0),'制度詳細'!$I$7),EOMONTH(AW$5,0)),"■",IF(AND('制度詳細'!$J$7&lt;&gt;"",'制度詳細'!$J$7&gt;=AW$5,'制度詳細'!$J$7&lt;=EOMONTH(AW$5,0)),"◆","")))</x:f>
      </x:c>
      <x:c r="AX7" s="57" t="str">
        <x:f>IF('制度詳細'!$H$7="",IF('制度詳細'!$J$7="","",IF(AND('制度詳細'!$J$7&gt;=AX$5,'制度詳細'!$J$7&lt;=EOMONTH(AX$5,0)),"◆","")),IF(MAX('制度詳細'!$H$7,AX$5)&lt;=MIN(IF('制度詳細'!$I$7="",EOMONTH(AX$5,0),'制度詳細'!$I$7),EOMONTH(AX$5,0)),"■",IF(AND('制度詳細'!$J$7&lt;&gt;"",'制度詳細'!$J$7&gt;=AX$5,'制度詳細'!$J$7&lt;=EOMONTH(AX$5,0)),"◆","")))</x:f>
      </x:c>
      <x:c r="AY7" s="57" t="str">
        <x:f>IF('制度詳細'!$H$7="",IF('制度詳細'!$J$7="","",IF(AND('制度詳細'!$J$7&gt;=AY$5,'制度詳細'!$J$7&lt;=EOMONTH(AY$5,0)),"◆","")),IF(MAX('制度詳細'!$H$7,AY$5)&lt;=MIN(IF('制度詳細'!$I$7="",EOMONTH(AY$5,0),'制度詳細'!$I$7),EOMONTH(AY$5,0)),"■",IF(AND('制度詳細'!$J$7&lt;&gt;"",'制度詳細'!$J$7&gt;=AY$5,'制度詳細'!$J$7&lt;=EOMONTH(AY$5,0)),"◆","")))</x:f>
        <x:v>◆</x:v>
      </x:c>
      <x:c r="AZ7" s="57" t="str">
        <x:f>IF('制度詳細'!$H$7="",IF('制度詳細'!$J$7="","",IF(AND('制度詳細'!$J$7&gt;=AZ$5,'制度詳細'!$J$7&lt;=EOMONTH(AZ$5,0)),"◆","")),IF(MAX('制度詳細'!$H$7,AZ$5)&lt;=MIN(IF('制度詳細'!$I$7="",EOMONTH(AZ$5,0),'制度詳細'!$I$7),EOMONTH(AZ$5,0)),"■",IF(AND('制度詳細'!$J$7&lt;&gt;"",'制度詳細'!$J$7&gt;=AZ$5,'制度詳細'!$J$7&lt;=EOMONTH(AZ$5,0)),"◆","")))</x:f>
      </x:c>
      <x:c r="BA7" s="57" t="str">
        <x:f>IF('制度詳細'!$H$7="",IF('制度詳細'!$J$7="","",IF(AND('制度詳細'!$J$7&gt;=BA$5,'制度詳細'!$J$7&lt;=EOMONTH(BA$5,0)),"◆","")),IF(MAX('制度詳細'!$H$7,BA$5)&lt;=MIN(IF('制度詳細'!$I$7="",EOMONTH(BA$5,0),'制度詳細'!$I$7),EOMONTH(BA$5,0)),"■",IF(AND('制度詳細'!$J$7&lt;&gt;"",'制度詳細'!$J$7&gt;=BA$5,'制度詳細'!$J$7&lt;=EOMONTH(BA$5,0)),"◆","")))</x:f>
        <x:v>■</x:v>
      </x:c>
      <x:c r="BB7" s="57" t="str">
        <x:f>IF('制度詳細'!$H$7="",IF('制度詳細'!$J$7="","",IF(AND('制度詳細'!$J$7&gt;=BB$5,'制度詳細'!$J$7&lt;=EOMONTH(BB$5,0)),"◆","")),IF(MAX('制度詳細'!$H$7,BB$5)&lt;=MIN(IF('制度詳細'!$I$7="",EOMONTH(BB$5,0),'制度詳細'!$I$7),EOMONTH(BB$5,0)),"■",IF(AND('制度詳細'!$J$7&lt;&gt;"",'制度詳細'!$J$7&gt;=BB$5,'制度詳細'!$J$7&lt;=EOMONTH(BB$5,0)),"◆","")))</x:f>
        <x:v>■</x:v>
      </x:c>
      <x:c r="BC7" s="57" t="str">
        <x:f>IF('制度詳細'!$H$7="",IF('制度詳細'!$J$7="","",IF(AND('制度詳細'!$J$7&gt;=BC$5,'制度詳細'!$J$7&lt;=EOMONTH(BC$5,0)),"◆","")),IF(MAX('制度詳細'!$H$7,BC$5)&lt;=MIN(IF('制度詳細'!$I$7="",EOMONTH(BC$5,0),'制度詳細'!$I$7),EOMONTH(BC$5,0)),"■",IF(AND('制度詳細'!$J$7&lt;&gt;"",'制度詳細'!$J$7&gt;=BC$5,'制度詳細'!$J$7&lt;=EOMONTH(BC$5,0)),"◆","")))</x:f>
        <x:v>■</x:v>
      </x:c>
      <x:c r="BD7" s="57" t="str">
        <x:f>IF('制度詳細'!$H$7="",IF('制度詳細'!$J$7="","",IF(AND('制度詳細'!$J$7&gt;=BD$5,'制度詳細'!$J$7&lt;=EOMONTH(BD$5,0)),"◆","")),IF(MAX('制度詳細'!$H$7,BD$5)&lt;=MIN(IF('制度詳細'!$I$7="",EOMONTH(BD$5,0),'制度詳細'!$I$7),EOMONTH(BD$5,0)),"■",IF(AND('制度詳細'!$J$7&lt;&gt;"",'制度詳細'!$J$7&gt;=BD$5,'制度詳細'!$J$7&lt;=EOMONTH(BD$5,0)),"◆","")))</x:f>
        <x:v>■</x:v>
      </x:c>
      <x:c r="BE7" s="57" t="str">
        <x:f>IF('制度詳細'!$H$7="",IF('制度詳細'!$J$7="","",IF(AND('制度詳細'!$J$7&gt;=BE$5,'制度詳細'!$J$7&lt;=EOMONTH(BE$5,0)),"◆","")),IF(MAX('制度詳細'!$H$7,BE$5)&lt;=MIN(IF('制度詳細'!$I$7="",EOMONTH(BE$5,0),'制度詳細'!$I$7),EOMONTH(BE$5,0)),"■",IF(AND('制度詳細'!$J$7&lt;&gt;"",'制度詳細'!$J$7&gt;=BE$5,'制度詳細'!$J$7&lt;=EOMONTH(BE$5,0)),"◆","")))</x:f>
        <x:v>■</x:v>
      </x:c>
      <x:c r="BF7" s="57" t="str">
        <x:f>IF('制度詳細'!$H$7="",IF('制度詳細'!$J$7="","",IF(AND('制度詳細'!$J$7&gt;=BF$5,'制度詳細'!$J$7&lt;=EOMONTH(BF$5,0)),"◆","")),IF(MAX('制度詳細'!$H$7,BF$5)&lt;=MIN(IF('制度詳細'!$I$7="",EOMONTH(BF$5,0),'制度詳細'!$I$7),EOMONTH(BF$5,0)),"■",IF(AND('制度詳細'!$J$7&lt;&gt;"",'制度詳細'!$J$7&gt;=BF$5,'制度詳細'!$J$7&lt;=EOMONTH(BF$5,0)),"◆","")))</x:f>
        <x:v>■</x:v>
      </x:c>
      <x:c r="BG7" s="57" t="str">
        <x:f>IF('制度詳細'!$H$7="",IF('制度詳細'!$J$7="","",IF(AND('制度詳細'!$J$7&gt;=BG$5,'制度詳細'!$J$7&lt;=EOMONTH(BG$5,0)),"◆","")),IF(MAX('制度詳細'!$H$7,BG$5)&lt;=MIN(IF('制度詳細'!$I$7="",EOMONTH(BG$5,0),'制度詳細'!$I$7),EOMONTH(BG$5,0)),"■",IF(AND('制度詳細'!$J$7&lt;&gt;"",'制度詳細'!$J$7&gt;=BG$5,'制度詳細'!$J$7&lt;=EOMONTH(BG$5,0)),"◆","")))</x:f>
        <x:v>■</x:v>
      </x:c>
      <x:c r="BH7" s="57" t="str">
        <x:f>IF('制度詳細'!$H$7="",IF('制度詳細'!$J$7="","",IF(AND('制度詳細'!$J$7&gt;=BH$5,'制度詳細'!$J$7&lt;=EOMONTH(BH$5,0)),"◆","")),IF(MAX('制度詳細'!$H$7,BH$5)&lt;=MIN(IF('制度詳細'!$I$7="",EOMONTH(BH$5,0),'制度詳細'!$I$7),EOMONTH(BH$5,0)),"■",IF(AND('制度詳細'!$J$7&lt;&gt;"",'制度詳細'!$J$7&gt;=BH$5,'制度詳細'!$J$7&lt;=EOMONTH(BH$5,0)),"◆","")))</x:f>
        <x:v>■</x:v>
      </x:c>
      <x:c r="BI7" s="57" t="str">
        <x:f>IF('制度詳細'!$H$7="",IF('制度詳細'!$J$7="","",IF(AND('制度詳細'!$J$7&gt;=BI$5,'制度詳細'!$J$7&lt;=EOMONTH(BI$5,0)),"◆","")),IF(MAX('制度詳細'!$H$7,BI$5)&lt;=MIN(IF('制度詳細'!$I$7="",EOMONTH(BI$5,0),'制度詳細'!$I$7),EOMONTH(BI$5,0)),"■",IF(AND('制度詳細'!$J$7&lt;&gt;"",'制度詳細'!$J$7&gt;=BI$5,'制度詳細'!$J$7&lt;=EOMONTH(BI$5,0)),"◆","")))</x:f>
        <x:v>■</x:v>
      </x:c>
      <x:c r="BJ7" s="57" t="str">
        <x:f>IF('制度詳細'!$H$7="",IF('制度詳細'!$J$7="","",IF(AND('制度詳細'!$J$7&gt;=BJ$5,'制度詳細'!$J$7&lt;=EOMONTH(BJ$5,0)),"◆","")),IF(MAX('制度詳細'!$H$7,BJ$5)&lt;=MIN(IF('制度詳細'!$I$7="",EOMONTH(BJ$5,0),'制度詳細'!$I$7),EOMONTH(BJ$5,0)),"■",IF(AND('制度詳細'!$J$7&lt;&gt;"",'制度詳細'!$J$7&gt;=BJ$5,'制度詳細'!$J$7&lt;=EOMONTH(BJ$5,0)),"◆","")))</x:f>
        <x:v>■</x:v>
      </x:c>
      <x:c r="BK7" s="57" t="str">
        <x:f>IF('制度詳細'!$H$7="",IF('制度詳細'!$J$7="","",IF(AND('制度詳細'!$J$7&gt;=BK$5,'制度詳細'!$J$7&lt;=EOMONTH(BK$5,0)),"◆","")),IF(MAX('制度詳細'!$H$7,BK$5)&lt;=MIN(IF('制度詳細'!$I$7="",EOMONTH(BK$5,0),'制度詳細'!$I$7),EOMONTH(BK$5,0)),"■",IF(AND('制度詳細'!$J$7&lt;&gt;"",'制度詳細'!$J$7&gt;=BK$5,'制度詳細'!$J$7&lt;=EOMONTH(BK$5,0)),"◆","")))</x:f>
        <x:v>■</x:v>
      </x:c>
      <x:c r="BL7" s="57" t="str">
        <x:f>IF('制度詳細'!$H$7="",IF('制度詳細'!$J$7="","",IF(AND('制度詳細'!$J$7&gt;=BL$5,'制度詳細'!$J$7&lt;=EOMONTH(BL$5,0)),"◆","")),IF(MAX('制度詳細'!$H$7,BL$5)&lt;=MIN(IF('制度詳細'!$I$7="",EOMONTH(BL$5,0),'制度詳細'!$I$7),EOMONTH(BL$5,0)),"■",IF(AND('制度詳細'!$J$7&lt;&gt;"",'制度詳細'!$J$7&gt;=BL$5,'制度詳細'!$J$7&lt;=EOMONTH(BL$5,0)),"◆","")))</x:f>
        <x:v>■</x:v>
      </x:c>
      <x:c r="BM7" s="57" t="str">
        <x:f>IF('制度詳細'!$H$7="",IF('制度詳細'!$J$7="","",IF(AND('制度詳細'!$J$7&gt;=BM$5,'制度詳細'!$J$7&lt;=EOMONTH(BM$5,0)),"◆","")),IF(MAX('制度詳細'!$H$7,BM$5)&lt;=MIN(IF('制度詳細'!$I$7="",EOMONTH(BM$5,0),'制度詳細'!$I$7),EOMONTH(BM$5,0)),"■",IF(AND('制度詳細'!$J$7&lt;&gt;"",'制度詳細'!$J$7&gt;=BM$5,'制度詳細'!$J$7&lt;=EOMONTH(BM$5,0)),"◆","")))</x:f>
        <x:v>■</x:v>
      </x:c>
      <x:c r="BN7" s="57" t="str">
        <x:f>IF('制度詳細'!$H$7="",IF('制度詳細'!$J$7="","",IF(AND('制度詳細'!$J$7&gt;=BN$5,'制度詳細'!$J$7&lt;=EOMONTH(BN$5,0)),"◆","")),IF(MAX('制度詳細'!$H$7,BN$5)&lt;=MIN(IF('制度詳細'!$I$7="",EOMONTH(BN$5,0),'制度詳細'!$I$7),EOMONTH(BN$5,0)),"■",IF(AND('制度詳細'!$J$7&lt;&gt;"",'制度詳細'!$J$7&gt;=BN$5,'制度詳細'!$J$7&lt;=EOMONTH(BN$5,0)),"◆","")))</x:f>
        <x:v>■</x:v>
      </x:c>
      <x:c r="BO7" s="57" t="str">
        <x:f>IF('制度詳細'!$H$7="",IF('制度詳細'!$J$7="","",IF(AND('制度詳細'!$J$7&gt;=BO$5,'制度詳細'!$J$7&lt;=EOMONTH(BO$5,0)),"◆","")),IF(MAX('制度詳細'!$H$7,BO$5)&lt;=MIN(IF('制度詳細'!$I$7="",EOMONTH(BO$5,0),'制度詳細'!$I$7),EOMONTH(BO$5,0)),"■",IF(AND('制度詳細'!$J$7&lt;&gt;"",'制度詳細'!$J$7&gt;=BO$5,'制度詳細'!$J$7&lt;=EOMONTH(BO$5,0)),"◆","")))</x:f>
        <x:v>■</x:v>
      </x:c>
      <x:c r="BP7" s="57" t="str">
        <x:f>IF('制度詳細'!$H$7="",IF('制度詳細'!$J$7="","",IF(AND('制度詳細'!$J$7&gt;=BP$5,'制度詳細'!$J$7&lt;=EOMONTH(BP$5,0)),"◆","")),IF(MAX('制度詳細'!$H$7,BP$5)&lt;=MIN(IF('制度詳細'!$I$7="",EOMONTH(BP$5,0),'制度詳細'!$I$7),EOMONTH(BP$5,0)),"■",IF(AND('制度詳細'!$J$7&lt;&gt;"",'制度詳細'!$J$7&gt;=BP$5,'制度詳細'!$J$7&lt;=EOMONTH(BP$5,0)),"◆","")))</x:f>
        <x:v>■</x:v>
      </x:c>
      <x:c r="BQ7" s="57" t="str">
        <x:f>IF('制度詳細'!$H$7="",IF('制度詳細'!$J$7="","",IF(AND('制度詳細'!$J$7&gt;=BQ$5,'制度詳細'!$J$7&lt;=EOMONTH(BQ$5,0)),"◆","")),IF(MAX('制度詳細'!$H$7,BQ$5)&lt;=MIN(IF('制度詳細'!$I$7="",EOMONTH(BQ$5,0),'制度詳細'!$I$7),EOMONTH(BQ$5,0)),"■",IF(AND('制度詳細'!$J$7&lt;&gt;"",'制度詳細'!$J$7&gt;=BQ$5,'制度詳細'!$J$7&lt;=EOMONTH(BQ$5,0)),"◆","")))</x:f>
        <x:v>■</x:v>
      </x:c>
      <x:c r="BR7" s="57" t="str">
        <x:f>IF('制度詳細'!$H$7="",IF('制度詳細'!$J$7="","",IF(AND('制度詳細'!$J$7&gt;=BR$5,'制度詳細'!$J$7&lt;=EOMONTH(BR$5,0)),"◆","")),IF(MAX('制度詳細'!$H$7,BR$5)&lt;=MIN(IF('制度詳細'!$I$7="",EOMONTH(BR$5,0),'制度詳細'!$I$7),EOMONTH(BR$5,0)),"■",IF(AND('制度詳細'!$J$7&lt;&gt;"",'制度詳細'!$J$7&gt;=BR$5,'制度詳細'!$J$7&lt;=EOMONTH(BR$5,0)),"◆","")))</x:f>
        <x:v>■</x:v>
      </x:c>
      <x:c r="BS7" s="57" t="str">
        <x:f>IF('制度詳細'!$H$7="",IF('制度詳細'!$J$7="","",IF(AND('制度詳細'!$J$7&gt;=BS$5,'制度詳細'!$J$7&lt;=EOMONTH(BS$5,0)),"◆","")),IF(MAX('制度詳細'!$H$7,BS$5)&lt;=MIN(IF('制度詳細'!$I$7="",EOMONTH(BS$5,0),'制度詳細'!$I$7),EOMONTH(BS$5,0)),"■",IF(AND('制度詳細'!$J$7&lt;&gt;"",'制度詳細'!$J$7&gt;=BS$5,'制度詳細'!$J$7&lt;=EOMONTH(BS$5,0)),"◆","")))</x:f>
        <x:v>■</x:v>
      </x:c>
      <x:c r="BT7" s="57" t="str">
        <x:f>IF('制度詳細'!$H$7="",IF('制度詳細'!$J$7="","",IF(AND('制度詳細'!$J$7&gt;=BT$5,'制度詳細'!$J$7&lt;=EOMONTH(BT$5,0)),"◆","")),IF(MAX('制度詳細'!$H$7,BT$5)&lt;=MIN(IF('制度詳細'!$I$7="",EOMONTH(BT$5,0),'制度詳細'!$I$7),EOMONTH(BT$5,0)),"■",IF(AND('制度詳細'!$J$7&lt;&gt;"",'制度詳細'!$J$7&gt;=BT$5,'制度詳細'!$J$7&lt;=EOMONTH(BT$5,0)),"◆","")))</x:f>
        <x:v>■</x:v>
      </x:c>
      <x:c r="BU7" s="57" t="str">
        <x:f>IF('制度詳細'!$H$7="",IF('制度詳細'!$J$7="","",IF(AND('制度詳細'!$J$7&gt;=BU$5,'制度詳細'!$J$7&lt;=EOMONTH(BU$5,0)),"◆","")),IF(MAX('制度詳細'!$H$7,BU$5)&lt;=MIN(IF('制度詳細'!$I$7="",EOMONTH(BU$5,0),'制度詳細'!$I$7),EOMONTH(BU$5,0)),"■",IF(AND('制度詳細'!$J$7&lt;&gt;"",'制度詳細'!$J$7&gt;=BU$5,'制度詳細'!$J$7&lt;=EOMONTH(BU$5,0)),"◆","")))</x:f>
        <x:v>■</x:v>
      </x:c>
      <x:c r="BV7" s="57" t="str">
        <x:f>IF('制度詳細'!$H$7="",IF('制度詳細'!$J$7="","",IF(AND('制度詳細'!$J$7&gt;=BV$5,'制度詳細'!$J$7&lt;=EOMONTH(BV$5,0)),"◆","")),IF(MAX('制度詳細'!$H$7,BV$5)&lt;=MIN(IF('制度詳細'!$I$7="",EOMONTH(BV$5,0),'制度詳細'!$I$7),EOMONTH(BV$5,0)),"■",IF(AND('制度詳細'!$J$7&lt;&gt;"",'制度詳細'!$J$7&gt;=BV$5,'制度詳細'!$J$7&lt;=EOMONTH(BV$5,0)),"◆","")))</x:f>
        <x:v>■</x:v>
      </x:c>
      <x:c r="BW7" s="57" t="str">
        <x:f>IF('制度詳細'!$H$7="",IF('制度詳細'!$J$7="","",IF(AND('制度詳細'!$J$7&gt;=BW$5,'制度詳細'!$J$7&lt;=EOMONTH(BW$5,0)),"◆","")),IF(MAX('制度詳細'!$H$7,BW$5)&lt;=MIN(IF('制度詳細'!$I$7="",EOMONTH(BW$5,0),'制度詳細'!$I$7),EOMONTH(BW$5,0)),"■",IF(AND('制度詳細'!$J$7&lt;&gt;"",'制度詳細'!$J$7&gt;=BW$5,'制度詳細'!$J$7&lt;=EOMONTH(BW$5,0)),"◆","")))</x:f>
        <x:v>■</x:v>
      </x:c>
      <x:c r="BX7" s="57" t="str">
        <x:f>IF('制度詳細'!$H$7="",IF('制度詳細'!$J$7="","",IF(AND('制度詳細'!$J$7&gt;=BX$5,'制度詳細'!$J$7&lt;=EOMONTH(BX$5,0)),"◆","")),IF(MAX('制度詳細'!$H$7,BX$5)&lt;=MIN(IF('制度詳細'!$I$7="",EOMONTH(BX$5,0),'制度詳細'!$I$7),EOMONTH(BX$5,0)),"■",IF(AND('制度詳細'!$J$7&lt;&gt;"",'制度詳細'!$J$7&gt;=BX$5,'制度詳細'!$J$7&lt;=EOMONTH(BX$5,0)),"◆","")))</x:f>
        <x:v>■</x:v>
      </x:c>
      <x:c r="BY7" s="57" t="str">
        <x:f>IF('制度詳細'!$H$7="",IF('制度詳細'!$J$7="","",IF(AND('制度詳細'!$J$7&gt;=BY$5,'制度詳細'!$J$7&lt;=EOMONTH(BY$5,0)),"◆","")),IF(MAX('制度詳細'!$H$7,BY$5)&lt;=MIN(IF('制度詳細'!$I$7="",EOMONTH(BY$5,0),'制度詳細'!$I$7),EOMONTH(BY$5,0)),"■",IF(AND('制度詳細'!$J$7&lt;&gt;"",'制度詳細'!$J$7&gt;=BY$5,'制度詳細'!$J$7&lt;=EOMONTH(BY$5,0)),"◆","")))</x:f>
        <x:v>■</x:v>
      </x:c>
      <x:c r="BZ7" s="57" t="str">
        <x:f>IF('制度詳細'!$H$7="",IF('制度詳細'!$J$7="","",IF(AND('制度詳細'!$J$7&gt;=BZ$5,'制度詳細'!$J$7&lt;=EOMONTH(BZ$5,0)),"◆","")),IF(MAX('制度詳細'!$H$7,BZ$5)&lt;=MIN(IF('制度詳細'!$I$7="",EOMONTH(BZ$5,0),'制度詳細'!$I$7),EOMONTH(BZ$5,0)),"■",IF(AND('制度詳細'!$J$7&lt;&gt;"",'制度詳細'!$J$7&gt;=BZ$5,'制度詳細'!$J$7&lt;=EOMONTH(BZ$5,0)),"◆","")))</x:f>
        <x:v>■</x:v>
      </x:c>
      <x:c r="CA7" s="57" t="str">
        <x:f>IF('制度詳細'!$H$7="",IF('制度詳細'!$J$7="","",IF(AND('制度詳細'!$J$7&gt;=CA$5,'制度詳細'!$J$7&lt;=EOMONTH(CA$5,0)),"◆","")),IF(MAX('制度詳細'!$H$7,CA$5)&lt;=MIN(IF('制度詳細'!$I$7="",EOMONTH(CA$5,0),'制度詳細'!$I$7),EOMONTH(CA$5,0)),"■",IF(AND('制度詳細'!$J$7&lt;&gt;"",'制度詳細'!$J$7&gt;=CA$5,'制度詳細'!$J$7&lt;=EOMONTH(CA$5,0)),"◆","")))</x:f>
        <x:v>■</x:v>
      </x:c>
      <x:c r="CB7" s="57" t="str">
        <x:f>IF('制度詳細'!$H$7="",IF('制度詳細'!$J$7="","",IF(AND('制度詳細'!$J$7&gt;=CB$5,'制度詳細'!$J$7&lt;=EOMONTH(CB$5,0)),"◆","")),IF(MAX('制度詳細'!$H$7,CB$5)&lt;=MIN(IF('制度詳細'!$I$7="",EOMONTH(CB$5,0),'制度詳細'!$I$7),EOMONTH(CB$5,0)),"■",IF(AND('制度詳細'!$J$7&lt;&gt;"",'制度詳細'!$J$7&gt;=CB$5,'制度詳細'!$J$7&lt;=EOMONTH(CB$5,0)),"◆","")))</x:f>
        <x:v>■</x:v>
      </x:c>
      <x:c r="CC7" s="57" t="str">
        <x:f>IF('制度詳細'!$H$7="",IF('制度詳細'!$J$7="","",IF(AND('制度詳細'!$J$7&gt;=CC$5,'制度詳細'!$J$7&lt;=EOMONTH(CC$5,0)),"◆","")),IF(MAX('制度詳細'!$H$7,CC$5)&lt;=MIN(IF('制度詳細'!$I$7="",EOMONTH(CC$5,0),'制度詳細'!$I$7),EOMONTH(CC$5,0)),"■",IF(AND('制度詳細'!$J$7&lt;&gt;"",'制度詳細'!$J$7&gt;=CC$5,'制度詳細'!$J$7&lt;=EOMONTH(CC$5,0)),"◆","")))</x:f>
        <x:v>■</x:v>
      </x:c>
      <x:c r="CD7" s="57" t="str">
        <x:f>IF('制度詳細'!$H$7="",IF('制度詳細'!$J$7="","",IF(AND('制度詳細'!$J$7&gt;=CD$5,'制度詳細'!$J$7&lt;=EOMONTH(CD$5,0)),"◆","")),IF(MAX('制度詳細'!$H$7,CD$5)&lt;=MIN(IF('制度詳細'!$I$7="",EOMONTH(CD$5,0),'制度詳細'!$I$7),EOMONTH(CD$5,0)),"■",IF(AND('制度詳細'!$J$7&lt;&gt;"",'制度詳細'!$J$7&gt;=CD$5,'制度詳細'!$J$7&lt;=EOMONTH(CD$5,0)),"◆","")))</x:f>
        <x:v>■</x:v>
      </x:c>
      <x:c r="CE7" s="57" t="str">
        <x:f>IF('制度詳細'!$H$7="",IF('制度詳細'!$J$7="","",IF(AND('制度詳細'!$J$7&gt;=CE$5,'制度詳細'!$J$7&lt;=EOMONTH(CE$5,0)),"◆","")),IF(MAX('制度詳細'!$H$7,CE$5)&lt;=MIN(IF('制度詳細'!$I$7="",EOMONTH(CE$5,0),'制度詳細'!$I$7),EOMONTH(CE$5,0)),"■",IF(AND('制度詳細'!$J$7&lt;&gt;"",'制度詳細'!$J$7&gt;=CE$5,'制度詳細'!$J$7&lt;=EOMONTH(CE$5,0)),"◆","")))</x:f>
        <x:v>■</x:v>
      </x:c>
      <x:c r="CF7" s="57" t="str">
        <x:f>IF('制度詳細'!$H$7="",IF('制度詳細'!$J$7="","",IF(AND('制度詳細'!$J$7&gt;=CF$5,'制度詳細'!$J$7&lt;=EOMONTH(CF$5,0)),"◆","")),IF(MAX('制度詳細'!$H$7,CF$5)&lt;=MIN(IF('制度詳細'!$I$7="",EOMONTH(CF$5,0),'制度詳細'!$I$7),EOMONTH(CF$5,0)),"■",IF(AND('制度詳細'!$J$7&lt;&gt;"",'制度詳細'!$J$7&gt;=CF$5,'制度詳細'!$J$7&lt;=EOMONTH(CF$5,0)),"◆","")))</x:f>
        <x:v>■</x:v>
      </x:c>
      <x:c r="CG7" s="57" t="str">
        <x:f>IF('制度詳細'!$H$7="",IF('制度詳細'!$J$7="","",IF(AND('制度詳細'!$J$7&gt;=CG$5,'制度詳細'!$J$7&lt;=EOMONTH(CG$5,0)),"◆","")),IF(MAX('制度詳細'!$H$7,CG$5)&lt;=MIN(IF('制度詳細'!$I$7="",EOMONTH(CG$5,0),'制度詳細'!$I$7),EOMONTH(CG$5,0)),"■",IF(AND('制度詳細'!$J$7&lt;&gt;"",'制度詳細'!$J$7&gt;=CG$5,'制度詳細'!$J$7&lt;=EOMONTH(CG$5,0)),"◆","")))</x:f>
        <x:v>■</x:v>
      </x:c>
      <x:c r="CH7" s="57" t="str">
        <x:f>IF('制度詳細'!$H$7="",IF('制度詳細'!$J$7="","",IF(AND('制度詳細'!$J$7&gt;=CH$5,'制度詳細'!$J$7&lt;=EOMONTH(CH$5,0)),"◆","")),IF(MAX('制度詳細'!$H$7,CH$5)&lt;=MIN(IF('制度詳細'!$I$7="",EOMONTH(CH$5,0),'制度詳細'!$I$7),EOMONTH(CH$5,0)),"■",IF(AND('制度詳細'!$J$7&lt;&gt;"",'制度詳細'!$J$7&gt;=CH$5,'制度詳細'!$J$7&lt;=EOMONTH(CH$5,0)),"◆","")))</x:f>
        <x:v>■</x:v>
      </x:c>
      <x:c r="CI7" s="57" t="str">
        <x:f>IF('制度詳細'!$H$7="",IF('制度詳細'!$J$7="","",IF(AND('制度詳細'!$J$7&gt;=CI$5,'制度詳細'!$J$7&lt;=EOMONTH(CI$5,0)),"◆","")),IF(MAX('制度詳細'!$H$7,CI$5)&lt;=MIN(IF('制度詳細'!$I$7="",EOMONTH(CI$5,0),'制度詳細'!$I$7),EOMONTH(CI$5,0)),"■",IF(AND('制度詳細'!$J$7&lt;&gt;"",'制度詳細'!$J$7&gt;=CI$5,'制度詳細'!$J$7&lt;=EOMONTH(CI$5,0)),"◆","")))</x:f>
        <x:v>■</x:v>
      </x:c>
      <x:c r="CJ7" s="57" t="str">
        <x:f>IF('制度詳細'!$H$7="",IF('制度詳細'!$J$7="","",IF(AND('制度詳細'!$J$7&gt;=CJ$5,'制度詳細'!$J$7&lt;=EOMONTH(CJ$5,0)),"◆","")),IF(MAX('制度詳細'!$H$7,CJ$5)&lt;=MIN(IF('制度詳細'!$I$7="",EOMONTH(CJ$5,0),'制度詳細'!$I$7),EOMONTH(CJ$5,0)),"■",IF(AND('制度詳細'!$J$7&lt;&gt;"",'制度詳細'!$J$7&gt;=CJ$5,'制度詳細'!$J$7&lt;=EOMONTH(CJ$5,0)),"◆","")))</x:f>
        <x:v>■</x:v>
      </x:c>
      <x:c r="CK7" s="57" t="str">
        <x:f>IF('制度詳細'!$H$7="",IF('制度詳細'!$J$7="","",IF(AND('制度詳細'!$J$7&gt;=CK$5,'制度詳細'!$J$7&lt;=EOMONTH(CK$5,0)),"◆","")),IF(MAX('制度詳細'!$H$7,CK$5)&lt;=MIN(IF('制度詳細'!$I$7="",EOMONTH(CK$5,0),'制度詳細'!$I$7),EOMONTH(CK$5,0)),"■",IF(AND('制度詳細'!$J$7&lt;&gt;"",'制度詳細'!$J$7&gt;=CK$5,'制度詳細'!$J$7&lt;=EOMONTH(CK$5,0)),"◆","")))</x:f>
        <x:v>■</x:v>
      </x:c>
      <x:c r="CL7" s="57" t="str">
        <x:f>IF('制度詳細'!$H$7="",IF('制度詳細'!$J$7="","",IF(AND('制度詳細'!$J$7&gt;=CL$5,'制度詳細'!$J$7&lt;=EOMONTH(CL$5,0)),"◆","")),IF(MAX('制度詳細'!$H$7,CL$5)&lt;=MIN(IF('制度詳細'!$I$7="",EOMONTH(CL$5,0),'制度詳細'!$I$7),EOMONTH(CL$5,0)),"■",IF(AND('制度詳細'!$J$7&lt;&gt;"",'制度詳細'!$J$7&gt;=CL$5,'制度詳細'!$J$7&lt;=EOMONTH(CL$5,0)),"◆","")))</x:f>
        <x:v>■</x:v>
      </x:c>
      <x:c r="CM7" s="57" t="str">
        <x:f>IF('制度詳細'!$H$7="",IF('制度詳細'!$J$7="","",IF(AND('制度詳細'!$J$7&gt;=CM$5,'制度詳細'!$J$7&lt;=EOMONTH(CM$5,0)),"◆","")),IF(MAX('制度詳細'!$H$7,CM$5)&lt;=MIN(IF('制度詳細'!$I$7="",EOMONTH(CM$5,0),'制度詳細'!$I$7),EOMONTH(CM$5,0)),"■",IF(AND('制度詳細'!$J$7&lt;&gt;"",'制度詳細'!$J$7&gt;=CM$5,'制度詳細'!$J$7&lt;=EOMONTH(CM$5,0)),"◆","")))</x:f>
        <x:v>■</x:v>
      </x:c>
      <x:c r="CN7" s="57" t="str">
        <x:f>IF('制度詳細'!$H$7="",IF('制度詳細'!$J$7="","",IF(AND('制度詳細'!$J$7&gt;=CN$5,'制度詳細'!$J$7&lt;=EOMONTH(CN$5,0)),"◆","")),IF(MAX('制度詳細'!$H$7,CN$5)&lt;=MIN(IF('制度詳細'!$I$7="",EOMONTH(CN$5,0),'制度詳細'!$I$7),EOMONTH(CN$5,0)),"■",IF(AND('制度詳細'!$J$7&lt;&gt;"",'制度詳細'!$J$7&gt;=CN$5,'制度詳細'!$J$7&lt;=EOMONTH(CN$5,0)),"◆","")))</x:f>
        <x:v>■</x:v>
      </x:c>
      <x:c r="CO7" s="57" t="str">
        <x:f>IF('制度詳細'!$H$7="",IF('制度詳細'!$J$7="","",IF(AND('制度詳細'!$J$7&gt;=CO$5,'制度詳細'!$J$7&lt;=EOMONTH(CO$5,0)),"◆","")),IF(MAX('制度詳細'!$H$7,CO$5)&lt;=MIN(IF('制度詳細'!$I$7="",EOMONTH(CO$5,0),'制度詳細'!$I$7),EOMONTH(CO$5,0)),"■",IF(AND('制度詳細'!$J$7&lt;&gt;"",'制度詳細'!$J$7&gt;=CO$5,'制度詳細'!$J$7&lt;=EOMONTH(CO$5,0)),"◆","")))</x:f>
        <x:v>■</x:v>
      </x:c>
      <x:c r="CP7" s="57" t="str">
        <x:f>IF('制度詳細'!$H$7="",IF('制度詳細'!$J$7="","",IF(AND('制度詳細'!$J$7&gt;=CP$5,'制度詳細'!$J$7&lt;=EOMONTH(CP$5,0)),"◆","")),IF(MAX('制度詳細'!$H$7,CP$5)&lt;=MIN(IF('制度詳細'!$I$7="",EOMONTH(CP$5,0),'制度詳細'!$I$7),EOMONTH(CP$5,0)),"■",IF(AND('制度詳細'!$J$7&lt;&gt;"",'制度詳細'!$J$7&gt;=CP$5,'制度詳細'!$J$7&lt;=EOMONTH(CP$5,0)),"◆","")))</x:f>
        <x:v>■</x:v>
      </x:c>
      <x:c r="CQ7" s="57" t="str">
        <x:f>IF('制度詳細'!$H$7="",IF('制度詳細'!$J$7="","",IF(AND('制度詳細'!$J$7&gt;=CQ$5,'制度詳細'!$J$7&lt;=EOMONTH(CQ$5,0)),"◆","")),IF(MAX('制度詳細'!$H$7,CQ$5)&lt;=MIN(IF('制度詳細'!$I$7="",EOMONTH(CQ$5,0),'制度詳細'!$I$7),EOMONTH(CQ$5,0)),"■",IF(AND('制度詳細'!$J$7&lt;&gt;"",'制度詳細'!$J$7&gt;=CQ$5,'制度詳細'!$J$7&lt;=EOMONTH(CQ$5,0)),"◆","")))</x:f>
        <x:v>■</x:v>
      </x:c>
      <x:c r="CR7" s="57" t="str">
        <x:f>IF('制度詳細'!$H$7="",IF('制度詳細'!$J$7="","",IF(AND('制度詳細'!$J$7&gt;=CR$5,'制度詳細'!$J$7&lt;=EOMONTH(CR$5,0)),"◆","")),IF(MAX('制度詳細'!$H$7,CR$5)&lt;=MIN(IF('制度詳細'!$I$7="",EOMONTH(CR$5,0),'制度詳細'!$I$7),EOMONTH(CR$5,0)),"■",IF(AND('制度詳細'!$J$7&lt;&gt;"",'制度詳細'!$J$7&gt;=CR$5,'制度詳細'!$J$7&lt;=EOMONTH(CR$5,0)),"◆","")))</x:f>
        <x:v>■</x:v>
      </x:c>
      <x:c r="CS7" s="57" t="str">
        <x:f>IF('制度詳細'!$H$7="",IF('制度詳細'!$J$7="","",IF(AND('制度詳細'!$J$7&gt;=CS$5,'制度詳細'!$J$7&lt;=EOMONTH(CS$5,0)),"◆","")),IF(MAX('制度詳細'!$H$7,CS$5)&lt;=MIN(IF('制度詳細'!$I$7="",EOMONTH(CS$5,0),'制度詳細'!$I$7),EOMONTH(CS$5,0)),"■",IF(AND('制度詳細'!$J$7&lt;&gt;"",'制度詳細'!$J$7&gt;=CS$5,'制度詳細'!$J$7&lt;=EOMONTH(CS$5,0)),"◆","")))</x:f>
        <x:v>■</x:v>
      </x:c>
      <x:c r="CT7" s="57" t="str">
        <x:f>IF('制度詳細'!$H$7="",IF('制度詳細'!$J$7="","",IF(AND('制度詳細'!$J$7&gt;=CT$5,'制度詳細'!$J$7&lt;=EOMONTH(CT$5,0)),"◆","")),IF(MAX('制度詳細'!$H$7,CT$5)&lt;=MIN(IF('制度詳細'!$I$7="",EOMONTH(CT$5,0),'制度詳細'!$I$7),EOMONTH(CT$5,0)),"■",IF(AND('制度詳細'!$J$7&lt;&gt;"",'制度詳細'!$J$7&gt;=CT$5,'制度詳細'!$J$7&lt;=EOMONTH(CT$5,0)),"◆","")))</x:f>
        <x:v>■</x:v>
      </x:c>
      <x:c r="CU7" s="57" t="str">
        <x:f>IF('制度詳細'!$H$7="",IF('制度詳細'!$J$7="","",IF(AND('制度詳細'!$J$7&gt;=CU$5,'制度詳細'!$J$7&lt;=EOMONTH(CU$5,0)),"◆","")),IF(MAX('制度詳細'!$H$7,CU$5)&lt;=MIN(IF('制度詳細'!$I$7="",EOMONTH(CU$5,0),'制度詳細'!$I$7),EOMONTH(CU$5,0)),"■",IF(AND('制度詳細'!$J$7&lt;&gt;"",'制度詳細'!$J$7&gt;=CU$5,'制度詳細'!$J$7&lt;=EOMONTH(CU$5,0)),"◆","")))</x:f>
        <x:v>■</x:v>
      </x:c>
      <x:c r="CV7" s="57" t="str">
        <x:f>IF('制度詳細'!$H$7="",IF('制度詳細'!$J$7="","",IF(AND('制度詳細'!$J$7&gt;=CV$5,'制度詳細'!$J$7&lt;=EOMONTH(CV$5,0)),"◆","")),IF(MAX('制度詳細'!$H$7,CV$5)&lt;=MIN(IF('制度詳細'!$I$7="",EOMONTH(CV$5,0),'制度詳細'!$I$7),EOMONTH(CV$5,0)),"■",IF(AND('制度詳細'!$J$7&lt;&gt;"",'制度詳細'!$J$7&gt;=CV$5,'制度詳細'!$J$7&lt;=EOMONTH(CV$5,0)),"◆","")))</x:f>
        <x:v>■</x:v>
      </x:c>
      <x:c r="CW7" s="1"/>
      <x:c r="CX7" s="1"/>
      <x:c r="CY7" s="1"/>
      <x:c r="CZ7" s="1"/>
      <x:c r="DA7" s="1"/>
      <x:c r="DB7" s="1"/>
      <x:c r="DC7" s="1"/>
      <x:c r="DD7" s="1"/>
    </x:row>
    <x:row r="8" ht="27" customHeight="1">
      <x:c r="A8" s="53" t="str">
        <x:v>TH03</x:v>
      </x:c>
      <x:c r="B8" s="53" t="str">
        <x:v>タイ</x:v>
      </x:c>
      <x:c r="C8" s="53" t="str">
        <x:v>EV3.5：物品税8→2%</x:v>
      </x:c>
      <x:c r="D8" s="53" t="str">
        <x:v>BEV</x:v>
      </x:c>
      <x:c r="E8" s="57" t="str">
        <x:f>IF('制度詳細'!$H$8="",IF('制度詳細'!$J$8="","",IF(AND('制度詳細'!$J$8&gt;=E$5,'制度詳細'!$J$8&lt;=EOMONTH(E$5,0)),"◆","")),IF(MAX('制度詳細'!$H$8,E$5)&lt;=MIN(IF('制度詳細'!$I$8="",EOMONTH(E$5,0),'制度詳細'!$I$8),EOMONTH(E$5,0)),"■",IF(AND('制度詳細'!$J$8&lt;&gt;"",'制度詳細'!$J$8&gt;=E$5,'制度詳細'!$J$8&lt;=EOMONTH(E$5,0)),"◆","")))</x:f>
      </x:c>
      <x:c r="F8" s="57" t="str">
        <x:f>IF('制度詳細'!$H$8="",IF('制度詳細'!$J$8="","",IF(AND('制度詳細'!$J$8&gt;=F$5,'制度詳細'!$J$8&lt;=EOMONTH(F$5,0)),"◆","")),IF(MAX('制度詳細'!$H$8,F$5)&lt;=MIN(IF('制度詳細'!$I$8="",EOMONTH(F$5,0),'制度詳細'!$I$8),EOMONTH(F$5,0)),"■",IF(AND('制度詳細'!$J$8&lt;&gt;"",'制度詳細'!$J$8&gt;=F$5,'制度詳細'!$J$8&lt;=EOMONTH(F$5,0)),"◆","")))</x:f>
      </x:c>
      <x:c r="G8" s="57" t="str">
        <x:f>IF('制度詳細'!$H$8="",IF('制度詳細'!$J$8="","",IF(AND('制度詳細'!$J$8&gt;=G$5,'制度詳細'!$J$8&lt;=EOMONTH(G$5,0)),"◆","")),IF(MAX('制度詳細'!$H$8,G$5)&lt;=MIN(IF('制度詳細'!$I$8="",EOMONTH(G$5,0),'制度詳細'!$I$8),EOMONTH(G$5,0)),"■",IF(AND('制度詳細'!$J$8&lt;&gt;"",'制度詳細'!$J$8&gt;=G$5,'制度詳細'!$J$8&lt;=EOMONTH(G$5,0)),"◆","")))</x:f>
      </x:c>
      <x:c r="H8" s="57" t="str">
        <x:f>IF('制度詳細'!$H$8="",IF('制度詳細'!$J$8="","",IF(AND('制度詳細'!$J$8&gt;=H$5,'制度詳細'!$J$8&lt;=EOMONTH(H$5,0)),"◆","")),IF(MAX('制度詳細'!$H$8,H$5)&lt;=MIN(IF('制度詳細'!$I$8="",EOMONTH(H$5,0),'制度詳細'!$I$8),EOMONTH(H$5,0)),"■",IF(AND('制度詳細'!$J$8&lt;&gt;"",'制度詳細'!$J$8&gt;=H$5,'制度詳細'!$J$8&lt;=EOMONTH(H$5,0)),"◆","")))</x:f>
      </x:c>
      <x:c r="I8" s="57" t="str">
        <x:f>IF('制度詳細'!$H$8="",IF('制度詳細'!$J$8="","",IF(AND('制度詳細'!$J$8&gt;=I$5,'制度詳細'!$J$8&lt;=EOMONTH(I$5,0)),"◆","")),IF(MAX('制度詳細'!$H$8,I$5)&lt;=MIN(IF('制度詳細'!$I$8="",EOMONTH(I$5,0),'制度詳細'!$I$8),EOMONTH(I$5,0)),"■",IF(AND('制度詳細'!$J$8&lt;&gt;"",'制度詳細'!$J$8&gt;=I$5,'制度詳細'!$J$8&lt;=EOMONTH(I$5,0)),"◆","")))</x:f>
      </x:c>
      <x:c r="J8" s="57" t="str">
        <x:f>IF('制度詳細'!$H$8="",IF('制度詳細'!$J$8="","",IF(AND('制度詳細'!$J$8&gt;=J$5,'制度詳細'!$J$8&lt;=EOMONTH(J$5,0)),"◆","")),IF(MAX('制度詳細'!$H$8,J$5)&lt;=MIN(IF('制度詳細'!$I$8="",EOMONTH(J$5,0),'制度詳細'!$I$8),EOMONTH(J$5,0)),"■",IF(AND('制度詳細'!$J$8&lt;&gt;"",'制度詳細'!$J$8&gt;=J$5,'制度詳細'!$J$8&lt;=EOMONTH(J$5,0)),"◆","")))</x:f>
      </x:c>
      <x:c r="K8" s="57" t="str">
        <x:f>IF('制度詳細'!$H$8="",IF('制度詳細'!$J$8="","",IF(AND('制度詳細'!$J$8&gt;=K$5,'制度詳細'!$J$8&lt;=EOMONTH(K$5,0)),"◆","")),IF(MAX('制度詳細'!$H$8,K$5)&lt;=MIN(IF('制度詳細'!$I$8="",EOMONTH(K$5,0),'制度詳細'!$I$8),EOMONTH(K$5,0)),"■",IF(AND('制度詳細'!$J$8&lt;&gt;"",'制度詳細'!$J$8&gt;=K$5,'制度詳細'!$J$8&lt;=EOMONTH(K$5,0)),"◆","")))</x:f>
      </x:c>
      <x:c r="L8" s="57" t="str">
        <x:f>IF('制度詳細'!$H$8="",IF('制度詳細'!$J$8="","",IF(AND('制度詳細'!$J$8&gt;=L$5,'制度詳細'!$J$8&lt;=EOMONTH(L$5,0)),"◆","")),IF(MAX('制度詳細'!$H$8,L$5)&lt;=MIN(IF('制度詳細'!$I$8="",EOMONTH(L$5,0),'制度詳細'!$I$8),EOMONTH(L$5,0)),"■",IF(AND('制度詳細'!$J$8&lt;&gt;"",'制度詳細'!$J$8&gt;=L$5,'制度詳細'!$J$8&lt;=EOMONTH(L$5,0)),"◆","")))</x:f>
      </x:c>
      <x:c r="M8" s="57" t="str">
        <x:f>IF('制度詳細'!$H$8="",IF('制度詳細'!$J$8="","",IF(AND('制度詳細'!$J$8&gt;=M$5,'制度詳細'!$J$8&lt;=EOMONTH(M$5,0)),"◆","")),IF(MAX('制度詳細'!$H$8,M$5)&lt;=MIN(IF('制度詳細'!$I$8="",EOMONTH(M$5,0),'制度詳細'!$I$8),EOMONTH(M$5,0)),"■",IF(AND('制度詳細'!$J$8&lt;&gt;"",'制度詳細'!$J$8&gt;=M$5,'制度詳細'!$J$8&lt;=EOMONTH(M$5,0)),"◆","")))</x:f>
      </x:c>
      <x:c r="N8" s="57" t="str">
        <x:f>IF('制度詳細'!$H$8="",IF('制度詳細'!$J$8="","",IF(AND('制度詳細'!$J$8&gt;=N$5,'制度詳細'!$J$8&lt;=EOMONTH(N$5,0)),"◆","")),IF(MAX('制度詳細'!$H$8,N$5)&lt;=MIN(IF('制度詳細'!$I$8="",EOMONTH(N$5,0),'制度詳細'!$I$8),EOMONTH(N$5,0)),"■",IF(AND('制度詳細'!$J$8&lt;&gt;"",'制度詳細'!$J$8&gt;=N$5,'制度詳細'!$J$8&lt;=EOMONTH(N$5,0)),"◆","")))</x:f>
      </x:c>
      <x:c r="O8" s="57" t="str">
        <x:f>IF('制度詳細'!$H$8="",IF('制度詳細'!$J$8="","",IF(AND('制度詳細'!$J$8&gt;=O$5,'制度詳細'!$J$8&lt;=EOMONTH(O$5,0)),"◆","")),IF(MAX('制度詳細'!$H$8,O$5)&lt;=MIN(IF('制度詳細'!$I$8="",EOMONTH(O$5,0),'制度詳細'!$I$8),EOMONTH(O$5,0)),"■",IF(AND('制度詳細'!$J$8&lt;&gt;"",'制度詳細'!$J$8&gt;=O$5,'制度詳細'!$J$8&lt;=EOMONTH(O$5,0)),"◆","")))</x:f>
      </x:c>
      <x:c r="P8" s="57" t="str">
        <x:f>IF('制度詳細'!$H$8="",IF('制度詳細'!$J$8="","",IF(AND('制度詳細'!$J$8&gt;=P$5,'制度詳細'!$J$8&lt;=EOMONTH(P$5,0)),"◆","")),IF(MAX('制度詳細'!$H$8,P$5)&lt;=MIN(IF('制度詳細'!$I$8="",EOMONTH(P$5,0),'制度詳細'!$I$8),EOMONTH(P$5,0)),"■",IF(AND('制度詳細'!$J$8&lt;&gt;"",'制度詳細'!$J$8&gt;=P$5,'制度詳細'!$J$8&lt;=EOMONTH(P$5,0)),"◆","")))</x:f>
      </x:c>
      <x:c r="Q8" s="57" t="str">
        <x:f>IF('制度詳細'!$H$8="",IF('制度詳細'!$J$8="","",IF(AND('制度詳細'!$J$8&gt;=Q$5,'制度詳細'!$J$8&lt;=EOMONTH(Q$5,0)),"◆","")),IF(MAX('制度詳細'!$H$8,Q$5)&lt;=MIN(IF('制度詳細'!$I$8="",EOMONTH(Q$5,0),'制度詳細'!$I$8),EOMONTH(Q$5,0)),"■",IF(AND('制度詳細'!$J$8&lt;&gt;"",'制度詳細'!$J$8&gt;=Q$5,'制度詳細'!$J$8&lt;=EOMONTH(Q$5,0)),"◆","")))</x:f>
      </x:c>
      <x:c r="R8" s="57" t="str">
        <x:f>IF('制度詳細'!$H$8="",IF('制度詳細'!$J$8="","",IF(AND('制度詳細'!$J$8&gt;=R$5,'制度詳細'!$J$8&lt;=EOMONTH(R$5,0)),"◆","")),IF(MAX('制度詳細'!$H$8,R$5)&lt;=MIN(IF('制度詳細'!$I$8="",EOMONTH(R$5,0),'制度詳細'!$I$8),EOMONTH(R$5,0)),"■",IF(AND('制度詳細'!$J$8&lt;&gt;"",'制度詳細'!$J$8&gt;=R$5,'制度詳細'!$J$8&lt;=EOMONTH(R$5,0)),"◆","")))</x:f>
      </x:c>
      <x:c r="S8" s="57" t="str">
        <x:f>IF('制度詳細'!$H$8="",IF('制度詳細'!$J$8="","",IF(AND('制度詳細'!$J$8&gt;=S$5,'制度詳細'!$J$8&lt;=EOMONTH(S$5,0)),"◆","")),IF(MAX('制度詳細'!$H$8,S$5)&lt;=MIN(IF('制度詳細'!$I$8="",EOMONTH(S$5,0),'制度詳細'!$I$8),EOMONTH(S$5,0)),"■",IF(AND('制度詳細'!$J$8&lt;&gt;"",'制度詳細'!$J$8&gt;=S$5,'制度詳細'!$J$8&lt;=EOMONTH(S$5,0)),"◆","")))</x:f>
      </x:c>
      <x:c r="T8" s="57" t="str">
        <x:f>IF('制度詳細'!$H$8="",IF('制度詳細'!$J$8="","",IF(AND('制度詳細'!$J$8&gt;=T$5,'制度詳細'!$J$8&lt;=EOMONTH(T$5,0)),"◆","")),IF(MAX('制度詳細'!$H$8,T$5)&lt;=MIN(IF('制度詳細'!$I$8="",EOMONTH(T$5,0),'制度詳細'!$I$8),EOMONTH(T$5,0)),"■",IF(AND('制度詳細'!$J$8&lt;&gt;"",'制度詳細'!$J$8&gt;=T$5,'制度詳細'!$J$8&lt;=EOMONTH(T$5,0)),"◆","")))</x:f>
      </x:c>
      <x:c r="U8" s="57" t="str">
        <x:f>IF('制度詳細'!$H$8="",IF('制度詳細'!$J$8="","",IF(AND('制度詳細'!$J$8&gt;=U$5,'制度詳細'!$J$8&lt;=EOMONTH(U$5,0)),"◆","")),IF(MAX('制度詳細'!$H$8,U$5)&lt;=MIN(IF('制度詳細'!$I$8="",EOMONTH(U$5,0),'制度詳細'!$I$8),EOMONTH(U$5,0)),"■",IF(AND('制度詳細'!$J$8&lt;&gt;"",'制度詳細'!$J$8&gt;=U$5,'制度詳細'!$J$8&lt;=EOMONTH(U$5,0)),"◆","")))</x:f>
      </x:c>
      <x:c r="V8" s="57" t="str">
        <x:f>IF('制度詳細'!$H$8="",IF('制度詳細'!$J$8="","",IF(AND('制度詳細'!$J$8&gt;=V$5,'制度詳細'!$J$8&lt;=EOMONTH(V$5,0)),"◆","")),IF(MAX('制度詳細'!$H$8,V$5)&lt;=MIN(IF('制度詳細'!$I$8="",EOMONTH(V$5,0),'制度詳細'!$I$8),EOMONTH(V$5,0)),"■",IF(AND('制度詳細'!$J$8&lt;&gt;"",'制度詳細'!$J$8&gt;=V$5,'制度詳細'!$J$8&lt;=EOMONTH(V$5,0)),"◆","")))</x:f>
      </x:c>
      <x:c r="W8" s="57" t="str">
        <x:f>IF('制度詳細'!$H$8="",IF('制度詳細'!$J$8="","",IF(AND('制度詳細'!$J$8&gt;=W$5,'制度詳細'!$J$8&lt;=EOMONTH(W$5,0)),"◆","")),IF(MAX('制度詳細'!$H$8,W$5)&lt;=MIN(IF('制度詳細'!$I$8="",EOMONTH(W$5,0),'制度詳細'!$I$8),EOMONTH(W$5,0)),"■",IF(AND('制度詳細'!$J$8&lt;&gt;"",'制度詳細'!$J$8&gt;=W$5,'制度詳細'!$J$8&lt;=EOMONTH(W$5,0)),"◆","")))</x:f>
      </x:c>
      <x:c r="X8" s="57" t="str">
        <x:f>IF('制度詳細'!$H$8="",IF('制度詳細'!$J$8="","",IF(AND('制度詳細'!$J$8&gt;=X$5,'制度詳細'!$J$8&lt;=EOMONTH(X$5,0)),"◆","")),IF(MAX('制度詳細'!$H$8,X$5)&lt;=MIN(IF('制度詳細'!$I$8="",EOMONTH(X$5,0),'制度詳細'!$I$8),EOMONTH(X$5,0)),"■",IF(AND('制度詳細'!$J$8&lt;&gt;"",'制度詳細'!$J$8&gt;=X$5,'制度詳細'!$J$8&lt;=EOMONTH(X$5,0)),"◆","")))</x:f>
      </x:c>
      <x:c r="Y8" s="57" t="str">
        <x:f>IF('制度詳細'!$H$8="",IF('制度詳細'!$J$8="","",IF(AND('制度詳細'!$J$8&gt;=Y$5,'制度詳細'!$J$8&lt;=EOMONTH(Y$5,0)),"◆","")),IF(MAX('制度詳細'!$H$8,Y$5)&lt;=MIN(IF('制度詳細'!$I$8="",EOMONTH(Y$5,0),'制度詳細'!$I$8),EOMONTH(Y$5,0)),"■",IF(AND('制度詳細'!$J$8&lt;&gt;"",'制度詳細'!$J$8&gt;=Y$5,'制度詳細'!$J$8&lt;=EOMONTH(Y$5,0)),"◆","")))</x:f>
      </x:c>
      <x:c r="Z8" s="57" t="str">
        <x:f>IF('制度詳細'!$H$8="",IF('制度詳細'!$J$8="","",IF(AND('制度詳細'!$J$8&gt;=Z$5,'制度詳細'!$J$8&lt;=EOMONTH(Z$5,0)),"◆","")),IF(MAX('制度詳細'!$H$8,Z$5)&lt;=MIN(IF('制度詳細'!$I$8="",EOMONTH(Z$5,0),'制度詳細'!$I$8),EOMONTH(Z$5,0)),"■",IF(AND('制度詳細'!$J$8&lt;&gt;"",'制度詳細'!$J$8&gt;=Z$5,'制度詳細'!$J$8&lt;=EOMONTH(Z$5,0)),"◆","")))</x:f>
      </x:c>
      <x:c r="AA8" s="57" t="str">
        <x:f>IF('制度詳細'!$H$8="",IF('制度詳細'!$J$8="","",IF(AND('制度詳細'!$J$8&gt;=AA$5,'制度詳細'!$J$8&lt;=EOMONTH(AA$5,0)),"◆","")),IF(MAX('制度詳細'!$H$8,AA$5)&lt;=MIN(IF('制度詳細'!$I$8="",EOMONTH(AA$5,0),'制度詳細'!$I$8),EOMONTH(AA$5,0)),"■",IF(AND('制度詳細'!$J$8&lt;&gt;"",'制度詳細'!$J$8&gt;=AA$5,'制度詳細'!$J$8&lt;=EOMONTH(AA$5,0)),"◆","")))</x:f>
      </x:c>
      <x:c r="AB8" s="57" t="str">
        <x:f>IF('制度詳細'!$H$8="",IF('制度詳細'!$J$8="","",IF(AND('制度詳細'!$J$8&gt;=AB$5,'制度詳細'!$J$8&lt;=EOMONTH(AB$5,0)),"◆","")),IF(MAX('制度詳細'!$H$8,AB$5)&lt;=MIN(IF('制度詳細'!$I$8="",EOMONTH(AB$5,0),'制度詳細'!$I$8),EOMONTH(AB$5,0)),"■",IF(AND('制度詳細'!$J$8&lt;&gt;"",'制度詳細'!$J$8&gt;=AB$5,'制度詳細'!$J$8&lt;=EOMONTH(AB$5,0)),"◆","")))</x:f>
      </x:c>
      <x:c r="AC8" s="57" t="str">
        <x:f>IF('制度詳細'!$H$8="",IF('制度詳細'!$J$8="","",IF(AND('制度詳細'!$J$8&gt;=AC$5,'制度詳細'!$J$8&lt;=EOMONTH(AC$5,0)),"◆","")),IF(MAX('制度詳細'!$H$8,AC$5)&lt;=MIN(IF('制度詳細'!$I$8="",EOMONTH(AC$5,0),'制度詳細'!$I$8),EOMONTH(AC$5,0)),"■",IF(AND('制度詳細'!$J$8&lt;&gt;"",'制度詳細'!$J$8&gt;=AC$5,'制度詳細'!$J$8&lt;=EOMONTH(AC$5,0)),"◆","")))</x:f>
      </x:c>
      <x:c r="AD8" s="57" t="str">
        <x:f>IF('制度詳細'!$H$8="",IF('制度詳細'!$J$8="","",IF(AND('制度詳細'!$J$8&gt;=AD$5,'制度詳細'!$J$8&lt;=EOMONTH(AD$5,0)),"◆","")),IF(MAX('制度詳細'!$H$8,AD$5)&lt;=MIN(IF('制度詳細'!$I$8="",EOMONTH(AD$5,0),'制度詳細'!$I$8),EOMONTH(AD$5,0)),"■",IF(AND('制度詳細'!$J$8&lt;&gt;"",'制度詳細'!$J$8&gt;=AD$5,'制度詳細'!$J$8&lt;=EOMONTH(AD$5,0)),"◆","")))</x:f>
      </x:c>
      <x:c r="AE8" s="57" t="str">
        <x:f>IF('制度詳細'!$H$8="",IF('制度詳細'!$J$8="","",IF(AND('制度詳細'!$J$8&gt;=AE$5,'制度詳細'!$J$8&lt;=EOMONTH(AE$5,0)),"◆","")),IF(MAX('制度詳細'!$H$8,AE$5)&lt;=MIN(IF('制度詳細'!$I$8="",EOMONTH(AE$5,0),'制度詳細'!$I$8),EOMONTH(AE$5,0)),"■",IF(AND('制度詳細'!$J$8&lt;&gt;"",'制度詳細'!$J$8&gt;=AE$5,'制度詳細'!$J$8&lt;=EOMONTH(AE$5,0)),"◆","")))</x:f>
      </x:c>
      <x:c r="AF8" s="57" t="str">
        <x:f>IF('制度詳細'!$H$8="",IF('制度詳細'!$J$8="","",IF(AND('制度詳細'!$J$8&gt;=AF$5,'制度詳細'!$J$8&lt;=EOMONTH(AF$5,0)),"◆","")),IF(MAX('制度詳細'!$H$8,AF$5)&lt;=MIN(IF('制度詳細'!$I$8="",EOMONTH(AF$5,0),'制度詳細'!$I$8),EOMONTH(AF$5,0)),"■",IF(AND('制度詳細'!$J$8&lt;&gt;"",'制度詳細'!$J$8&gt;=AF$5,'制度詳細'!$J$8&lt;=EOMONTH(AF$5,0)),"◆","")))</x:f>
      </x:c>
      <x:c r="AG8" s="57" t="str">
        <x:f>IF('制度詳細'!$H$8="",IF('制度詳細'!$J$8="","",IF(AND('制度詳細'!$J$8&gt;=AG$5,'制度詳細'!$J$8&lt;=EOMONTH(AG$5,0)),"◆","")),IF(MAX('制度詳細'!$H$8,AG$5)&lt;=MIN(IF('制度詳細'!$I$8="",EOMONTH(AG$5,0),'制度詳細'!$I$8),EOMONTH(AG$5,0)),"■",IF(AND('制度詳細'!$J$8&lt;&gt;"",'制度詳細'!$J$8&gt;=AG$5,'制度詳細'!$J$8&lt;=EOMONTH(AG$5,0)),"◆","")))</x:f>
      </x:c>
      <x:c r="AH8" s="57" t="str">
        <x:f>IF('制度詳細'!$H$8="",IF('制度詳細'!$J$8="","",IF(AND('制度詳細'!$J$8&gt;=AH$5,'制度詳細'!$J$8&lt;=EOMONTH(AH$5,0)),"◆","")),IF(MAX('制度詳細'!$H$8,AH$5)&lt;=MIN(IF('制度詳細'!$I$8="",EOMONTH(AH$5,0),'制度詳細'!$I$8),EOMONTH(AH$5,0)),"■",IF(AND('制度詳細'!$J$8&lt;&gt;"",'制度詳細'!$J$8&gt;=AH$5,'制度詳細'!$J$8&lt;=EOMONTH(AH$5,0)),"◆","")))</x:f>
      </x:c>
      <x:c r="AI8" s="57" t="str">
        <x:f>IF('制度詳細'!$H$8="",IF('制度詳細'!$J$8="","",IF(AND('制度詳細'!$J$8&gt;=AI$5,'制度詳細'!$J$8&lt;=EOMONTH(AI$5,0)),"◆","")),IF(MAX('制度詳細'!$H$8,AI$5)&lt;=MIN(IF('制度詳細'!$I$8="",EOMONTH(AI$5,0),'制度詳細'!$I$8),EOMONTH(AI$5,0)),"■",IF(AND('制度詳細'!$J$8&lt;&gt;"",'制度詳細'!$J$8&gt;=AI$5,'制度詳細'!$J$8&lt;=EOMONTH(AI$5,0)),"◆","")))</x:f>
      </x:c>
      <x:c r="AJ8" s="57" t="str">
        <x:f>IF('制度詳細'!$H$8="",IF('制度詳細'!$J$8="","",IF(AND('制度詳細'!$J$8&gt;=AJ$5,'制度詳細'!$J$8&lt;=EOMONTH(AJ$5,0)),"◆","")),IF(MAX('制度詳細'!$H$8,AJ$5)&lt;=MIN(IF('制度詳細'!$I$8="",EOMONTH(AJ$5,0),'制度詳細'!$I$8),EOMONTH(AJ$5,0)),"■",IF(AND('制度詳細'!$J$8&lt;&gt;"",'制度詳細'!$J$8&gt;=AJ$5,'制度詳細'!$J$8&lt;=EOMONTH(AJ$5,0)),"◆","")))</x:f>
      </x:c>
      <x:c r="AK8" s="57" t="str">
        <x:f>IF('制度詳細'!$H$8="",IF('制度詳細'!$J$8="","",IF(AND('制度詳細'!$J$8&gt;=AK$5,'制度詳細'!$J$8&lt;=EOMONTH(AK$5,0)),"◆","")),IF(MAX('制度詳細'!$H$8,AK$5)&lt;=MIN(IF('制度詳細'!$I$8="",EOMONTH(AK$5,0),'制度詳細'!$I$8),EOMONTH(AK$5,0)),"■",IF(AND('制度詳細'!$J$8&lt;&gt;"",'制度詳細'!$J$8&gt;=AK$5,'制度詳細'!$J$8&lt;=EOMONTH(AK$5,0)),"◆","")))</x:f>
      </x:c>
      <x:c r="AL8" s="57" t="str">
        <x:f>IF('制度詳細'!$H$8="",IF('制度詳細'!$J$8="","",IF(AND('制度詳細'!$J$8&gt;=AL$5,'制度詳細'!$J$8&lt;=EOMONTH(AL$5,0)),"◆","")),IF(MAX('制度詳細'!$H$8,AL$5)&lt;=MIN(IF('制度詳細'!$I$8="",EOMONTH(AL$5,0),'制度詳細'!$I$8),EOMONTH(AL$5,0)),"■",IF(AND('制度詳細'!$J$8&lt;&gt;"",'制度詳細'!$J$8&gt;=AL$5,'制度詳細'!$J$8&lt;=EOMONTH(AL$5,0)),"◆","")))</x:f>
      </x:c>
      <x:c r="AM8" s="57" t="str">
        <x:f>IF('制度詳細'!$H$8="",IF('制度詳細'!$J$8="","",IF(AND('制度詳細'!$J$8&gt;=AM$5,'制度詳細'!$J$8&lt;=EOMONTH(AM$5,0)),"◆","")),IF(MAX('制度詳細'!$H$8,AM$5)&lt;=MIN(IF('制度詳細'!$I$8="",EOMONTH(AM$5,0),'制度詳細'!$I$8),EOMONTH(AM$5,0)),"■",IF(AND('制度詳細'!$J$8&lt;&gt;"",'制度詳細'!$J$8&gt;=AM$5,'制度詳細'!$J$8&lt;=EOMONTH(AM$5,0)),"◆","")))</x:f>
      </x:c>
      <x:c r="AN8" s="57" t="str">
        <x:f>IF('制度詳細'!$H$8="",IF('制度詳細'!$J$8="","",IF(AND('制度詳細'!$J$8&gt;=AN$5,'制度詳細'!$J$8&lt;=EOMONTH(AN$5,0)),"◆","")),IF(MAX('制度詳細'!$H$8,AN$5)&lt;=MIN(IF('制度詳細'!$I$8="",EOMONTH(AN$5,0),'制度詳細'!$I$8),EOMONTH(AN$5,0)),"■",IF(AND('制度詳細'!$J$8&lt;&gt;"",'制度詳細'!$J$8&gt;=AN$5,'制度詳細'!$J$8&lt;=EOMONTH(AN$5,0)),"◆","")))</x:f>
      </x:c>
      <x:c r="AO8" s="57" t="str">
        <x:f>IF('制度詳細'!$H$8="",IF('制度詳細'!$J$8="","",IF(AND('制度詳細'!$J$8&gt;=AO$5,'制度詳細'!$J$8&lt;=EOMONTH(AO$5,0)),"◆","")),IF(MAX('制度詳細'!$H$8,AO$5)&lt;=MIN(IF('制度詳細'!$I$8="",EOMONTH(AO$5,0),'制度詳細'!$I$8),EOMONTH(AO$5,0)),"■",IF(AND('制度詳細'!$J$8&lt;&gt;"",'制度詳細'!$J$8&gt;=AO$5,'制度詳細'!$J$8&lt;=EOMONTH(AO$5,0)),"◆","")))</x:f>
      </x:c>
      <x:c r="AP8" s="57" t="str">
        <x:f>IF('制度詳細'!$H$8="",IF('制度詳細'!$J$8="","",IF(AND('制度詳細'!$J$8&gt;=AP$5,'制度詳細'!$J$8&lt;=EOMONTH(AP$5,0)),"◆","")),IF(MAX('制度詳細'!$H$8,AP$5)&lt;=MIN(IF('制度詳細'!$I$8="",EOMONTH(AP$5,0),'制度詳細'!$I$8),EOMONTH(AP$5,0)),"■",IF(AND('制度詳細'!$J$8&lt;&gt;"",'制度詳細'!$J$8&gt;=AP$5,'制度詳細'!$J$8&lt;=EOMONTH(AP$5,0)),"◆","")))</x:f>
      </x:c>
      <x:c r="AQ8" s="57" t="str">
        <x:f>IF('制度詳細'!$H$8="",IF('制度詳細'!$J$8="","",IF(AND('制度詳細'!$J$8&gt;=AQ$5,'制度詳細'!$J$8&lt;=EOMONTH(AQ$5,0)),"◆","")),IF(MAX('制度詳細'!$H$8,AQ$5)&lt;=MIN(IF('制度詳細'!$I$8="",EOMONTH(AQ$5,0),'制度詳細'!$I$8),EOMONTH(AQ$5,0)),"■",IF(AND('制度詳細'!$J$8&lt;&gt;"",'制度詳細'!$J$8&gt;=AQ$5,'制度詳細'!$J$8&lt;=EOMONTH(AQ$5,0)),"◆","")))</x:f>
      </x:c>
      <x:c r="AR8" s="57" t="str">
        <x:f>IF('制度詳細'!$H$8="",IF('制度詳細'!$J$8="","",IF(AND('制度詳細'!$J$8&gt;=AR$5,'制度詳細'!$J$8&lt;=EOMONTH(AR$5,0)),"◆","")),IF(MAX('制度詳細'!$H$8,AR$5)&lt;=MIN(IF('制度詳細'!$I$8="",EOMONTH(AR$5,0),'制度詳細'!$I$8),EOMONTH(AR$5,0)),"■",IF(AND('制度詳細'!$J$8&lt;&gt;"",'制度詳細'!$J$8&gt;=AR$5,'制度詳細'!$J$8&lt;=EOMONTH(AR$5,0)),"◆","")))</x:f>
      </x:c>
      <x:c r="AS8" s="57" t="str">
        <x:f>IF('制度詳細'!$H$8="",IF('制度詳細'!$J$8="","",IF(AND('制度詳細'!$J$8&gt;=AS$5,'制度詳細'!$J$8&lt;=EOMONTH(AS$5,0)),"◆","")),IF(MAX('制度詳細'!$H$8,AS$5)&lt;=MIN(IF('制度詳細'!$I$8="",EOMONTH(AS$5,0),'制度詳細'!$I$8),EOMONTH(AS$5,0)),"■",IF(AND('制度詳細'!$J$8&lt;&gt;"",'制度詳細'!$J$8&gt;=AS$5,'制度詳細'!$J$8&lt;=EOMONTH(AS$5,0)),"◆","")))</x:f>
      </x:c>
      <x:c r="AT8" s="57" t="str">
        <x:f>IF('制度詳細'!$H$8="",IF('制度詳細'!$J$8="","",IF(AND('制度詳細'!$J$8&gt;=AT$5,'制度詳細'!$J$8&lt;=EOMONTH(AT$5,0)),"◆","")),IF(MAX('制度詳細'!$H$8,AT$5)&lt;=MIN(IF('制度詳細'!$I$8="",EOMONTH(AT$5,0),'制度詳細'!$I$8),EOMONTH(AT$5,0)),"■",IF(AND('制度詳細'!$J$8&lt;&gt;"",'制度詳細'!$J$8&gt;=AT$5,'制度詳細'!$J$8&lt;=EOMONTH(AT$5,0)),"◆","")))</x:f>
      </x:c>
      <x:c r="AU8" s="57" t="str">
        <x:f>IF('制度詳細'!$H$8="",IF('制度詳細'!$J$8="","",IF(AND('制度詳細'!$J$8&gt;=AU$5,'制度詳細'!$J$8&lt;=EOMONTH(AU$5,0)),"◆","")),IF(MAX('制度詳細'!$H$8,AU$5)&lt;=MIN(IF('制度詳細'!$I$8="",EOMONTH(AU$5,0),'制度詳細'!$I$8),EOMONTH(AU$5,0)),"■",IF(AND('制度詳細'!$J$8&lt;&gt;"",'制度詳細'!$J$8&gt;=AU$5,'制度詳細'!$J$8&lt;=EOMONTH(AU$5,0)),"◆","")))</x:f>
      </x:c>
      <x:c r="AV8" s="57" t="str">
        <x:f>IF('制度詳細'!$H$8="",IF('制度詳細'!$J$8="","",IF(AND('制度詳細'!$J$8&gt;=AV$5,'制度詳細'!$J$8&lt;=EOMONTH(AV$5,0)),"◆","")),IF(MAX('制度詳細'!$H$8,AV$5)&lt;=MIN(IF('制度詳細'!$I$8="",EOMONTH(AV$5,0),'制度詳細'!$I$8),EOMONTH(AV$5,0)),"■",IF(AND('制度詳細'!$J$8&lt;&gt;"",'制度詳細'!$J$8&gt;=AV$5,'制度詳細'!$J$8&lt;=EOMONTH(AV$5,0)),"◆","")))</x:f>
      </x:c>
      <x:c r="AW8" s="57" t="str">
        <x:f>IF('制度詳細'!$H$8="",IF('制度詳細'!$J$8="","",IF(AND('制度詳細'!$J$8&gt;=AW$5,'制度詳細'!$J$8&lt;=EOMONTH(AW$5,0)),"◆","")),IF(MAX('制度詳細'!$H$8,AW$5)&lt;=MIN(IF('制度詳細'!$I$8="",EOMONTH(AW$5,0),'制度詳細'!$I$8),EOMONTH(AW$5,0)),"■",IF(AND('制度詳細'!$J$8&lt;&gt;"",'制度詳細'!$J$8&gt;=AW$5,'制度詳細'!$J$8&lt;=EOMONTH(AW$5,0)),"◆","")))</x:f>
      </x:c>
      <x:c r="AX8" s="57" t="str">
        <x:f>IF('制度詳細'!$H$8="",IF('制度詳細'!$J$8="","",IF(AND('制度詳細'!$J$8&gt;=AX$5,'制度詳細'!$J$8&lt;=EOMONTH(AX$5,0)),"◆","")),IF(MAX('制度詳細'!$H$8,AX$5)&lt;=MIN(IF('制度詳細'!$I$8="",EOMONTH(AX$5,0),'制度詳細'!$I$8),EOMONTH(AX$5,0)),"■",IF(AND('制度詳細'!$J$8&lt;&gt;"",'制度詳細'!$J$8&gt;=AX$5,'制度詳細'!$J$8&lt;=EOMONTH(AX$5,0)),"◆","")))</x:f>
      </x:c>
      <x:c r="AY8" s="57" t="str">
        <x:f>IF('制度詳細'!$H$8="",IF('制度詳細'!$J$8="","",IF(AND('制度詳細'!$J$8&gt;=AY$5,'制度詳細'!$J$8&lt;=EOMONTH(AY$5,0)),"◆","")),IF(MAX('制度詳細'!$H$8,AY$5)&lt;=MIN(IF('制度詳細'!$I$8="",EOMONTH(AY$5,0),'制度詳細'!$I$8),EOMONTH(AY$5,0)),"■",IF(AND('制度詳細'!$J$8&lt;&gt;"",'制度詳細'!$J$8&gt;=AY$5,'制度詳細'!$J$8&lt;=EOMONTH(AY$5,0)),"◆","")))</x:f>
        <x:v>◆</x:v>
      </x:c>
      <x:c r="AZ8" s="57" t="str">
        <x:f>IF('制度詳細'!$H$8="",IF('制度詳細'!$J$8="","",IF(AND('制度詳細'!$J$8&gt;=AZ$5,'制度詳細'!$J$8&lt;=EOMONTH(AZ$5,0)),"◆","")),IF(MAX('制度詳細'!$H$8,AZ$5)&lt;=MIN(IF('制度詳細'!$I$8="",EOMONTH(AZ$5,0),'制度詳細'!$I$8),EOMONTH(AZ$5,0)),"■",IF(AND('制度詳細'!$J$8&lt;&gt;"",'制度詳細'!$J$8&gt;=AZ$5,'制度詳細'!$J$8&lt;=EOMONTH(AZ$5,0)),"◆","")))</x:f>
      </x:c>
      <x:c r="BA8" s="57" t="str">
        <x:f>IF('制度詳細'!$H$8="",IF('制度詳細'!$J$8="","",IF(AND('制度詳細'!$J$8&gt;=BA$5,'制度詳細'!$J$8&lt;=EOMONTH(BA$5,0)),"◆","")),IF(MAX('制度詳細'!$H$8,BA$5)&lt;=MIN(IF('制度詳細'!$I$8="",EOMONTH(BA$5,0),'制度詳細'!$I$8),EOMONTH(BA$5,0)),"■",IF(AND('制度詳細'!$J$8&lt;&gt;"",'制度詳細'!$J$8&gt;=BA$5,'制度詳細'!$J$8&lt;=EOMONTH(BA$5,0)),"◆","")))</x:f>
        <x:v>■</x:v>
      </x:c>
      <x:c r="BB8" s="57" t="str">
        <x:f>IF('制度詳細'!$H$8="",IF('制度詳細'!$J$8="","",IF(AND('制度詳細'!$J$8&gt;=BB$5,'制度詳細'!$J$8&lt;=EOMONTH(BB$5,0)),"◆","")),IF(MAX('制度詳細'!$H$8,BB$5)&lt;=MIN(IF('制度詳細'!$I$8="",EOMONTH(BB$5,0),'制度詳細'!$I$8),EOMONTH(BB$5,0)),"■",IF(AND('制度詳細'!$J$8&lt;&gt;"",'制度詳細'!$J$8&gt;=BB$5,'制度詳細'!$J$8&lt;=EOMONTH(BB$5,0)),"◆","")))</x:f>
        <x:v>■</x:v>
      </x:c>
      <x:c r="BC8" s="57" t="str">
        <x:f>IF('制度詳細'!$H$8="",IF('制度詳細'!$J$8="","",IF(AND('制度詳細'!$J$8&gt;=BC$5,'制度詳細'!$J$8&lt;=EOMONTH(BC$5,0)),"◆","")),IF(MAX('制度詳細'!$H$8,BC$5)&lt;=MIN(IF('制度詳細'!$I$8="",EOMONTH(BC$5,0),'制度詳細'!$I$8),EOMONTH(BC$5,0)),"■",IF(AND('制度詳細'!$J$8&lt;&gt;"",'制度詳細'!$J$8&gt;=BC$5,'制度詳細'!$J$8&lt;=EOMONTH(BC$5,0)),"◆","")))</x:f>
        <x:v>■</x:v>
      </x:c>
      <x:c r="BD8" s="57" t="str">
        <x:f>IF('制度詳細'!$H$8="",IF('制度詳細'!$J$8="","",IF(AND('制度詳細'!$J$8&gt;=BD$5,'制度詳細'!$J$8&lt;=EOMONTH(BD$5,0)),"◆","")),IF(MAX('制度詳細'!$H$8,BD$5)&lt;=MIN(IF('制度詳細'!$I$8="",EOMONTH(BD$5,0),'制度詳細'!$I$8),EOMONTH(BD$5,0)),"■",IF(AND('制度詳細'!$J$8&lt;&gt;"",'制度詳細'!$J$8&gt;=BD$5,'制度詳細'!$J$8&lt;=EOMONTH(BD$5,0)),"◆","")))</x:f>
        <x:v>■</x:v>
      </x:c>
      <x:c r="BE8" s="57" t="str">
        <x:f>IF('制度詳細'!$H$8="",IF('制度詳細'!$J$8="","",IF(AND('制度詳細'!$J$8&gt;=BE$5,'制度詳細'!$J$8&lt;=EOMONTH(BE$5,0)),"◆","")),IF(MAX('制度詳細'!$H$8,BE$5)&lt;=MIN(IF('制度詳細'!$I$8="",EOMONTH(BE$5,0),'制度詳細'!$I$8),EOMONTH(BE$5,0)),"■",IF(AND('制度詳細'!$J$8&lt;&gt;"",'制度詳細'!$J$8&gt;=BE$5,'制度詳細'!$J$8&lt;=EOMONTH(BE$5,0)),"◆","")))</x:f>
        <x:v>■</x:v>
      </x:c>
      <x:c r="BF8" s="57" t="str">
        <x:f>IF('制度詳細'!$H$8="",IF('制度詳細'!$J$8="","",IF(AND('制度詳細'!$J$8&gt;=BF$5,'制度詳細'!$J$8&lt;=EOMONTH(BF$5,0)),"◆","")),IF(MAX('制度詳細'!$H$8,BF$5)&lt;=MIN(IF('制度詳細'!$I$8="",EOMONTH(BF$5,0),'制度詳細'!$I$8),EOMONTH(BF$5,0)),"■",IF(AND('制度詳細'!$J$8&lt;&gt;"",'制度詳細'!$J$8&gt;=BF$5,'制度詳細'!$J$8&lt;=EOMONTH(BF$5,0)),"◆","")))</x:f>
        <x:v>■</x:v>
      </x:c>
      <x:c r="BG8" s="57" t="str">
        <x:f>IF('制度詳細'!$H$8="",IF('制度詳細'!$J$8="","",IF(AND('制度詳細'!$J$8&gt;=BG$5,'制度詳細'!$J$8&lt;=EOMONTH(BG$5,0)),"◆","")),IF(MAX('制度詳細'!$H$8,BG$5)&lt;=MIN(IF('制度詳細'!$I$8="",EOMONTH(BG$5,0),'制度詳細'!$I$8),EOMONTH(BG$5,0)),"■",IF(AND('制度詳細'!$J$8&lt;&gt;"",'制度詳細'!$J$8&gt;=BG$5,'制度詳細'!$J$8&lt;=EOMONTH(BG$5,0)),"◆","")))</x:f>
        <x:v>■</x:v>
      </x:c>
      <x:c r="BH8" s="57" t="str">
        <x:f>IF('制度詳細'!$H$8="",IF('制度詳細'!$J$8="","",IF(AND('制度詳細'!$J$8&gt;=BH$5,'制度詳細'!$J$8&lt;=EOMONTH(BH$5,0)),"◆","")),IF(MAX('制度詳細'!$H$8,BH$5)&lt;=MIN(IF('制度詳細'!$I$8="",EOMONTH(BH$5,0),'制度詳細'!$I$8),EOMONTH(BH$5,0)),"■",IF(AND('制度詳細'!$J$8&lt;&gt;"",'制度詳細'!$J$8&gt;=BH$5,'制度詳細'!$J$8&lt;=EOMONTH(BH$5,0)),"◆","")))</x:f>
        <x:v>■</x:v>
      </x:c>
      <x:c r="BI8" s="57" t="str">
        <x:f>IF('制度詳細'!$H$8="",IF('制度詳細'!$J$8="","",IF(AND('制度詳細'!$J$8&gt;=BI$5,'制度詳細'!$J$8&lt;=EOMONTH(BI$5,0)),"◆","")),IF(MAX('制度詳細'!$H$8,BI$5)&lt;=MIN(IF('制度詳細'!$I$8="",EOMONTH(BI$5,0),'制度詳細'!$I$8),EOMONTH(BI$5,0)),"■",IF(AND('制度詳細'!$J$8&lt;&gt;"",'制度詳細'!$J$8&gt;=BI$5,'制度詳細'!$J$8&lt;=EOMONTH(BI$5,0)),"◆","")))</x:f>
        <x:v>■</x:v>
      </x:c>
      <x:c r="BJ8" s="57" t="str">
        <x:f>IF('制度詳細'!$H$8="",IF('制度詳細'!$J$8="","",IF(AND('制度詳細'!$J$8&gt;=BJ$5,'制度詳細'!$J$8&lt;=EOMONTH(BJ$5,0)),"◆","")),IF(MAX('制度詳細'!$H$8,BJ$5)&lt;=MIN(IF('制度詳細'!$I$8="",EOMONTH(BJ$5,0),'制度詳細'!$I$8),EOMONTH(BJ$5,0)),"■",IF(AND('制度詳細'!$J$8&lt;&gt;"",'制度詳細'!$J$8&gt;=BJ$5,'制度詳細'!$J$8&lt;=EOMONTH(BJ$5,0)),"◆","")))</x:f>
        <x:v>■</x:v>
      </x:c>
      <x:c r="BK8" s="57" t="str">
        <x:f>IF('制度詳細'!$H$8="",IF('制度詳細'!$J$8="","",IF(AND('制度詳細'!$J$8&gt;=BK$5,'制度詳細'!$J$8&lt;=EOMONTH(BK$5,0)),"◆","")),IF(MAX('制度詳細'!$H$8,BK$5)&lt;=MIN(IF('制度詳細'!$I$8="",EOMONTH(BK$5,0),'制度詳細'!$I$8),EOMONTH(BK$5,0)),"■",IF(AND('制度詳細'!$J$8&lt;&gt;"",'制度詳細'!$J$8&gt;=BK$5,'制度詳細'!$J$8&lt;=EOMONTH(BK$5,0)),"◆","")))</x:f>
        <x:v>■</x:v>
      </x:c>
      <x:c r="BL8" s="57" t="str">
        <x:f>IF('制度詳細'!$H$8="",IF('制度詳細'!$J$8="","",IF(AND('制度詳細'!$J$8&gt;=BL$5,'制度詳細'!$J$8&lt;=EOMONTH(BL$5,0)),"◆","")),IF(MAX('制度詳細'!$H$8,BL$5)&lt;=MIN(IF('制度詳細'!$I$8="",EOMONTH(BL$5,0),'制度詳細'!$I$8),EOMONTH(BL$5,0)),"■",IF(AND('制度詳細'!$J$8&lt;&gt;"",'制度詳細'!$J$8&gt;=BL$5,'制度詳細'!$J$8&lt;=EOMONTH(BL$5,0)),"◆","")))</x:f>
        <x:v>■</x:v>
      </x:c>
      <x:c r="BM8" s="57" t="str">
        <x:f>IF('制度詳細'!$H$8="",IF('制度詳細'!$J$8="","",IF(AND('制度詳細'!$J$8&gt;=BM$5,'制度詳細'!$J$8&lt;=EOMONTH(BM$5,0)),"◆","")),IF(MAX('制度詳細'!$H$8,BM$5)&lt;=MIN(IF('制度詳細'!$I$8="",EOMONTH(BM$5,0),'制度詳細'!$I$8),EOMONTH(BM$5,0)),"■",IF(AND('制度詳細'!$J$8&lt;&gt;"",'制度詳細'!$J$8&gt;=BM$5,'制度詳細'!$J$8&lt;=EOMONTH(BM$5,0)),"◆","")))</x:f>
        <x:v>■</x:v>
      </x:c>
      <x:c r="BN8" s="57" t="str">
        <x:f>IF('制度詳細'!$H$8="",IF('制度詳細'!$J$8="","",IF(AND('制度詳細'!$J$8&gt;=BN$5,'制度詳細'!$J$8&lt;=EOMONTH(BN$5,0)),"◆","")),IF(MAX('制度詳細'!$H$8,BN$5)&lt;=MIN(IF('制度詳細'!$I$8="",EOMONTH(BN$5,0),'制度詳細'!$I$8),EOMONTH(BN$5,0)),"■",IF(AND('制度詳細'!$J$8&lt;&gt;"",'制度詳細'!$J$8&gt;=BN$5,'制度詳細'!$J$8&lt;=EOMONTH(BN$5,0)),"◆","")))</x:f>
        <x:v>■</x:v>
      </x:c>
      <x:c r="BO8" s="57" t="str">
        <x:f>IF('制度詳細'!$H$8="",IF('制度詳細'!$J$8="","",IF(AND('制度詳細'!$J$8&gt;=BO$5,'制度詳細'!$J$8&lt;=EOMONTH(BO$5,0)),"◆","")),IF(MAX('制度詳細'!$H$8,BO$5)&lt;=MIN(IF('制度詳細'!$I$8="",EOMONTH(BO$5,0),'制度詳細'!$I$8),EOMONTH(BO$5,0)),"■",IF(AND('制度詳細'!$J$8&lt;&gt;"",'制度詳細'!$J$8&gt;=BO$5,'制度詳細'!$J$8&lt;=EOMONTH(BO$5,0)),"◆","")))</x:f>
        <x:v>■</x:v>
      </x:c>
      <x:c r="BP8" s="57" t="str">
        <x:f>IF('制度詳細'!$H$8="",IF('制度詳細'!$J$8="","",IF(AND('制度詳細'!$J$8&gt;=BP$5,'制度詳細'!$J$8&lt;=EOMONTH(BP$5,0)),"◆","")),IF(MAX('制度詳細'!$H$8,BP$5)&lt;=MIN(IF('制度詳細'!$I$8="",EOMONTH(BP$5,0),'制度詳細'!$I$8),EOMONTH(BP$5,0)),"■",IF(AND('制度詳細'!$J$8&lt;&gt;"",'制度詳細'!$J$8&gt;=BP$5,'制度詳細'!$J$8&lt;=EOMONTH(BP$5,0)),"◆","")))</x:f>
        <x:v>■</x:v>
      </x:c>
      <x:c r="BQ8" s="57" t="str">
        <x:f>IF('制度詳細'!$H$8="",IF('制度詳細'!$J$8="","",IF(AND('制度詳細'!$J$8&gt;=BQ$5,'制度詳細'!$J$8&lt;=EOMONTH(BQ$5,0)),"◆","")),IF(MAX('制度詳細'!$H$8,BQ$5)&lt;=MIN(IF('制度詳細'!$I$8="",EOMONTH(BQ$5,0),'制度詳細'!$I$8),EOMONTH(BQ$5,0)),"■",IF(AND('制度詳細'!$J$8&lt;&gt;"",'制度詳細'!$J$8&gt;=BQ$5,'制度詳細'!$J$8&lt;=EOMONTH(BQ$5,0)),"◆","")))</x:f>
        <x:v>■</x:v>
      </x:c>
      <x:c r="BR8" s="57" t="str">
        <x:f>IF('制度詳細'!$H$8="",IF('制度詳細'!$J$8="","",IF(AND('制度詳細'!$J$8&gt;=BR$5,'制度詳細'!$J$8&lt;=EOMONTH(BR$5,0)),"◆","")),IF(MAX('制度詳細'!$H$8,BR$5)&lt;=MIN(IF('制度詳細'!$I$8="",EOMONTH(BR$5,0),'制度詳細'!$I$8),EOMONTH(BR$5,0)),"■",IF(AND('制度詳細'!$J$8&lt;&gt;"",'制度詳細'!$J$8&gt;=BR$5,'制度詳細'!$J$8&lt;=EOMONTH(BR$5,0)),"◆","")))</x:f>
        <x:v>■</x:v>
      </x:c>
      <x:c r="BS8" s="57" t="str">
        <x:f>IF('制度詳細'!$H$8="",IF('制度詳細'!$J$8="","",IF(AND('制度詳細'!$J$8&gt;=BS$5,'制度詳細'!$J$8&lt;=EOMONTH(BS$5,0)),"◆","")),IF(MAX('制度詳細'!$H$8,BS$5)&lt;=MIN(IF('制度詳細'!$I$8="",EOMONTH(BS$5,0),'制度詳細'!$I$8),EOMONTH(BS$5,0)),"■",IF(AND('制度詳細'!$J$8&lt;&gt;"",'制度詳細'!$J$8&gt;=BS$5,'制度詳細'!$J$8&lt;=EOMONTH(BS$5,0)),"◆","")))</x:f>
        <x:v>■</x:v>
      </x:c>
      <x:c r="BT8" s="57" t="str">
        <x:f>IF('制度詳細'!$H$8="",IF('制度詳細'!$J$8="","",IF(AND('制度詳細'!$J$8&gt;=BT$5,'制度詳細'!$J$8&lt;=EOMONTH(BT$5,0)),"◆","")),IF(MAX('制度詳細'!$H$8,BT$5)&lt;=MIN(IF('制度詳細'!$I$8="",EOMONTH(BT$5,0),'制度詳細'!$I$8),EOMONTH(BT$5,0)),"■",IF(AND('制度詳細'!$J$8&lt;&gt;"",'制度詳細'!$J$8&gt;=BT$5,'制度詳細'!$J$8&lt;=EOMONTH(BT$5,0)),"◆","")))</x:f>
        <x:v>■</x:v>
      </x:c>
      <x:c r="BU8" s="57" t="str">
        <x:f>IF('制度詳細'!$H$8="",IF('制度詳細'!$J$8="","",IF(AND('制度詳細'!$J$8&gt;=BU$5,'制度詳細'!$J$8&lt;=EOMONTH(BU$5,0)),"◆","")),IF(MAX('制度詳細'!$H$8,BU$5)&lt;=MIN(IF('制度詳細'!$I$8="",EOMONTH(BU$5,0),'制度詳細'!$I$8),EOMONTH(BU$5,0)),"■",IF(AND('制度詳細'!$J$8&lt;&gt;"",'制度詳細'!$J$8&gt;=BU$5,'制度詳細'!$J$8&lt;=EOMONTH(BU$5,0)),"◆","")))</x:f>
        <x:v>■</x:v>
      </x:c>
      <x:c r="BV8" s="57" t="str">
        <x:f>IF('制度詳細'!$H$8="",IF('制度詳細'!$J$8="","",IF(AND('制度詳細'!$J$8&gt;=BV$5,'制度詳細'!$J$8&lt;=EOMONTH(BV$5,0)),"◆","")),IF(MAX('制度詳細'!$H$8,BV$5)&lt;=MIN(IF('制度詳細'!$I$8="",EOMONTH(BV$5,0),'制度詳細'!$I$8),EOMONTH(BV$5,0)),"■",IF(AND('制度詳細'!$J$8&lt;&gt;"",'制度詳細'!$J$8&gt;=BV$5,'制度詳細'!$J$8&lt;=EOMONTH(BV$5,0)),"◆","")))</x:f>
        <x:v>■</x:v>
      </x:c>
      <x:c r="BW8" s="57" t="str">
        <x:f>IF('制度詳細'!$H$8="",IF('制度詳細'!$J$8="","",IF(AND('制度詳細'!$J$8&gt;=BW$5,'制度詳細'!$J$8&lt;=EOMONTH(BW$5,0)),"◆","")),IF(MAX('制度詳細'!$H$8,BW$5)&lt;=MIN(IF('制度詳細'!$I$8="",EOMONTH(BW$5,0),'制度詳細'!$I$8),EOMONTH(BW$5,0)),"■",IF(AND('制度詳細'!$J$8&lt;&gt;"",'制度詳細'!$J$8&gt;=BW$5,'制度詳細'!$J$8&lt;=EOMONTH(BW$5,0)),"◆","")))</x:f>
        <x:v>■</x:v>
      </x:c>
      <x:c r="BX8" s="57" t="str">
        <x:f>IF('制度詳細'!$H$8="",IF('制度詳細'!$J$8="","",IF(AND('制度詳細'!$J$8&gt;=BX$5,'制度詳細'!$J$8&lt;=EOMONTH(BX$5,0)),"◆","")),IF(MAX('制度詳細'!$H$8,BX$5)&lt;=MIN(IF('制度詳細'!$I$8="",EOMONTH(BX$5,0),'制度詳細'!$I$8),EOMONTH(BX$5,0)),"■",IF(AND('制度詳細'!$J$8&lt;&gt;"",'制度詳細'!$J$8&gt;=BX$5,'制度詳細'!$J$8&lt;=EOMONTH(BX$5,0)),"◆","")))</x:f>
        <x:v>■</x:v>
      </x:c>
      <x:c r="BY8" s="57" t="str">
        <x:f>IF('制度詳細'!$H$8="",IF('制度詳細'!$J$8="","",IF(AND('制度詳細'!$J$8&gt;=BY$5,'制度詳細'!$J$8&lt;=EOMONTH(BY$5,0)),"◆","")),IF(MAX('制度詳細'!$H$8,BY$5)&lt;=MIN(IF('制度詳細'!$I$8="",EOMONTH(BY$5,0),'制度詳細'!$I$8),EOMONTH(BY$5,0)),"■",IF(AND('制度詳細'!$J$8&lt;&gt;"",'制度詳細'!$J$8&gt;=BY$5,'制度詳細'!$J$8&lt;=EOMONTH(BY$5,0)),"◆","")))</x:f>
        <x:v>■</x:v>
      </x:c>
      <x:c r="BZ8" s="57" t="str">
        <x:f>IF('制度詳細'!$H$8="",IF('制度詳細'!$J$8="","",IF(AND('制度詳細'!$J$8&gt;=BZ$5,'制度詳細'!$J$8&lt;=EOMONTH(BZ$5,0)),"◆","")),IF(MAX('制度詳細'!$H$8,BZ$5)&lt;=MIN(IF('制度詳細'!$I$8="",EOMONTH(BZ$5,0),'制度詳細'!$I$8),EOMONTH(BZ$5,0)),"■",IF(AND('制度詳細'!$J$8&lt;&gt;"",'制度詳細'!$J$8&gt;=BZ$5,'制度詳細'!$J$8&lt;=EOMONTH(BZ$5,0)),"◆","")))</x:f>
        <x:v>■</x:v>
      </x:c>
      <x:c r="CA8" s="57" t="str">
        <x:f>IF('制度詳細'!$H$8="",IF('制度詳細'!$J$8="","",IF(AND('制度詳細'!$J$8&gt;=CA$5,'制度詳細'!$J$8&lt;=EOMONTH(CA$5,0)),"◆","")),IF(MAX('制度詳細'!$H$8,CA$5)&lt;=MIN(IF('制度詳細'!$I$8="",EOMONTH(CA$5,0),'制度詳細'!$I$8),EOMONTH(CA$5,0)),"■",IF(AND('制度詳細'!$J$8&lt;&gt;"",'制度詳細'!$J$8&gt;=CA$5,'制度詳細'!$J$8&lt;=EOMONTH(CA$5,0)),"◆","")))</x:f>
        <x:v>■</x:v>
      </x:c>
      <x:c r="CB8" s="57" t="str">
        <x:f>IF('制度詳細'!$H$8="",IF('制度詳細'!$J$8="","",IF(AND('制度詳細'!$J$8&gt;=CB$5,'制度詳細'!$J$8&lt;=EOMONTH(CB$5,0)),"◆","")),IF(MAX('制度詳細'!$H$8,CB$5)&lt;=MIN(IF('制度詳細'!$I$8="",EOMONTH(CB$5,0),'制度詳細'!$I$8),EOMONTH(CB$5,0)),"■",IF(AND('制度詳細'!$J$8&lt;&gt;"",'制度詳細'!$J$8&gt;=CB$5,'制度詳細'!$J$8&lt;=EOMONTH(CB$5,0)),"◆","")))</x:f>
        <x:v>■</x:v>
      </x:c>
      <x:c r="CC8" s="57" t="str">
        <x:f>IF('制度詳細'!$H$8="",IF('制度詳細'!$J$8="","",IF(AND('制度詳細'!$J$8&gt;=CC$5,'制度詳細'!$J$8&lt;=EOMONTH(CC$5,0)),"◆","")),IF(MAX('制度詳細'!$H$8,CC$5)&lt;=MIN(IF('制度詳細'!$I$8="",EOMONTH(CC$5,0),'制度詳細'!$I$8),EOMONTH(CC$5,0)),"■",IF(AND('制度詳細'!$J$8&lt;&gt;"",'制度詳細'!$J$8&gt;=CC$5,'制度詳細'!$J$8&lt;=EOMONTH(CC$5,0)),"◆","")))</x:f>
        <x:v>■</x:v>
      </x:c>
      <x:c r="CD8" s="57" t="str">
        <x:f>IF('制度詳細'!$H$8="",IF('制度詳細'!$J$8="","",IF(AND('制度詳細'!$J$8&gt;=CD$5,'制度詳細'!$J$8&lt;=EOMONTH(CD$5,0)),"◆","")),IF(MAX('制度詳細'!$H$8,CD$5)&lt;=MIN(IF('制度詳細'!$I$8="",EOMONTH(CD$5,0),'制度詳細'!$I$8),EOMONTH(CD$5,0)),"■",IF(AND('制度詳細'!$J$8&lt;&gt;"",'制度詳細'!$J$8&gt;=CD$5,'制度詳細'!$J$8&lt;=EOMONTH(CD$5,0)),"◆","")))</x:f>
        <x:v>■</x:v>
      </x:c>
      <x:c r="CE8" s="57" t="str">
        <x:f>IF('制度詳細'!$H$8="",IF('制度詳細'!$J$8="","",IF(AND('制度詳細'!$J$8&gt;=CE$5,'制度詳細'!$J$8&lt;=EOMONTH(CE$5,0)),"◆","")),IF(MAX('制度詳細'!$H$8,CE$5)&lt;=MIN(IF('制度詳細'!$I$8="",EOMONTH(CE$5,0),'制度詳細'!$I$8),EOMONTH(CE$5,0)),"■",IF(AND('制度詳細'!$J$8&lt;&gt;"",'制度詳細'!$J$8&gt;=CE$5,'制度詳細'!$J$8&lt;=EOMONTH(CE$5,0)),"◆","")))</x:f>
        <x:v>■</x:v>
      </x:c>
      <x:c r="CF8" s="57" t="str">
        <x:f>IF('制度詳細'!$H$8="",IF('制度詳細'!$J$8="","",IF(AND('制度詳細'!$J$8&gt;=CF$5,'制度詳細'!$J$8&lt;=EOMONTH(CF$5,0)),"◆","")),IF(MAX('制度詳細'!$H$8,CF$5)&lt;=MIN(IF('制度詳細'!$I$8="",EOMONTH(CF$5,0),'制度詳細'!$I$8),EOMONTH(CF$5,0)),"■",IF(AND('制度詳細'!$J$8&lt;&gt;"",'制度詳細'!$J$8&gt;=CF$5,'制度詳細'!$J$8&lt;=EOMONTH(CF$5,0)),"◆","")))</x:f>
        <x:v>■</x:v>
      </x:c>
      <x:c r="CG8" s="57" t="str">
        <x:f>IF('制度詳細'!$H$8="",IF('制度詳細'!$J$8="","",IF(AND('制度詳細'!$J$8&gt;=CG$5,'制度詳細'!$J$8&lt;=EOMONTH(CG$5,0)),"◆","")),IF(MAX('制度詳細'!$H$8,CG$5)&lt;=MIN(IF('制度詳細'!$I$8="",EOMONTH(CG$5,0),'制度詳細'!$I$8),EOMONTH(CG$5,0)),"■",IF(AND('制度詳細'!$J$8&lt;&gt;"",'制度詳細'!$J$8&gt;=CG$5,'制度詳細'!$J$8&lt;=EOMONTH(CG$5,0)),"◆","")))</x:f>
        <x:v>■</x:v>
      </x:c>
      <x:c r="CH8" s="57" t="str">
        <x:f>IF('制度詳細'!$H$8="",IF('制度詳細'!$J$8="","",IF(AND('制度詳細'!$J$8&gt;=CH$5,'制度詳細'!$J$8&lt;=EOMONTH(CH$5,0)),"◆","")),IF(MAX('制度詳細'!$H$8,CH$5)&lt;=MIN(IF('制度詳細'!$I$8="",EOMONTH(CH$5,0),'制度詳細'!$I$8),EOMONTH(CH$5,0)),"■",IF(AND('制度詳細'!$J$8&lt;&gt;"",'制度詳細'!$J$8&gt;=CH$5,'制度詳細'!$J$8&lt;=EOMONTH(CH$5,0)),"◆","")))</x:f>
        <x:v>■</x:v>
      </x:c>
      <x:c r="CI8" s="57" t="str">
        <x:f>IF('制度詳細'!$H$8="",IF('制度詳細'!$J$8="","",IF(AND('制度詳細'!$J$8&gt;=CI$5,'制度詳細'!$J$8&lt;=EOMONTH(CI$5,0)),"◆","")),IF(MAX('制度詳細'!$H$8,CI$5)&lt;=MIN(IF('制度詳細'!$I$8="",EOMONTH(CI$5,0),'制度詳細'!$I$8),EOMONTH(CI$5,0)),"■",IF(AND('制度詳細'!$J$8&lt;&gt;"",'制度詳細'!$J$8&gt;=CI$5,'制度詳細'!$J$8&lt;=EOMONTH(CI$5,0)),"◆","")))</x:f>
        <x:v>■</x:v>
      </x:c>
      <x:c r="CJ8" s="57" t="str">
        <x:f>IF('制度詳細'!$H$8="",IF('制度詳細'!$J$8="","",IF(AND('制度詳細'!$J$8&gt;=CJ$5,'制度詳細'!$J$8&lt;=EOMONTH(CJ$5,0)),"◆","")),IF(MAX('制度詳細'!$H$8,CJ$5)&lt;=MIN(IF('制度詳細'!$I$8="",EOMONTH(CJ$5,0),'制度詳細'!$I$8),EOMONTH(CJ$5,0)),"■",IF(AND('制度詳細'!$J$8&lt;&gt;"",'制度詳細'!$J$8&gt;=CJ$5,'制度詳細'!$J$8&lt;=EOMONTH(CJ$5,0)),"◆","")))</x:f>
        <x:v>■</x:v>
      </x:c>
      <x:c r="CK8" s="57" t="str">
        <x:f>IF('制度詳細'!$H$8="",IF('制度詳細'!$J$8="","",IF(AND('制度詳細'!$J$8&gt;=CK$5,'制度詳細'!$J$8&lt;=EOMONTH(CK$5,0)),"◆","")),IF(MAX('制度詳細'!$H$8,CK$5)&lt;=MIN(IF('制度詳細'!$I$8="",EOMONTH(CK$5,0),'制度詳細'!$I$8),EOMONTH(CK$5,0)),"■",IF(AND('制度詳細'!$J$8&lt;&gt;"",'制度詳細'!$J$8&gt;=CK$5,'制度詳細'!$J$8&lt;=EOMONTH(CK$5,0)),"◆","")))</x:f>
        <x:v>■</x:v>
      </x:c>
      <x:c r="CL8" s="57" t="str">
        <x:f>IF('制度詳細'!$H$8="",IF('制度詳細'!$J$8="","",IF(AND('制度詳細'!$J$8&gt;=CL$5,'制度詳細'!$J$8&lt;=EOMONTH(CL$5,0)),"◆","")),IF(MAX('制度詳細'!$H$8,CL$5)&lt;=MIN(IF('制度詳細'!$I$8="",EOMONTH(CL$5,0),'制度詳細'!$I$8),EOMONTH(CL$5,0)),"■",IF(AND('制度詳細'!$J$8&lt;&gt;"",'制度詳細'!$J$8&gt;=CL$5,'制度詳細'!$J$8&lt;=EOMONTH(CL$5,0)),"◆","")))</x:f>
        <x:v>■</x:v>
      </x:c>
      <x:c r="CM8" s="57" t="str">
        <x:f>IF('制度詳細'!$H$8="",IF('制度詳細'!$J$8="","",IF(AND('制度詳細'!$J$8&gt;=CM$5,'制度詳細'!$J$8&lt;=EOMONTH(CM$5,0)),"◆","")),IF(MAX('制度詳細'!$H$8,CM$5)&lt;=MIN(IF('制度詳細'!$I$8="",EOMONTH(CM$5,0),'制度詳細'!$I$8),EOMONTH(CM$5,0)),"■",IF(AND('制度詳細'!$J$8&lt;&gt;"",'制度詳細'!$J$8&gt;=CM$5,'制度詳細'!$J$8&lt;=EOMONTH(CM$5,0)),"◆","")))</x:f>
        <x:v>■</x:v>
      </x:c>
      <x:c r="CN8" s="57" t="str">
        <x:f>IF('制度詳細'!$H$8="",IF('制度詳細'!$J$8="","",IF(AND('制度詳細'!$J$8&gt;=CN$5,'制度詳細'!$J$8&lt;=EOMONTH(CN$5,0)),"◆","")),IF(MAX('制度詳細'!$H$8,CN$5)&lt;=MIN(IF('制度詳細'!$I$8="",EOMONTH(CN$5,0),'制度詳細'!$I$8),EOMONTH(CN$5,0)),"■",IF(AND('制度詳細'!$J$8&lt;&gt;"",'制度詳細'!$J$8&gt;=CN$5,'制度詳細'!$J$8&lt;=EOMONTH(CN$5,0)),"◆","")))</x:f>
        <x:v>■</x:v>
      </x:c>
      <x:c r="CO8" s="57" t="str">
        <x:f>IF('制度詳細'!$H$8="",IF('制度詳細'!$J$8="","",IF(AND('制度詳細'!$J$8&gt;=CO$5,'制度詳細'!$J$8&lt;=EOMONTH(CO$5,0)),"◆","")),IF(MAX('制度詳細'!$H$8,CO$5)&lt;=MIN(IF('制度詳細'!$I$8="",EOMONTH(CO$5,0),'制度詳細'!$I$8),EOMONTH(CO$5,0)),"■",IF(AND('制度詳細'!$J$8&lt;&gt;"",'制度詳細'!$J$8&gt;=CO$5,'制度詳細'!$J$8&lt;=EOMONTH(CO$5,0)),"◆","")))</x:f>
        <x:v>■</x:v>
      </x:c>
      <x:c r="CP8" s="57" t="str">
        <x:f>IF('制度詳細'!$H$8="",IF('制度詳細'!$J$8="","",IF(AND('制度詳細'!$J$8&gt;=CP$5,'制度詳細'!$J$8&lt;=EOMONTH(CP$5,0)),"◆","")),IF(MAX('制度詳細'!$H$8,CP$5)&lt;=MIN(IF('制度詳細'!$I$8="",EOMONTH(CP$5,0),'制度詳細'!$I$8),EOMONTH(CP$5,0)),"■",IF(AND('制度詳細'!$J$8&lt;&gt;"",'制度詳細'!$J$8&gt;=CP$5,'制度詳細'!$J$8&lt;=EOMONTH(CP$5,0)),"◆","")))</x:f>
        <x:v>■</x:v>
      </x:c>
      <x:c r="CQ8" s="57" t="str">
        <x:f>IF('制度詳細'!$H$8="",IF('制度詳細'!$J$8="","",IF(AND('制度詳細'!$J$8&gt;=CQ$5,'制度詳細'!$J$8&lt;=EOMONTH(CQ$5,0)),"◆","")),IF(MAX('制度詳細'!$H$8,CQ$5)&lt;=MIN(IF('制度詳細'!$I$8="",EOMONTH(CQ$5,0),'制度詳細'!$I$8),EOMONTH(CQ$5,0)),"■",IF(AND('制度詳細'!$J$8&lt;&gt;"",'制度詳細'!$J$8&gt;=CQ$5,'制度詳細'!$J$8&lt;=EOMONTH(CQ$5,0)),"◆","")))</x:f>
        <x:v>■</x:v>
      </x:c>
      <x:c r="CR8" s="57" t="str">
        <x:f>IF('制度詳細'!$H$8="",IF('制度詳細'!$J$8="","",IF(AND('制度詳細'!$J$8&gt;=CR$5,'制度詳細'!$J$8&lt;=EOMONTH(CR$5,0)),"◆","")),IF(MAX('制度詳細'!$H$8,CR$5)&lt;=MIN(IF('制度詳細'!$I$8="",EOMONTH(CR$5,0),'制度詳細'!$I$8),EOMONTH(CR$5,0)),"■",IF(AND('制度詳細'!$J$8&lt;&gt;"",'制度詳細'!$J$8&gt;=CR$5,'制度詳細'!$J$8&lt;=EOMONTH(CR$5,0)),"◆","")))</x:f>
        <x:v>■</x:v>
      </x:c>
      <x:c r="CS8" s="57" t="str">
        <x:f>IF('制度詳細'!$H$8="",IF('制度詳細'!$J$8="","",IF(AND('制度詳細'!$J$8&gt;=CS$5,'制度詳細'!$J$8&lt;=EOMONTH(CS$5,0)),"◆","")),IF(MAX('制度詳細'!$H$8,CS$5)&lt;=MIN(IF('制度詳細'!$I$8="",EOMONTH(CS$5,0),'制度詳細'!$I$8),EOMONTH(CS$5,0)),"■",IF(AND('制度詳細'!$J$8&lt;&gt;"",'制度詳細'!$J$8&gt;=CS$5,'制度詳細'!$J$8&lt;=EOMONTH(CS$5,0)),"◆","")))</x:f>
        <x:v>■</x:v>
      </x:c>
      <x:c r="CT8" s="57" t="str">
        <x:f>IF('制度詳細'!$H$8="",IF('制度詳細'!$J$8="","",IF(AND('制度詳細'!$J$8&gt;=CT$5,'制度詳細'!$J$8&lt;=EOMONTH(CT$5,0)),"◆","")),IF(MAX('制度詳細'!$H$8,CT$5)&lt;=MIN(IF('制度詳細'!$I$8="",EOMONTH(CT$5,0),'制度詳細'!$I$8),EOMONTH(CT$5,0)),"■",IF(AND('制度詳細'!$J$8&lt;&gt;"",'制度詳細'!$J$8&gt;=CT$5,'制度詳細'!$J$8&lt;=EOMONTH(CT$5,0)),"◆","")))</x:f>
        <x:v>■</x:v>
      </x:c>
      <x:c r="CU8" s="57" t="str">
        <x:f>IF('制度詳細'!$H$8="",IF('制度詳細'!$J$8="","",IF(AND('制度詳細'!$J$8&gt;=CU$5,'制度詳細'!$J$8&lt;=EOMONTH(CU$5,0)),"◆","")),IF(MAX('制度詳細'!$H$8,CU$5)&lt;=MIN(IF('制度詳細'!$I$8="",EOMONTH(CU$5,0),'制度詳細'!$I$8),EOMONTH(CU$5,0)),"■",IF(AND('制度詳細'!$J$8&lt;&gt;"",'制度詳細'!$J$8&gt;=CU$5,'制度詳細'!$J$8&lt;=EOMONTH(CU$5,0)),"◆","")))</x:f>
        <x:v>■</x:v>
      </x:c>
      <x:c r="CV8" s="57" t="str">
        <x:f>IF('制度詳細'!$H$8="",IF('制度詳細'!$J$8="","",IF(AND('制度詳細'!$J$8&gt;=CV$5,'制度詳細'!$J$8&lt;=EOMONTH(CV$5,0)),"◆","")),IF(MAX('制度詳細'!$H$8,CV$5)&lt;=MIN(IF('制度詳細'!$I$8="",EOMONTH(CV$5,0),'制度詳細'!$I$8),EOMONTH(CV$5,0)),"■",IF(AND('制度詳細'!$J$8&lt;&gt;"",'制度詳細'!$J$8&gt;=CV$5,'制度詳細'!$J$8&lt;=EOMONTH(CV$5,0)),"◆","")))</x:f>
        <x:v>■</x:v>
      </x:c>
      <x:c r="CW8" s="1"/>
      <x:c r="CX8" s="1"/>
      <x:c r="CY8" s="1"/>
      <x:c r="CZ8" s="1"/>
      <x:c r="DA8" s="1"/>
      <x:c r="DB8" s="1"/>
      <x:c r="DC8" s="1"/>
      <x:c r="DD8" s="1"/>
    </x:row>
    <x:row r="9" ht="27" customHeight="1">
      <x:c r="A9" s="58" t="str">
        <x:v>TH04</x:v>
      </x:c>
      <x:c r="B9" s="58" t="str">
        <x:v>タイ</x:v>
      </x:c>
      <x:c r="C9" s="58" t="str">
        <x:v>EV3.5：CBU輸入軽減</x:v>
      </x:c>
      <x:c r="D9" s="58" t="str">
        <x:v>BEV</x:v>
      </x:c>
      <x:c r="E9" s="57" t="str">
        <x:f>IF('制度詳細'!$H$9="",IF('制度詳細'!$J$9="","",IF(AND('制度詳細'!$J$9&gt;=E$5,'制度詳細'!$J$9&lt;=EOMONTH(E$5,0)),"◆","")),IF(MAX('制度詳細'!$H$9,E$5)&lt;=MIN(IF('制度詳細'!$I$9="",EOMONTH(E$5,0),'制度詳細'!$I$9),EOMONTH(E$5,0)),"■",IF(AND('制度詳細'!$J$9&lt;&gt;"",'制度詳細'!$J$9&gt;=E$5,'制度詳細'!$J$9&lt;=EOMONTH(E$5,0)),"◆","")))</x:f>
      </x:c>
      <x:c r="F9" s="57" t="str">
        <x:f>IF('制度詳細'!$H$9="",IF('制度詳細'!$J$9="","",IF(AND('制度詳細'!$J$9&gt;=F$5,'制度詳細'!$J$9&lt;=EOMONTH(F$5,0)),"◆","")),IF(MAX('制度詳細'!$H$9,F$5)&lt;=MIN(IF('制度詳細'!$I$9="",EOMONTH(F$5,0),'制度詳細'!$I$9),EOMONTH(F$5,0)),"■",IF(AND('制度詳細'!$J$9&lt;&gt;"",'制度詳細'!$J$9&gt;=F$5,'制度詳細'!$J$9&lt;=EOMONTH(F$5,0)),"◆","")))</x:f>
      </x:c>
      <x:c r="G9" s="57" t="str">
        <x:f>IF('制度詳細'!$H$9="",IF('制度詳細'!$J$9="","",IF(AND('制度詳細'!$J$9&gt;=G$5,'制度詳細'!$J$9&lt;=EOMONTH(G$5,0)),"◆","")),IF(MAX('制度詳細'!$H$9,G$5)&lt;=MIN(IF('制度詳細'!$I$9="",EOMONTH(G$5,0),'制度詳細'!$I$9),EOMONTH(G$5,0)),"■",IF(AND('制度詳細'!$J$9&lt;&gt;"",'制度詳細'!$J$9&gt;=G$5,'制度詳細'!$J$9&lt;=EOMONTH(G$5,0)),"◆","")))</x:f>
      </x:c>
      <x:c r="H9" s="57" t="str">
        <x:f>IF('制度詳細'!$H$9="",IF('制度詳細'!$J$9="","",IF(AND('制度詳細'!$J$9&gt;=H$5,'制度詳細'!$J$9&lt;=EOMONTH(H$5,0)),"◆","")),IF(MAX('制度詳細'!$H$9,H$5)&lt;=MIN(IF('制度詳細'!$I$9="",EOMONTH(H$5,0),'制度詳細'!$I$9),EOMONTH(H$5,0)),"■",IF(AND('制度詳細'!$J$9&lt;&gt;"",'制度詳細'!$J$9&gt;=H$5,'制度詳細'!$J$9&lt;=EOMONTH(H$5,0)),"◆","")))</x:f>
      </x:c>
      <x:c r="I9" s="57" t="str">
        <x:f>IF('制度詳細'!$H$9="",IF('制度詳細'!$J$9="","",IF(AND('制度詳細'!$J$9&gt;=I$5,'制度詳細'!$J$9&lt;=EOMONTH(I$5,0)),"◆","")),IF(MAX('制度詳細'!$H$9,I$5)&lt;=MIN(IF('制度詳細'!$I$9="",EOMONTH(I$5,0),'制度詳細'!$I$9),EOMONTH(I$5,0)),"■",IF(AND('制度詳細'!$J$9&lt;&gt;"",'制度詳細'!$J$9&gt;=I$5,'制度詳細'!$J$9&lt;=EOMONTH(I$5,0)),"◆","")))</x:f>
      </x:c>
      <x:c r="J9" s="57" t="str">
        <x:f>IF('制度詳細'!$H$9="",IF('制度詳細'!$J$9="","",IF(AND('制度詳細'!$J$9&gt;=J$5,'制度詳細'!$J$9&lt;=EOMONTH(J$5,0)),"◆","")),IF(MAX('制度詳細'!$H$9,J$5)&lt;=MIN(IF('制度詳細'!$I$9="",EOMONTH(J$5,0),'制度詳細'!$I$9),EOMONTH(J$5,0)),"■",IF(AND('制度詳細'!$J$9&lt;&gt;"",'制度詳細'!$J$9&gt;=J$5,'制度詳細'!$J$9&lt;=EOMONTH(J$5,0)),"◆","")))</x:f>
      </x:c>
      <x:c r="K9" s="57" t="str">
        <x:f>IF('制度詳細'!$H$9="",IF('制度詳細'!$J$9="","",IF(AND('制度詳細'!$J$9&gt;=K$5,'制度詳細'!$J$9&lt;=EOMONTH(K$5,0)),"◆","")),IF(MAX('制度詳細'!$H$9,K$5)&lt;=MIN(IF('制度詳細'!$I$9="",EOMONTH(K$5,0),'制度詳細'!$I$9),EOMONTH(K$5,0)),"■",IF(AND('制度詳細'!$J$9&lt;&gt;"",'制度詳細'!$J$9&gt;=K$5,'制度詳細'!$J$9&lt;=EOMONTH(K$5,0)),"◆","")))</x:f>
      </x:c>
      <x:c r="L9" s="57" t="str">
        <x:f>IF('制度詳細'!$H$9="",IF('制度詳細'!$J$9="","",IF(AND('制度詳細'!$J$9&gt;=L$5,'制度詳細'!$J$9&lt;=EOMONTH(L$5,0)),"◆","")),IF(MAX('制度詳細'!$H$9,L$5)&lt;=MIN(IF('制度詳細'!$I$9="",EOMONTH(L$5,0),'制度詳細'!$I$9),EOMONTH(L$5,0)),"■",IF(AND('制度詳細'!$J$9&lt;&gt;"",'制度詳細'!$J$9&gt;=L$5,'制度詳細'!$J$9&lt;=EOMONTH(L$5,0)),"◆","")))</x:f>
      </x:c>
      <x:c r="M9" s="57" t="str">
        <x:f>IF('制度詳細'!$H$9="",IF('制度詳細'!$J$9="","",IF(AND('制度詳細'!$J$9&gt;=M$5,'制度詳細'!$J$9&lt;=EOMONTH(M$5,0)),"◆","")),IF(MAX('制度詳細'!$H$9,M$5)&lt;=MIN(IF('制度詳細'!$I$9="",EOMONTH(M$5,0),'制度詳細'!$I$9),EOMONTH(M$5,0)),"■",IF(AND('制度詳細'!$J$9&lt;&gt;"",'制度詳細'!$J$9&gt;=M$5,'制度詳細'!$J$9&lt;=EOMONTH(M$5,0)),"◆","")))</x:f>
      </x:c>
      <x:c r="N9" s="57" t="str">
        <x:f>IF('制度詳細'!$H$9="",IF('制度詳細'!$J$9="","",IF(AND('制度詳細'!$J$9&gt;=N$5,'制度詳細'!$J$9&lt;=EOMONTH(N$5,0)),"◆","")),IF(MAX('制度詳細'!$H$9,N$5)&lt;=MIN(IF('制度詳細'!$I$9="",EOMONTH(N$5,0),'制度詳細'!$I$9),EOMONTH(N$5,0)),"■",IF(AND('制度詳細'!$J$9&lt;&gt;"",'制度詳細'!$J$9&gt;=N$5,'制度詳細'!$J$9&lt;=EOMONTH(N$5,0)),"◆","")))</x:f>
      </x:c>
      <x:c r="O9" s="57" t="str">
        <x:f>IF('制度詳細'!$H$9="",IF('制度詳細'!$J$9="","",IF(AND('制度詳細'!$J$9&gt;=O$5,'制度詳細'!$J$9&lt;=EOMONTH(O$5,0)),"◆","")),IF(MAX('制度詳細'!$H$9,O$5)&lt;=MIN(IF('制度詳細'!$I$9="",EOMONTH(O$5,0),'制度詳細'!$I$9),EOMONTH(O$5,0)),"■",IF(AND('制度詳細'!$J$9&lt;&gt;"",'制度詳細'!$J$9&gt;=O$5,'制度詳細'!$J$9&lt;=EOMONTH(O$5,0)),"◆","")))</x:f>
      </x:c>
      <x:c r="P9" s="57" t="str">
        <x:f>IF('制度詳細'!$H$9="",IF('制度詳細'!$J$9="","",IF(AND('制度詳細'!$J$9&gt;=P$5,'制度詳細'!$J$9&lt;=EOMONTH(P$5,0)),"◆","")),IF(MAX('制度詳細'!$H$9,P$5)&lt;=MIN(IF('制度詳細'!$I$9="",EOMONTH(P$5,0),'制度詳細'!$I$9),EOMONTH(P$5,0)),"■",IF(AND('制度詳細'!$J$9&lt;&gt;"",'制度詳細'!$J$9&gt;=P$5,'制度詳細'!$J$9&lt;=EOMONTH(P$5,0)),"◆","")))</x:f>
      </x:c>
      <x:c r="Q9" s="57" t="str">
        <x:f>IF('制度詳細'!$H$9="",IF('制度詳細'!$J$9="","",IF(AND('制度詳細'!$J$9&gt;=Q$5,'制度詳細'!$J$9&lt;=EOMONTH(Q$5,0)),"◆","")),IF(MAX('制度詳細'!$H$9,Q$5)&lt;=MIN(IF('制度詳細'!$I$9="",EOMONTH(Q$5,0),'制度詳細'!$I$9),EOMONTH(Q$5,0)),"■",IF(AND('制度詳細'!$J$9&lt;&gt;"",'制度詳細'!$J$9&gt;=Q$5,'制度詳細'!$J$9&lt;=EOMONTH(Q$5,0)),"◆","")))</x:f>
      </x:c>
      <x:c r="R9" s="57" t="str">
        <x:f>IF('制度詳細'!$H$9="",IF('制度詳細'!$J$9="","",IF(AND('制度詳細'!$J$9&gt;=R$5,'制度詳細'!$J$9&lt;=EOMONTH(R$5,0)),"◆","")),IF(MAX('制度詳細'!$H$9,R$5)&lt;=MIN(IF('制度詳細'!$I$9="",EOMONTH(R$5,0),'制度詳細'!$I$9),EOMONTH(R$5,0)),"■",IF(AND('制度詳細'!$J$9&lt;&gt;"",'制度詳細'!$J$9&gt;=R$5,'制度詳細'!$J$9&lt;=EOMONTH(R$5,0)),"◆","")))</x:f>
      </x:c>
      <x:c r="S9" s="57" t="str">
        <x:f>IF('制度詳細'!$H$9="",IF('制度詳細'!$J$9="","",IF(AND('制度詳細'!$J$9&gt;=S$5,'制度詳細'!$J$9&lt;=EOMONTH(S$5,0)),"◆","")),IF(MAX('制度詳細'!$H$9,S$5)&lt;=MIN(IF('制度詳細'!$I$9="",EOMONTH(S$5,0),'制度詳細'!$I$9),EOMONTH(S$5,0)),"■",IF(AND('制度詳細'!$J$9&lt;&gt;"",'制度詳細'!$J$9&gt;=S$5,'制度詳細'!$J$9&lt;=EOMONTH(S$5,0)),"◆","")))</x:f>
      </x:c>
      <x:c r="T9" s="57" t="str">
        <x:f>IF('制度詳細'!$H$9="",IF('制度詳細'!$J$9="","",IF(AND('制度詳細'!$J$9&gt;=T$5,'制度詳細'!$J$9&lt;=EOMONTH(T$5,0)),"◆","")),IF(MAX('制度詳細'!$H$9,T$5)&lt;=MIN(IF('制度詳細'!$I$9="",EOMONTH(T$5,0),'制度詳細'!$I$9),EOMONTH(T$5,0)),"■",IF(AND('制度詳細'!$J$9&lt;&gt;"",'制度詳細'!$J$9&gt;=T$5,'制度詳細'!$J$9&lt;=EOMONTH(T$5,0)),"◆","")))</x:f>
      </x:c>
      <x:c r="U9" s="57" t="str">
        <x:f>IF('制度詳細'!$H$9="",IF('制度詳細'!$J$9="","",IF(AND('制度詳細'!$J$9&gt;=U$5,'制度詳細'!$J$9&lt;=EOMONTH(U$5,0)),"◆","")),IF(MAX('制度詳細'!$H$9,U$5)&lt;=MIN(IF('制度詳細'!$I$9="",EOMONTH(U$5,0),'制度詳細'!$I$9),EOMONTH(U$5,0)),"■",IF(AND('制度詳細'!$J$9&lt;&gt;"",'制度詳細'!$J$9&gt;=U$5,'制度詳細'!$J$9&lt;=EOMONTH(U$5,0)),"◆","")))</x:f>
      </x:c>
      <x:c r="V9" s="57" t="str">
        <x:f>IF('制度詳細'!$H$9="",IF('制度詳細'!$J$9="","",IF(AND('制度詳細'!$J$9&gt;=V$5,'制度詳細'!$J$9&lt;=EOMONTH(V$5,0)),"◆","")),IF(MAX('制度詳細'!$H$9,V$5)&lt;=MIN(IF('制度詳細'!$I$9="",EOMONTH(V$5,0),'制度詳細'!$I$9),EOMONTH(V$5,0)),"■",IF(AND('制度詳細'!$J$9&lt;&gt;"",'制度詳細'!$J$9&gt;=V$5,'制度詳細'!$J$9&lt;=EOMONTH(V$5,0)),"◆","")))</x:f>
      </x:c>
      <x:c r="W9" s="57" t="str">
        <x:f>IF('制度詳細'!$H$9="",IF('制度詳細'!$J$9="","",IF(AND('制度詳細'!$J$9&gt;=W$5,'制度詳細'!$J$9&lt;=EOMONTH(W$5,0)),"◆","")),IF(MAX('制度詳細'!$H$9,W$5)&lt;=MIN(IF('制度詳細'!$I$9="",EOMONTH(W$5,0),'制度詳細'!$I$9),EOMONTH(W$5,0)),"■",IF(AND('制度詳細'!$J$9&lt;&gt;"",'制度詳細'!$J$9&gt;=W$5,'制度詳細'!$J$9&lt;=EOMONTH(W$5,0)),"◆","")))</x:f>
      </x:c>
      <x:c r="X9" s="57" t="str">
        <x:f>IF('制度詳細'!$H$9="",IF('制度詳細'!$J$9="","",IF(AND('制度詳細'!$J$9&gt;=X$5,'制度詳細'!$J$9&lt;=EOMONTH(X$5,0)),"◆","")),IF(MAX('制度詳細'!$H$9,X$5)&lt;=MIN(IF('制度詳細'!$I$9="",EOMONTH(X$5,0),'制度詳細'!$I$9),EOMONTH(X$5,0)),"■",IF(AND('制度詳細'!$J$9&lt;&gt;"",'制度詳細'!$J$9&gt;=X$5,'制度詳細'!$J$9&lt;=EOMONTH(X$5,0)),"◆","")))</x:f>
      </x:c>
      <x:c r="Y9" s="57" t="str">
        <x:f>IF('制度詳細'!$H$9="",IF('制度詳細'!$J$9="","",IF(AND('制度詳細'!$J$9&gt;=Y$5,'制度詳細'!$J$9&lt;=EOMONTH(Y$5,0)),"◆","")),IF(MAX('制度詳細'!$H$9,Y$5)&lt;=MIN(IF('制度詳細'!$I$9="",EOMONTH(Y$5,0),'制度詳細'!$I$9),EOMONTH(Y$5,0)),"■",IF(AND('制度詳細'!$J$9&lt;&gt;"",'制度詳細'!$J$9&gt;=Y$5,'制度詳細'!$J$9&lt;=EOMONTH(Y$5,0)),"◆","")))</x:f>
      </x:c>
      <x:c r="Z9" s="57" t="str">
        <x:f>IF('制度詳細'!$H$9="",IF('制度詳細'!$J$9="","",IF(AND('制度詳細'!$J$9&gt;=Z$5,'制度詳細'!$J$9&lt;=EOMONTH(Z$5,0)),"◆","")),IF(MAX('制度詳細'!$H$9,Z$5)&lt;=MIN(IF('制度詳細'!$I$9="",EOMONTH(Z$5,0),'制度詳細'!$I$9),EOMONTH(Z$5,0)),"■",IF(AND('制度詳細'!$J$9&lt;&gt;"",'制度詳細'!$J$9&gt;=Z$5,'制度詳細'!$J$9&lt;=EOMONTH(Z$5,0)),"◆","")))</x:f>
      </x:c>
      <x:c r="AA9" s="57" t="str">
        <x:f>IF('制度詳細'!$H$9="",IF('制度詳細'!$J$9="","",IF(AND('制度詳細'!$J$9&gt;=AA$5,'制度詳細'!$J$9&lt;=EOMONTH(AA$5,0)),"◆","")),IF(MAX('制度詳細'!$H$9,AA$5)&lt;=MIN(IF('制度詳細'!$I$9="",EOMONTH(AA$5,0),'制度詳細'!$I$9),EOMONTH(AA$5,0)),"■",IF(AND('制度詳細'!$J$9&lt;&gt;"",'制度詳細'!$J$9&gt;=AA$5,'制度詳細'!$J$9&lt;=EOMONTH(AA$5,0)),"◆","")))</x:f>
      </x:c>
      <x:c r="AB9" s="57" t="str">
        <x:f>IF('制度詳細'!$H$9="",IF('制度詳細'!$J$9="","",IF(AND('制度詳細'!$J$9&gt;=AB$5,'制度詳細'!$J$9&lt;=EOMONTH(AB$5,0)),"◆","")),IF(MAX('制度詳細'!$H$9,AB$5)&lt;=MIN(IF('制度詳細'!$I$9="",EOMONTH(AB$5,0),'制度詳細'!$I$9),EOMONTH(AB$5,0)),"■",IF(AND('制度詳細'!$J$9&lt;&gt;"",'制度詳細'!$J$9&gt;=AB$5,'制度詳細'!$J$9&lt;=EOMONTH(AB$5,0)),"◆","")))</x:f>
      </x:c>
      <x:c r="AC9" s="57" t="str">
        <x:f>IF('制度詳細'!$H$9="",IF('制度詳細'!$J$9="","",IF(AND('制度詳細'!$J$9&gt;=AC$5,'制度詳細'!$J$9&lt;=EOMONTH(AC$5,0)),"◆","")),IF(MAX('制度詳細'!$H$9,AC$5)&lt;=MIN(IF('制度詳細'!$I$9="",EOMONTH(AC$5,0),'制度詳細'!$I$9),EOMONTH(AC$5,0)),"■",IF(AND('制度詳細'!$J$9&lt;&gt;"",'制度詳細'!$J$9&gt;=AC$5,'制度詳細'!$J$9&lt;=EOMONTH(AC$5,0)),"◆","")))</x:f>
      </x:c>
      <x:c r="AD9" s="57" t="str">
        <x:f>IF('制度詳細'!$H$9="",IF('制度詳細'!$J$9="","",IF(AND('制度詳細'!$J$9&gt;=AD$5,'制度詳細'!$J$9&lt;=EOMONTH(AD$5,0)),"◆","")),IF(MAX('制度詳細'!$H$9,AD$5)&lt;=MIN(IF('制度詳細'!$I$9="",EOMONTH(AD$5,0),'制度詳細'!$I$9),EOMONTH(AD$5,0)),"■",IF(AND('制度詳細'!$J$9&lt;&gt;"",'制度詳細'!$J$9&gt;=AD$5,'制度詳細'!$J$9&lt;=EOMONTH(AD$5,0)),"◆","")))</x:f>
      </x:c>
      <x:c r="AE9" s="57" t="str">
        <x:f>IF('制度詳細'!$H$9="",IF('制度詳細'!$J$9="","",IF(AND('制度詳細'!$J$9&gt;=AE$5,'制度詳細'!$J$9&lt;=EOMONTH(AE$5,0)),"◆","")),IF(MAX('制度詳細'!$H$9,AE$5)&lt;=MIN(IF('制度詳細'!$I$9="",EOMONTH(AE$5,0),'制度詳細'!$I$9),EOMONTH(AE$5,0)),"■",IF(AND('制度詳細'!$J$9&lt;&gt;"",'制度詳細'!$J$9&gt;=AE$5,'制度詳細'!$J$9&lt;=EOMONTH(AE$5,0)),"◆","")))</x:f>
      </x:c>
      <x:c r="AF9" s="57" t="str">
        <x:f>IF('制度詳細'!$H$9="",IF('制度詳細'!$J$9="","",IF(AND('制度詳細'!$J$9&gt;=AF$5,'制度詳細'!$J$9&lt;=EOMONTH(AF$5,0)),"◆","")),IF(MAX('制度詳細'!$H$9,AF$5)&lt;=MIN(IF('制度詳細'!$I$9="",EOMONTH(AF$5,0),'制度詳細'!$I$9),EOMONTH(AF$5,0)),"■",IF(AND('制度詳細'!$J$9&lt;&gt;"",'制度詳細'!$J$9&gt;=AF$5,'制度詳細'!$J$9&lt;=EOMONTH(AF$5,0)),"◆","")))</x:f>
      </x:c>
      <x:c r="AG9" s="57" t="str">
        <x:f>IF('制度詳細'!$H$9="",IF('制度詳細'!$J$9="","",IF(AND('制度詳細'!$J$9&gt;=AG$5,'制度詳細'!$J$9&lt;=EOMONTH(AG$5,0)),"◆","")),IF(MAX('制度詳細'!$H$9,AG$5)&lt;=MIN(IF('制度詳細'!$I$9="",EOMONTH(AG$5,0),'制度詳細'!$I$9),EOMONTH(AG$5,0)),"■",IF(AND('制度詳細'!$J$9&lt;&gt;"",'制度詳細'!$J$9&gt;=AG$5,'制度詳細'!$J$9&lt;=EOMONTH(AG$5,0)),"◆","")))</x:f>
      </x:c>
      <x:c r="AH9" s="57" t="str">
        <x:f>IF('制度詳細'!$H$9="",IF('制度詳細'!$J$9="","",IF(AND('制度詳細'!$J$9&gt;=AH$5,'制度詳細'!$J$9&lt;=EOMONTH(AH$5,0)),"◆","")),IF(MAX('制度詳細'!$H$9,AH$5)&lt;=MIN(IF('制度詳細'!$I$9="",EOMONTH(AH$5,0),'制度詳細'!$I$9),EOMONTH(AH$5,0)),"■",IF(AND('制度詳細'!$J$9&lt;&gt;"",'制度詳細'!$J$9&gt;=AH$5,'制度詳細'!$J$9&lt;=EOMONTH(AH$5,0)),"◆","")))</x:f>
      </x:c>
      <x:c r="AI9" s="57" t="str">
        <x:f>IF('制度詳細'!$H$9="",IF('制度詳細'!$J$9="","",IF(AND('制度詳細'!$J$9&gt;=AI$5,'制度詳細'!$J$9&lt;=EOMONTH(AI$5,0)),"◆","")),IF(MAX('制度詳細'!$H$9,AI$5)&lt;=MIN(IF('制度詳細'!$I$9="",EOMONTH(AI$5,0),'制度詳細'!$I$9),EOMONTH(AI$5,0)),"■",IF(AND('制度詳細'!$J$9&lt;&gt;"",'制度詳細'!$J$9&gt;=AI$5,'制度詳細'!$J$9&lt;=EOMONTH(AI$5,0)),"◆","")))</x:f>
      </x:c>
      <x:c r="AJ9" s="57" t="str">
        <x:f>IF('制度詳細'!$H$9="",IF('制度詳細'!$J$9="","",IF(AND('制度詳細'!$J$9&gt;=AJ$5,'制度詳細'!$J$9&lt;=EOMONTH(AJ$5,0)),"◆","")),IF(MAX('制度詳細'!$H$9,AJ$5)&lt;=MIN(IF('制度詳細'!$I$9="",EOMONTH(AJ$5,0),'制度詳細'!$I$9),EOMONTH(AJ$5,0)),"■",IF(AND('制度詳細'!$J$9&lt;&gt;"",'制度詳細'!$J$9&gt;=AJ$5,'制度詳細'!$J$9&lt;=EOMONTH(AJ$5,0)),"◆","")))</x:f>
      </x:c>
      <x:c r="AK9" s="57" t="str">
        <x:f>IF('制度詳細'!$H$9="",IF('制度詳細'!$J$9="","",IF(AND('制度詳細'!$J$9&gt;=AK$5,'制度詳細'!$J$9&lt;=EOMONTH(AK$5,0)),"◆","")),IF(MAX('制度詳細'!$H$9,AK$5)&lt;=MIN(IF('制度詳細'!$I$9="",EOMONTH(AK$5,0),'制度詳細'!$I$9),EOMONTH(AK$5,0)),"■",IF(AND('制度詳細'!$J$9&lt;&gt;"",'制度詳細'!$J$9&gt;=AK$5,'制度詳細'!$J$9&lt;=EOMONTH(AK$5,0)),"◆","")))</x:f>
      </x:c>
      <x:c r="AL9" s="57" t="str">
        <x:f>IF('制度詳細'!$H$9="",IF('制度詳細'!$J$9="","",IF(AND('制度詳細'!$J$9&gt;=AL$5,'制度詳細'!$J$9&lt;=EOMONTH(AL$5,0)),"◆","")),IF(MAX('制度詳細'!$H$9,AL$5)&lt;=MIN(IF('制度詳細'!$I$9="",EOMONTH(AL$5,0),'制度詳細'!$I$9),EOMONTH(AL$5,0)),"■",IF(AND('制度詳細'!$J$9&lt;&gt;"",'制度詳細'!$J$9&gt;=AL$5,'制度詳細'!$J$9&lt;=EOMONTH(AL$5,0)),"◆","")))</x:f>
      </x:c>
      <x:c r="AM9" s="57" t="str">
        <x:f>IF('制度詳細'!$H$9="",IF('制度詳細'!$J$9="","",IF(AND('制度詳細'!$J$9&gt;=AM$5,'制度詳細'!$J$9&lt;=EOMONTH(AM$5,0)),"◆","")),IF(MAX('制度詳細'!$H$9,AM$5)&lt;=MIN(IF('制度詳細'!$I$9="",EOMONTH(AM$5,0),'制度詳細'!$I$9),EOMONTH(AM$5,0)),"■",IF(AND('制度詳細'!$J$9&lt;&gt;"",'制度詳細'!$J$9&gt;=AM$5,'制度詳細'!$J$9&lt;=EOMONTH(AM$5,0)),"◆","")))</x:f>
      </x:c>
      <x:c r="AN9" s="57" t="str">
        <x:f>IF('制度詳細'!$H$9="",IF('制度詳細'!$J$9="","",IF(AND('制度詳細'!$J$9&gt;=AN$5,'制度詳細'!$J$9&lt;=EOMONTH(AN$5,0)),"◆","")),IF(MAX('制度詳細'!$H$9,AN$5)&lt;=MIN(IF('制度詳細'!$I$9="",EOMONTH(AN$5,0),'制度詳細'!$I$9),EOMONTH(AN$5,0)),"■",IF(AND('制度詳細'!$J$9&lt;&gt;"",'制度詳細'!$J$9&gt;=AN$5,'制度詳細'!$J$9&lt;=EOMONTH(AN$5,0)),"◆","")))</x:f>
      </x:c>
      <x:c r="AO9" s="57" t="str">
        <x:f>IF('制度詳細'!$H$9="",IF('制度詳細'!$J$9="","",IF(AND('制度詳細'!$J$9&gt;=AO$5,'制度詳細'!$J$9&lt;=EOMONTH(AO$5,0)),"◆","")),IF(MAX('制度詳細'!$H$9,AO$5)&lt;=MIN(IF('制度詳細'!$I$9="",EOMONTH(AO$5,0),'制度詳細'!$I$9),EOMONTH(AO$5,0)),"■",IF(AND('制度詳細'!$J$9&lt;&gt;"",'制度詳細'!$J$9&gt;=AO$5,'制度詳細'!$J$9&lt;=EOMONTH(AO$5,0)),"◆","")))</x:f>
      </x:c>
      <x:c r="AP9" s="57" t="str">
        <x:f>IF('制度詳細'!$H$9="",IF('制度詳細'!$J$9="","",IF(AND('制度詳細'!$J$9&gt;=AP$5,'制度詳細'!$J$9&lt;=EOMONTH(AP$5,0)),"◆","")),IF(MAX('制度詳細'!$H$9,AP$5)&lt;=MIN(IF('制度詳細'!$I$9="",EOMONTH(AP$5,0),'制度詳細'!$I$9),EOMONTH(AP$5,0)),"■",IF(AND('制度詳細'!$J$9&lt;&gt;"",'制度詳細'!$J$9&gt;=AP$5,'制度詳細'!$J$9&lt;=EOMONTH(AP$5,0)),"◆","")))</x:f>
      </x:c>
      <x:c r="AQ9" s="57" t="str">
        <x:f>IF('制度詳細'!$H$9="",IF('制度詳細'!$J$9="","",IF(AND('制度詳細'!$J$9&gt;=AQ$5,'制度詳細'!$J$9&lt;=EOMONTH(AQ$5,0)),"◆","")),IF(MAX('制度詳細'!$H$9,AQ$5)&lt;=MIN(IF('制度詳細'!$I$9="",EOMONTH(AQ$5,0),'制度詳細'!$I$9),EOMONTH(AQ$5,0)),"■",IF(AND('制度詳細'!$J$9&lt;&gt;"",'制度詳細'!$J$9&gt;=AQ$5,'制度詳細'!$J$9&lt;=EOMONTH(AQ$5,0)),"◆","")))</x:f>
      </x:c>
      <x:c r="AR9" s="57" t="str">
        <x:f>IF('制度詳細'!$H$9="",IF('制度詳細'!$J$9="","",IF(AND('制度詳細'!$J$9&gt;=AR$5,'制度詳細'!$J$9&lt;=EOMONTH(AR$5,0)),"◆","")),IF(MAX('制度詳細'!$H$9,AR$5)&lt;=MIN(IF('制度詳細'!$I$9="",EOMONTH(AR$5,0),'制度詳細'!$I$9),EOMONTH(AR$5,0)),"■",IF(AND('制度詳細'!$J$9&lt;&gt;"",'制度詳細'!$J$9&gt;=AR$5,'制度詳細'!$J$9&lt;=EOMONTH(AR$5,0)),"◆","")))</x:f>
      </x:c>
      <x:c r="AS9" s="57" t="str">
        <x:f>IF('制度詳細'!$H$9="",IF('制度詳細'!$J$9="","",IF(AND('制度詳細'!$J$9&gt;=AS$5,'制度詳細'!$J$9&lt;=EOMONTH(AS$5,0)),"◆","")),IF(MAX('制度詳細'!$H$9,AS$5)&lt;=MIN(IF('制度詳細'!$I$9="",EOMONTH(AS$5,0),'制度詳細'!$I$9),EOMONTH(AS$5,0)),"■",IF(AND('制度詳細'!$J$9&lt;&gt;"",'制度詳細'!$J$9&gt;=AS$5,'制度詳細'!$J$9&lt;=EOMONTH(AS$5,0)),"◆","")))</x:f>
      </x:c>
      <x:c r="AT9" s="57" t="str">
        <x:f>IF('制度詳細'!$H$9="",IF('制度詳細'!$J$9="","",IF(AND('制度詳細'!$J$9&gt;=AT$5,'制度詳細'!$J$9&lt;=EOMONTH(AT$5,0)),"◆","")),IF(MAX('制度詳細'!$H$9,AT$5)&lt;=MIN(IF('制度詳細'!$I$9="",EOMONTH(AT$5,0),'制度詳細'!$I$9),EOMONTH(AT$5,0)),"■",IF(AND('制度詳細'!$J$9&lt;&gt;"",'制度詳細'!$J$9&gt;=AT$5,'制度詳細'!$J$9&lt;=EOMONTH(AT$5,0)),"◆","")))</x:f>
      </x:c>
      <x:c r="AU9" s="57" t="str">
        <x:f>IF('制度詳細'!$H$9="",IF('制度詳細'!$J$9="","",IF(AND('制度詳細'!$J$9&gt;=AU$5,'制度詳細'!$J$9&lt;=EOMONTH(AU$5,0)),"◆","")),IF(MAX('制度詳細'!$H$9,AU$5)&lt;=MIN(IF('制度詳細'!$I$9="",EOMONTH(AU$5,0),'制度詳細'!$I$9),EOMONTH(AU$5,0)),"■",IF(AND('制度詳細'!$J$9&lt;&gt;"",'制度詳細'!$J$9&gt;=AU$5,'制度詳細'!$J$9&lt;=EOMONTH(AU$5,0)),"◆","")))</x:f>
      </x:c>
      <x:c r="AV9" s="57" t="str">
        <x:f>IF('制度詳細'!$H$9="",IF('制度詳細'!$J$9="","",IF(AND('制度詳細'!$J$9&gt;=AV$5,'制度詳細'!$J$9&lt;=EOMONTH(AV$5,0)),"◆","")),IF(MAX('制度詳細'!$H$9,AV$5)&lt;=MIN(IF('制度詳細'!$I$9="",EOMONTH(AV$5,0),'制度詳細'!$I$9),EOMONTH(AV$5,0)),"■",IF(AND('制度詳細'!$J$9&lt;&gt;"",'制度詳細'!$J$9&gt;=AV$5,'制度詳細'!$J$9&lt;=EOMONTH(AV$5,0)),"◆","")))</x:f>
      </x:c>
      <x:c r="AW9" s="57" t="str">
        <x:f>IF('制度詳細'!$H$9="",IF('制度詳細'!$J$9="","",IF(AND('制度詳細'!$J$9&gt;=AW$5,'制度詳細'!$J$9&lt;=EOMONTH(AW$5,0)),"◆","")),IF(MAX('制度詳細'!$H$9,AW$5)&lt;=MIN(IF('制度詳細'!$I$9="",EOMONTH(AW$5,0),'制度詳細'!$I$9),EOMONTH(AW$5,0)),"■",IF(AND('制度詳細'!$J$9&lt;&gt;"",'制度詳細'!$J$9&gt;=AW$5,'制度詳細'!$J$9&lt;=EOMONTH(AW$5,0)),"◆","")))</x:f>
      </x:c>
      <x:c r="AX9" s="57" t="str">
        <x:f>IF('制度詳細'!$H$9="",IF('制度詳細'!$J$9="","",IF(AND('制度詳細'!$J$9&gt;=AX$5,'制度詳細'!$J$9&lt;=EOMONTH(AX$5,0)),"◆","")),IF(MAX('制度詳細'!$H$9,AX$5)&lt;=MIN(IF('制度詳細'!$I$9="",EOMONTH(AX$5,0),'制度詳細'!$I$9),EOMONTH(AX$5,0)),"■",IF(AND('制度詳細'!$J$9&lt;&gt;"",'制度詳細'!$J$9&gt;=AX$5,'制度詳細'!$J$9&lt;=EOMONTH(AX$5,0)),"◆","")))</x:f>
      </x:c>
      <x:c r="AY9" s="57" t="str">
        <x:f>IF('制度詳細'!$H$9="",IF('制度詳細'!$J$9="","",IF(AND('制度詳細'!$J$9&gt;=AY$5,'制度詳細'!$J$9&lt;=EOMONTH(AY$5,0)),"◆","")),IF(MAX('制度詳細'!$H$9,AY$5)&lt;=MIN(IF('制度詳細'!$I$9="",EOMONTH(AY$5,0),'制度詳細'!$I$9),EOMONTH(AY$5,0)),"■",IF(AND('制度詳細'!$J$9&lt;&gt;"",'制度詳細'!$J$9&gt;=AY$5,'制度詳細'!$J$9&lt;=EOMONTH(AY$5,0)),"◆","")))</x:f>
        <x:v>◆</x:v>
      </x:c>
      <x:c r="AZ9" s="57" t="str">
        <x:f>IF('制度詳細'!$H$9="",IF('制度詳細'!$J$9="","",IF(AND('制度詳細'!$J$9&gt;=AZ$5,'制度詳細'!$J$9&lt;=EOMONTH(AZ$5,0)),"◆","")),IF(MAX('制度詳細'!$H$9,AZ$5)&lt;=MIN(IF('制度詳細'!$I$9="",EOMONTH(AZ$5,0),'制度詳細'!$I$9),EOMONTH(AZ$5,0)),"■",IF(AND('制度詳細'!$J$9&lt;&gt;"",'制度詳細'!$J$9&gt;=AZ$5,'制度詳細'!$J$9&lt;=EOMONTH(AZ$5,0)),"◆","")))</x:f>
      </x:c>
      <x:c r="BA9" s="57" t="str">
        <x:f>IF('制度詳細'!$H$9="",IF('制度詳細'!$J$9="","",IF(AND('制度詳細'!$J$9&gt;=BA$5,'制度詳細'!$J$9&lt;=EOMONTH(BA$5,0)),"◆","")),IF(MAX('制度詳細'!$H$9,BA$5)&lt;=MIN(IF('制度詳細'!$I$9="",EOMONTH(BA$5,0),'制度詳細'!$I$9),EOMONTH(BA$5,0)),"■",IF(AND('制度詳細'!$J$9&lt;&gt;"",'制度詳細'!$J$9&gt;=BA$5,'制度詳細'!$J$9&lt;=EOMONTH(BA$5,0)),"◆","")))</x:f>
        <x:v>■</x:v>
      </x:c>
      <x:c r="BB9" s="57" t="str">
        <x:f>IF('制度詳細'!$H$9="",IF('制度詳細'!$J$9="","",IF(AND('制度詳細'!$J$9&gt;=BB$5,'制度詳細'!$J$9&lt;=EOMONTH(BB$5,0)),"◆","")),IF(MAX('制度詳細'!$H$9,BB$5)&lt;=MIN(IF('制度詳細'!$I$9="",EOMONTH(BB$5,0),'制度詳細'!$I$9),EOMONTH(BB$5,0)),"■",IF(AND('制度詳細'!$J$9&lt;&gt;"",'制度詳細'!$J$9&gt;=BB$5,'制度詳細'!$J$9&lt;=EOMONTH(BB$5,0)),"◆","")))</x:f>
        <x:v>■</x:v>
      </x:c>
      <x:c r="BC9" s="57" t="str">
        <x:f>IF('制度詳細'!$H$9="",IF('制度詳細'!$J$9="","",IF(AND('制度詳細'!$J$9&gt;=BC$5,'制度詳細'!$J$9&lt;=EOMONTH(BC$5,0)),"◆","")),IF(MAX('制度詳細'!$H$9,BC$5)&lt;=MIN(IF('制度詳細'!$I$9="",EOMONTH(BC$5,0),'制度詳細'!$I$9),EOMONTH(BC$5,0)),"■",IF(AND('制度詳細'!$J$9&lt;&gt;"",'制度詳細'!$J$9&gt;=BC$5,'制度詳細'!$J$9&lt;=EOMONTH(BC$5,0)),"◆","")))</x:f>
        <x:v>■</x:v>
      </x:c>
      <x:c r="BD9" s="57" t="str">
        <x:f>IF('制度詳細'!$H$9="",IF('制度詳細'!$J$9="","",IF(AND('制度詳細'!$J$9&gt;=BD$5,'制度詳細'!$J$9&lt;=EOMONTH(BD$5,0)),"◆","")),IF(MAX('制度詳細'!$H$9,BD$5)&lt;=MIN(IF('制度詳細'!$I$9="",EOMONTH(BD$5,0),'制度詳細'!$I$9),EOMONTH(BD$5,0)),"■",IF(AND('制度詳細'!$J$9&lt;&gt;"",'制度詳細'!$J$9&gt;=BD$5,'制度詳細'!$J$9&lt;=EOMONTH(BD$5,0)),"◆","")))</x:f>
        <x:v>■</x:v>
      </x:c>
      <x:c r="BE9" s="57" t="str">
        <x:f>IF('制度詳細'!$H$9="",IF('制度詳細'!$J$9="","",IF(AND('制度詳細'!$J$9&gt;=BE$5,'制度詳細'!$J$9&lt;=EOMONTH(BE$5,0)),"◆","")),IF(MAX('制度詳細'!$H$9,BE$5)&lt;=MIN(IF('制度詳細'!$I$9="",EOMONTH(BE$5,0),'制度詳細'!$I$9),EOMONTH(BE$5,0)),"■",IF(AND('制度詳細'!$J$9&lt;&gt;"",'制度詳細'!$J$9&gt;=BE$5,'制度詳細'!$J$9&lt;=EOMONTH(BE$5,0)),"◆","")))</x:f>
        <x:v>■</x:v>
      </x:c>
      <x:c r="BF9" s="57" t="str">
        <x:f>IF('制度詳細'!$H$9="",IF('制度詳細'!$J$9="","",IF(AND('制度詳細'!$J$9&gt;=BF$5,'制度詳細'!$J$9&lt;=EOMONTH(BF$5,0)),"◆","")),IF(MAX('制度詳細'!$H$9,BF$5)&lt;=MIN(IF('制度詳細'!$I$9="",EOMONTH(BF$5,0),'制度詳細'!$I$9),EOMONTH(BF$5,0)),"■",IF(AND('制度詳細'!$J$9&lt;&gt;"",'制度詳細'!$J$9&gt;=BF$5,'制度詳細'!$J$9&lt;=EOMONTH(BF$5,0)),"◆","")))</x:f>
        <x:v>■</x:v>
      </x:c>
      <x:c r="BG9" s="57" t="str">
        <x:f>IF('制度詳細'!$H$9="",IF('制度詳細'!$J$9="","",IF(AND('制度詳細'!$J$9&gt;=BG$5,'制度詳細'!$J$9&lt;=EOMONTH(BG$5,0)),"◆","")),IF(MAX('制度詳細'!$H$9,BG$5)&lt;=MIN(IF('制度詳細'!$I$9="",EOMONTH(BG$5,0),'制度詳細'!$I$9),EOMONTH(BG$5,0)),"■",IF(AND('制度詳細'!$J$9&lt;&gt;"",'制度詳細'!$J$9&gt;=BG$5,'制度詳細'!$J$9&lt;=EOMONTH(BG$5,0)),"◆","")))</x:f>
        <x:v>■</x:v>
      </x:c>
      <x:c r="BH9" s="57" t="str">
        <x:f>IF('制度詳細'!$H$9="",IF('制度詳細'!$J$9="","",IF(AND('制度詳細'!$J$9&gt;=BH$5,'制度詳細'!$J$9&lt;=EOMONTH(BH$5,0)),"◆","")),IF(MAX('制度詳細'!$H$9,BH$5)&lt;=MIN(IF('制度詳細'!$I$9="",EOMONTH(BH$5,0),'制度詳細'!$I$9),EOMONTH(BH$5,0)),"■",IF(AND('制度詳細'!$J$9&lt;&gt;"",'制度詳細'!$J$9&gt;=BH$5,'制度詳細'!$J$9&lt;=EOMONTH(BH$5,0)),"◆","")))</x:f>
        <x:v>■</x:v>
      </x:c>
      <x:c r="BI9" s="57" t="str">
        <x:f>IF('制度詳細'!$H$9="",IF('制度詳細'!$J$9="","",IF(AND('制度詳細'!$J$9&gt;=BI$5,'制度詳細'!$J$9&lt;=EOMONTH(BI$5,0)),"◆","")),IF(MAX('制度詳細'!$H$9,BI$5)&lt;=MIN(IF('制度詳細'!$I$9="",EOMONTH(BI$5,0),'制度詳細'!$I$9),EOMONTH(BI$5,0)),"■",IF(AND('制度詳細'!$J$9&lt;&gt;"",'制度詳細'!$J$9&gt;=BI$5,'制度詳細'!$J$9&lt;=EOMONTH(BI$5,0)),"◆","")))</x:f>
        <x:v>■</x:v>
      </x:c>
      <x:c r="BJ9" s="57" t="str">
        <x:f>IF('制度詳細'!$H$9="",IF('制度詳細'!$J$9="","",IF(AND('制度詳細'!$J$9&gt;=BJ$5,'制度詳細'!$J$9&lt;=EOMONTH(BJ$5,0)),"◆","")),IF(MAX('制度詳細'!$H$9,BJ$5)&lt;=MIN(IF('制度詳細'!$I$9="",EOMONTH(BJ$5,0),'制度詳細'!$I$9),EOMONTH(BJ$5,0)),"■",IF(AND('制度詳細'!$J$9&lt;&gt;"",'制度詳細'!$J$9&gt;=BJ$5,'制度詳細'!$J$9&lt;=EOMONTH(BJ$5,0)),"◆","")))</x:f>
        <x:v>■</x:v>
      </x:c>
      <x:c r="BK9" s="57" t="str">
        <x:f>IF('制度詳細'!$H$9="",IF('制度詳細'!$J$9="","",IF(AND('制度詳細'!$J$9&gt;=BK$5,'制度詳細'!$J$9&lt;=EOMONTH(BK$5,0)),"◆","")),IF(MAX('制度詳細'!$H$9,BK$5)&lt;=MIN(IF('制度詳細'!$I$9="",EOMONTH(BK$5,0),'制度詳細'!$I$9),EOMONTH(BK$5,0)),"■",IF(AND('制度詳細'!$J$9&lt;&gt;"",'制度詳細'!$J$9&gt;=BK$5,'制度詳細'!$J$9&lt;=EOMONTH(BK$5,0)),"◆","")))</x:f>
        <x:v>■</x:v>
      </x:c>
      <x:c r="BL9" s="57" t="str">
        <x:f>IF('制度詳細'!$H$9="",IF('制度詳細'!$J$9="","",IF(AND('制度詳細'!$J$9&gt;=BL$5,'制度詳細'!$J$9&lt;=EOMONTH(BL$5,0)),"◆","")),IF(MAX('制度詳細'!$H$9,BL$5)&lt;=MIN(IF('制度詳細'!$I$9="",EOMONTH(BL$5,0),'制度詳細'!$I$9),EOMONTH(BL$5,0)),"■",IF(AND('制度詳細'!$J$9&lt;&gt;"",'制度詳細'!$J$9&gt;=BL$5,'制度詳細'!$J$9&lt;=EOMONTH(BL$5,0)),"◆","")))</x:f>
        <x:v>■</x:v>
      </x:c>
      <x:c r="BM9" s="57" t="str">
        <x:f>IF('制度詳細'!$H$9="",IF('制度詳細'!$J$9="","",IF(AND('制度詳細'!$J$9&gt;=BM$5,'制度詳細'!$J$9&lt;=EOMONTH(BM$5,0)),"◆","")),IF(MAX('制度詳細'!$H$9,BM$5)&lt;=MIN(IF('制度詳細'!$I$9="",EOMONTH(BM$5,0),'制度詳細'!$I$9),EOMONTH(BM$5,0)),"■",IF(AND('制度詳細'!$J$9&lt;&gt;"",'制度詳細'!$J$9&gt;=BM$5,'制度詳細'!$J$9&lt;=EOMONTH(BM$5,0)),"◆","")))</x:f>
        <x:v>■</x:v>
      </x:c>
      <x:c r="BN9" s="57" t="str">
        <x:f>IF('制度詳細'!$H$9="",IF('制度詳細'!$J$9="","",IF(AND('制度詳細'!$J$9&gt;=BN$5,'制度詳細'!$J$9&lt;=EOMONTH(BN$5,0)),"◆","")),IF(MAX('制度詳細'!$H$9,BN$5)&lt;=MIN(IF('制度詳細'!$I$9="",EOMONTH(BN$5,0),'制度詳細'!$I$9),EOMONTH(BN$5,0)),"■",IF(AND('制度詳細'!$J$9&lt;&gt;"",'制度詳細'!$J$9&gt;=BN$5,'制度詳細'!$J$9&lt;=EOMONTH(BN$5,0)),"◆","")))</x:f>
        <x:v>■</x:v>
      </x:c>
      <x:c r="BO9" s="57" t="str">
        <x:f>IF('制度詳細'!$H$9="",IF('制度詳細'!$J$9="","",IF(AND('制度詳細'!$J$9&gt;=BO$5,'制度詳細'!$J$9&lt;=EOMONTH(BO$5,0)),"◆","")),IF(MAX('制度詳細'!$H$9,BO$5)&lt;=MIN(IF('制度詳細'!$I$9="",EOMONTH(BO$5,0),'制度詳細'!$I$9),EOMONTH(BO$5,0)),"■",IF(AND('制度詳細'!$J$9&lt;&gt;"",'制度詳細'!$J$9&gt;=BO$5,'制度詳細'!$J$9&lt;=EOMONTH(BO$5,0)),"◆","")))</x:f>
        <x:v>■</x:v>
      </x:c>
      <x:c r="BP9" s="57" t="str">
        <x:f>IF('制度詳細'!$H$9="",IF('制度詳細'!$J$9="","",IF(AND('制度詳細'!$J$9&gt;=BP$5,'制度詳細'!$J$9&lt;=EOMONTH(BP$5,0)),"◆","")),IF(MAX('制度詳細'!$H$9,BP$5)&lt;=MIN(IF('制度詳細'!$I$9="",EOMONTH(BP$5,0),'制度詳細'!$I$9),EOMONTH(BP$5,0)),"■",IF(AND('制度詳細'!$J$9&lt;&gt;"",'制度詳細'!$J$9&gt;=BP$5,'制度詳細'!$J$9&lt;=EOMONTH(BP$5,0)),"◆","")))</x:f>
        <x:v>■</x:v>
      </x:c>
      <x:c r="BQ9" s="57" t="str">
        <x:f>IF('制度詳細'!$H$9="",IF('制度詳細'!$J$9="","",IF(AND('制度詳細'!$J$9&gt;=BQ$5,'制度詳細'!$J$9&lt;=EOMONTH(BQ$5,0)),"◆","")),IF(MAX('制度詳細'!$H$9,BQ$5)&lt;=MIN(IF('制度詳細'!$I$9="",EOMONTH(BQ$5,0),'制度詳細'!$I$9),EOMONTH(BQ$5,0)),"■",IF(AND('制度詳細'!$J$9&lt;&gt;"",'制度詳細'!$J$9&gt;=BQ$5,'制度詳細'!$J$9&lt;=EOMONTH(BQ$5,0)),"◆","")))</x:f>
        <x:v>■</x:v>
      </x:c>
      <x:c r="BR9" s="57" t="str">
        <x:f>IF('制度詳細'!$H$9="",IF('制度詳細'!$J$9="","",IF(AND('制度詳細'!$J$9&gt;=BR$5,'制度詳細'!$J$9&lt;=EOMONTH(BR$5,0)),"◆","")),IF(MAX('制度詳細'!$H$9,BR$5)&lt;=MIN(IF('制度詳細'!$I$9="",EOMONTH(BR$5,0),'制度詳細'!$I$9),EOMONTH(BR$5,0)),"■",IF(AND('制度詳細'!$J$9&lt;&gt;"",'制度詳細'!$J$9&gt;=BR$5,'制度詳細'!$J$9&lt;=EOMONTH(BR$5,0)),"◆","")))</x:f>
        <x:v>■</x:v>
      </x:c>
      <x:c r="BS9" s="57" t="str">
        <x:f>IF('制度詳細'!$H$9="",IF('制度詳細'!$J$9="","",IF(AND('制度詳細'!$J$9&gt;=BS$5,'制度詳細'!$J$9&lt;=EOMONTH(BS$5,0)),"◆","")),IF(MAX('制度詳細'!$H$9,BS$5)&lt;=MIN(IF('制度詳細'!$I$9="",EOMONTH(BS$5,0),'制度詳細'!$I$9),EOMONTH(BS$5,0)),"■",IF(AND('制度詳細'!$J$9&lt;&gt;"",'制度詳細'!$J$9&gt;=BS$5,'制度詳細'!$J$9&lt;=EOMONTH(BS$5,0)),"◆","")))</x:f>
        <x:v>■</x:v>
      </x:c>
      <x:c r="BT9" s="57" t="str">
        <x:f>IF('制度詳細'!$H$9="",IF('制度詳細'!$J$9="","",IF(AND('制度詳細'!$J$9&gt;=BT$5,'制度詳細'!$J$9&lt;=EOMONTH(BT$5,0)),"◆","")),IF(MAX('制度詳細'!$H$9,BT$5)&lt;=MIN(IF('制度詳細'!$I$9="",EOMONTH(BT$5,0),'制度詳細'!$I$9),EOMONTH(BT$5,0)),"■",IF(AND('制度詳細'!$J$9&lt;&gt;"",'制度詳細'!$J$9&gt;=BT$5,'制度詳細'!$J$9&lt;=EOMONTH(BT$5,0)),"◆","")))</x:f>
        <x:v>■</x:v>
      </x:c>
      <x:c r="BU9" s="57" t="str">
        <x:f>IF('制度詳細'!$H$9="",IF('制度詳細'!$J$9="","",IF(AND('制度詳細'!$J$9&gt;=BU$5,'制度詳細'!$J$9&lt;=EOMONTH(BU$5,0)),"◆","")),IF(MAX('制度詳細'!$H$9,BU$5)&lt;=MIN(IF('制度詳細'!$I$9="",EOMONTH(BU$5,0),'制度詳細'!$I$9),EOMONTH(BU$5,0)),"■",IF(AND('制度詳細'!$J$9&lt;&gt;"",'制度詳細'!$J$9&gt;=BU$5,'制度詳細'!$J$9&lt;=EOMONTH(BU$5,0)),"◆","")))</x:f>
        <x:v>■</x:v>
      </x:c>
      <x:c r="BV9" s="57" t="str">
        <x:f>IF('制度詳細'!$H$9="",IF('制度詳細'!$J$9="","",IF(AND('制度詳細'!$J$9&gt;=BV$5,'制度詳細'!$J$9&lt;=EOMONTH(BV$5,0)),"◆","")),IF(MAX('制度詳細'!$H$9,BV$5)&lt;=MIN(IF('制度詳細'!$I$9="",EOMONTH(BV$5,0),'制度詳細'!$I$9),EOMONTH(BV$5,0)),"■",IF(AND('制度詳細'!$J$9&lt;&gt;"",'制度詳細'!$J$9&gt;=BV$5,'制度詳細'!$J$9&lt;=EOMONTH(BV$5,0)),"◆","")))</x:f>
        <x:v>■</x:v>
      </x:c>
      <x:c r="BW9" s="57" t="str">
        <x:f>IF('制度詳細'!$H$9="",IF('制度詳細'!$J$9="","",IF(AND('制度詳細'!$J$9&gt;=BW$5,'制度詳細'!$J$9&lt;=EOMONTH(BW$5,0)),"◆","")),IF(MAX('制度詳細'!$H$9,BW$5)&lt;=MIN(IF('制度詳細'!$I$9="",EOMONTH(BW$5,0),'制度詳細'!$I$9),EOMONTH(BW$5,0)),"■",IF(AND('制度詳細'!$J$9&lt;&gt;"",'制度詳細'!$J$9&gt;=BW$5,'制度詳細'!$J$9&lt;=EOMONTH(BW$5,0)),"◆","")))</x:f>
        <x:v>■</x:v>
      </x:c>
      <x:c r="BX9" s="57" t="str">
        <x:f>IF('制度詳細'!$H$9="",IF('制度詳細'!$J$9="","",IF(AND('制度詳細'!$J$9&gt;=BX$5,'制度詳細'!$J$9&lt;=EOMONTH(BX$5,0)),"◆","")),IF(MAX('制度詳細'!$H$9,BX$5)&lt;=MIN(IF('制度詳細'!$I$9="",EOMONTH(BX$5,0),'制度詳細'!$I$9),EOMONTH(BX$5,0)),"■",IF(AND('制度詳細'!$J$9&lt;&gt;"",'制度詳細'!$J$9&gt;=BX$5,'制度詳細'!$J$9&lt;=EOMONTH(BX$5,0)),"◆","")))</x:f>
        <x:v>■</x:v>
      </x:c>
      <x:c r="BY9" s="57" t="str">
        <x:f>IF('制度詳細'!$H$9="",IF('制度詳細'!$J$9="","",IF(AND('制度詳細'!$J$9&gt;=BY$5,'制度詳細'!$J$9&lt;=EOMONTH(BY$5,0)),"◆","")),IF(MAX('制度詳細'!$H$9,BY$5)&lt;=MIN(IF('制度詳細'!$I$9="",EOMONTH(BY$5,0),'制度詳細'!$I$9),EOMONTH(BY$5,0)),"■",IF(AND('制度詳細'!$J$9&lt;&gt;"",'制度詳細'!$J$9&gt;=BY$5,'制度詳細'!$J$9&lt;=EOMONTH(BY$5,0)),"◆","")))</x:f>
      </x:c>
      <x:c r="BZ9" s="57" t="str">
        <x:f>IF('制度詳細'!$H$9="",IF('制度詳細'!$J$9="","",IF(AND('制度詳細'!$J$9&gt;=BZ$5,'制度詳細'!$J$9&lt;=EOMONTH(BZ$5,0)),"◆","")),IF(MAX('制度詳細'!$H$9,BZ$5)&lt;=MIN(IF('制度詳細'!$I$9="",EOMONTH(BZ$5,0),'制度詳細'!$I$9),EOMONTH(BZ$5,0)),"■",IF(AND('制度詳細'!$J$9&lt;&gt;"",'制度詳細'!$J$9&gt;=BZ$5,'制度詳細'!$J$9&lt;=EOMONTH(BZ$5,0)),"◆","")))</x:f>
      </x:c>
      <x:c r="CA9" s="57" t="str">
        <x:f>IF('制度詳細'!$H$9="",IF('制度詳細'!$J$9="","",IF(AND('制度詳細'!$J$9&gt;=CA$5,'制度詳細'!$J$9&lt;=EOMONTH(CA$5,0)),"◆","")),IF(MAX('制度詳細'!$H$9,CA$5)&lt;=MIN(IF('制度詳細'!$I$9="",EOMONTH(CA$5,0),'制度詳細'!$I$9),EOMONTH(CA$5,0)),"■",IF(AND('制度詳細'!$J$9&lt;&gt;"",'制度詳細'!$J$9&gt;=CA$5,'制度詳細'!$J$9&lt;=EOMONTH(CA$5,0)),"◆","")))</x:f>
      </x:c>
      <x:c r="CB9" s="57" t="str">
        <x:f>IF('制度詳細'!$H$9="",IF('制度詳細'!$J$9="","",IF(AND('制度詳細'!$J$9&gt;=CB$5,'制度詳細'!$J$9&lt;=EOMONTH(CB$5,0)),"◆","")),IF(MAX('制度詳細'!$H$9,CB$5)&lt;=MIN(IF('制度詳細'!$I$9="",EOMONTH(CB$5,0),'制度詳細'!$I$9),EOMONTH(CB$5,0)),"■",IF(AND('制度詳細'!$J$9&lt;&gt;"",'制度詳細'!$J$9&gt;=CB$5,'制度詳細'!$J$9&lt;=EOMONTH(CB$5,0)),"◆","")))</x:f>
      </x:c>
      <x:c r="CC9" s="57" t="str">
        <x:f>IF('制度詳細'!$H$9="",IF('制度詳細'!$J$9="","",IF(AND('制度詳細'!$J$9&gt;=CC$5,'制度詳細'!$J$9&lt;=EOMONTH(CC$5,0)),"◆","")),IF(MAX('制度詳細'!$H$9,CC$5)&lt;=MIN(IF('制度詳細'!$I$9="",EOMONTH(CC$5,0),'制度詳細'!$I$9),EOMONTH(CC$5,0)),"■",IF(AND('制度詳細'!$J$9&lt;&gt;"",'制度詳細'!$J$9&gt;=CC$5,'制度詳細'!$J$9&lt;=EOMONTH(CC$5,0)),"◆","")))</x:f>
      </x:c>
      <x:c r="CD9" s="57" t="str">
        <x:f>IF('制度詳細'!$H$9="",IF('制度詳細'!$J$9="","",IF(AND('制度詳細'!$J$9&gt;=CD$5,'制度詳細'!$J$9&lt;=EOMONTH(CD$5,0)),"◆","")),IF(MAX('制度詳細'!$H$9,CD$5)&lt;=MIN(IF('制度詳細'!$I$9="",EOMONTH(CD$5,0),'制度詳細'!$I$9),EOMONTH(CD$5,0)),"■",IF(AND('制度詳細'!$J$9&lt;&gt;"",'制度詳細'!$J$9&gt;=CD$5,'制度詳細'!$J$9&lt;=EOMONTH(CD$5,0)),"◆","")))</x:f>
      </x:c>
      <x:c r="CE9" s="57" t="str">
        <x:f>IF('制度詳細'!$H$9="",IF('制度詳細'!$J$9="","",IF(AND('制度詳細'!$J$9&gt;=CE$5,'制度詳細'!$J$9&lt;=EOMONTH(CE$5,0)),"◆","")),IF(MAX('制度詳細'!$H$9,CE$5)&lt;=MIN(IF('制度詳細'!$I$9="",EOMONTH(CE$5,0),'制度詳細'!$I$9),EOMONTH(CE$5,0)),"■",IF(AND('制度詳細'!$J$9&lt;&gt;"",'制度詳細'!$J$9&gt;=CE$5,'制度詳細'!$J$9&lt;=EOMONTH(CE$5,0)),"◆","")))</x:f>
      </x:c>
      <x:c r="CF9" s="57" t="str">
        <x:f>IF('制度詳細'!$H$9="",IF('制度詳細'!$J$9="","",IF(AND('制度詳細'!$J$9&gt;=CF$5,'制度詳細'!$J$9&lt;=EOMONTH(CF$5,0)),"◆","")),IF(MAX('制度詳細'!$H$9,CF$5)&lt;=MIN(IF('制度詳細'!$I$9="",EOMONTH(CF$5,0),'制度詳細'!$I$9),EOMONTH(CF$5,0)),"■",IF(AND('制度詳細'!$J$9&lt;&gt;"",'制度詳細'!$J$9&gt;=CF$5,'制度詳細'!$J$9&lt;=EOMONTH(CF$5,0)),"◆","")))</x:f>
      </x:c>
      <x:c r="CG9" s="57" t="str">
        <x:f>IF('制度詳細'!$H$9="",IF('制度詳細'!$J$9="","",IF(AND('制度詳細'!$J$9&gt;=CG$5,'制度詳細'!$J$9&lt;=EOMONTH(CG$5,0)),"◆","")),IF(MAX('制度詳細'!$H$9,CG$5)&lt;=MIN(IF('制度詳細'!$I$9="",EOMONTH(CG$5,0),'制度詳細'!$I$9),EOMONTH(CG$5,0)),"■",IF(AND('制度詳細'!$J$9&lt;&gt;"",'制度詳細'!$J$9&gt;=CG$5,'制度詳細'!$J$9&lt;=EOMONTH(CG$5,0)),"◆","")))</x:f>
      </x:c>
      <x:c r="CH9" s="57" t="str">
        <x:f>IF('制度詳細'!$H$9="",IF('制度詳細'!$J$9="","",IF(AND('制度詳細'!$J$9&gt;=CH$5,'制度詳細'!$J$9&lt;=EOMONTH(CH$5,0)),"◆","")),IF(MAX('制度詳細'!$H$9,CH$5)&lt;=MIN(IF('制度詳細'!$I$9="",EOMONTH(CH$5,0),'制度詳細'!$I$9),EOMONTH(CH$5,0)),"■",IF(AND('制度詳細'!$J$9&lt;&gt;"",'制度詳細'!$J$9&gt;=CH$5,'制度詳細'!$J$9&lt;=EOMONTH(CH$5,0)),"◆","")))</x:f>
      </x:c>
      <x:c r="CI9" s="57" t="str">
        <x:f>IF('制度詳細'!$H$9="",IF('制度詳細'!$J$9="","",IF(AND('制度詳細'!$J$9&gt;=CI$5,'制度詳細'!$J$9&lt;=EOMONTH(CI$5,0)),"◆","")),IF(MAX('制度詳細'!$H$9,CI$5)&lt;=MIN(IF('制度詳細'!$I$9="",EOMONTH(CI$5,0),'制度詳細'!$I$9),EOMONTH(CI$5,0)),"■",IF(AND('制度詳細'!$J$9&lt;&gt;"",'制度詳細'!$J$9&gt;=CI$5,'制度詳細'!$J$9&lt;=EOMONTH(CI$5,0)),"◆","")))</x:f>
      </x:c>
      <x:c r="CJ9" s="57" t="str">
        <x:f>IF('制度詳細'!$H$9="",IF('制度詳細'!$J$9="","",IF(AND('制度詳細'!$J$9&gt;=CJ$5,'制度詳細'!$J$9&lt;=EOMONTH(CJ$5,0)),"◆","")),IF(MAX('制度詳細'!$H$9,CJ$5)&lt;=MIN(IF('制度詳細'!$I$9="",EOMONTH(CJ$5,0),'制度詳細'!$I$9),EOMONTH(CJ$5,0)),"■",IF(AND('制度詳細'!$J$9&lt;&gt;"",'制度詳細'!$J$9&gt;=CJ$5,'制度詳細'!$J$9&lt;=EOMONTH(CJ$5,0)),"◆","")))</x:f>
      </x:c>
      <x:c r="CK9" s="57" t="str">
        <x:f>IF('制度詳細'!$H$9="",IF('制度詳細'!$J$9="","",IF(AND('制度詳細'!$J$9&gt;=CK$5,'制度詳細'!$J$9&lt;=EOMONTH(CK$5,0)),"◆","")),IF(MAX('制度詳細'!$H$9,CK$5)&lt;=MIN(IF('制度詳細'!$I$9="",EOMONTH(CK$5,0),'制度詳細'!$I$9),EOMONTH(CK$5,0)),"■",IF(AND('制度詳細'!$J$9&lt;&gt;"",'制度詳細'!$J$9&gt;=CK$5,'制度詳細'!$J$9&lt;=EOMONTH(CK$5,0)),"◆","")))</x:f>
      </x:c>
      <x:c r="CL9" s="57" t="str">
        <x:f>IF('制度詳細'!$H$9="",IF('制度詳細'!$J$9="","",IF(AND('制度詳細'!$J$9&gt;=CL$5,'制度詳細'!$J$9&lt;=EOMONTH(CL$5,0)),"◆","")),IF(MAX('制度詳細'!$H$9,CL$5)&lt;=MIN(IF('制度詳細'!$I$9="",EOMONTH(CL$5,0),'制度詳細'!$I$9),EOMONTH(CL$5,0)),"■",IF(AND('制度詳細'!$J$9&lt;&gt;"",'制度詳細'!$J$9&gt;=CL$5,'制度詳細'!$J$9&lt;=EOMONTH(CL$5,0)),"◆","")))</x:f>
      </x:c>
      <x:c r="CM9" s="57" t="str">
        <x:f>IF('制度詳細'!$H$9="",IF('制度詳細'!$J$9="","",IF(AND('制度詳細'!$J$9&gt;=CM$5,'制度詳細'!$J$9&lt;=EOMONTH(CM$5,0)),"◆","")),IF(MAX('制度詳細'!$H$9,CM$5)&lt;=MIN(IF('制度詳細'!$I$9="",EOMONTH(CM$5,0),'制度詳細'!$I$9),EOMONTH(CM$5,0)),"■",IF(AND('制度詳細'!$J$9&lt;&gt;"",'制度詳細'!$J$9&gt;=CM$5,'制度詳細'!$J$9&lt;=EOMONTH(CM$5,0)),"◆","")))</x:f>
      </x:c>
      <x:c r="CN9" s="57" t="str">
        <x:f>IF('制度詳細'!$H$9="",IF('制度詳細'!$J$9="","",IF(AND('制度詳細'!$J$9&gt;=CN$5,'制度詳細'!$J$9&lt;=EOMONTH(CN$5,0)),"◆","")),IF(MAX('制度詳細'!$H$9,CN$5)&lt;=MIN(IF('制度詳細'!$I$9="",EOMONTH(CN$5,0),'制度詳細'!$I$9),EOMONTH(CN$5,0)),"■",IF(AND('制度詳細'!$J$9&lt;&gt;"",'制度詳細'!$J$9&gt;=CN$5,'制度詳細'!$J$9&lt;=EOMONTH(CN$5,0)),"◆","")))</x:f>
      </x:c>
      <x:c r="CO9" s="57" t="str">
        <x:f>IF('制度詳細'!$H$9="",IF('制度詳細'!$J$9="","",IF(AND('制度詳細'!$J$9&gt;=CO$5,'制度詳細'!$J$9&lt;=EOMONTH(CO$5,0)),"◆","")),IF(MAX('制度詳細'!$H$9,CO$5)&lt;=MIN(IF('制度詳細'!$I$9="",EOMONTH(CO$5,0),'制度詳細'!$I$9),EOMONTH(CO$5,0)),"■",IF(AND('制度詳細'!$J$9&lt;&gt;"",'制度詳細'!$J$9&gt;=CO$5,'制度詳細'!$J$9&lt;=EOMONTH(CO$5,0)),"◆","")))</x:f>
      </x:c>
      <x:c r="CP9" s="57" t="str">
        <x:f>IF('制度詳細'!$H$9="",IF('制度詳細'!$J$9="","",IF(AND('制度詳細'!$J$9&gt;=CP$5,'制度詳細'!$J$9&lt;=EOMONTH(CP$5,0)),"◆","")),IF(MAX('制度詳細'!$H$9,CP$5)&lt;=MIN(IF('制度詳細'!$I$9="",EOMONTH(CP$5,0),'制度詳細'!$I$9),EOMONTH(CP$5,0)),"■",IF(AND('制度詳細'!$J$9&lt;&gt;"",'制度詳細'!$J$9&gt;=CP$5,'制度詳細'!$J$9&lt;=EOMONTH(CP$5,0)),"◆","")))</x:f>
      </x:c>
      <x:c r="CQ9" s="57" t="str">
        <x:f>IF('制度詳細'!$H$9="",IF('制度詳細'!$J$9="","",IF(AND('制度詳細'!$J$9&gt;=CQ$5,'制度詳細'!$J$9&lt;=EOMONTH(CQ$5,0)),"◆","")),IF(MAX('制度詳細'!$H$9,CQ$5)&lt;=MIN(IF('制度詳細'!$I$9="",EOMONTH(CQ$5,0),'制度詳細'!$I$9),EOMONTH(CQ$5,0)),"■",IF(AND('制度詳細'!$J$9&lt;&gt;"",'制度詳細'!$J$9&gt;=CQ$5,'制度詳細'!$J$9&lt;=EOMONTH(CQ$5,0)),"◆","")))</x:f>
      </x:c>
      <x:c r="CR9" s="57" t="str">
        <x:f>IF('制度詳細'!$H$9="",IF('制度詳細'!$J$9="","",IF(AND('制度詳細'!$J$9&gt;=CR$5,'制度詳細'!$J$9&lt;=EOMONTH(CR$5,0)),"◆","")),IF(MAX('制度詳細'!$H$9,CR$5)&lt;=MIN(IF('制度詳細'!$I$9="",EOMONTH(CR$5,0),'制度詳細'!$I$9),EOMONTH(CR$5,0)),"■",IF(AND('制度詳細'!$J$9&lt;&gt;"",'制度詳細'!$J$9&gt;=CR$5,'制度詳細'!$J$9&lt;=EOMONTH(CR$5,0)),"◆","")))</x:f>
      </x:c>
      <x:c r="CS9" s="57" t="str">
        <x:f>IF('制度詳細'!$H$9="",IF('制度詳細'!$J$9="","",IF(AND('制度詳細'!$J$9&gt;=CS$5,'制度詳細'!$J$9&lt;=EOMONTH(CS$5,0)),"◆","")),IF(MAX('制度詳細'!$H$9,CS$5)&lt;=MIN(IF('制度詳細'!$I$9="",EOMONTH(CS$5,0),'制度詳細'!$I$9),EOMONTH(CS$5,0)),"■",IF(AND('制度詳細'!$J$9&lt;&gt;"",'制度詳細'!$J$9&gt;=CS$5,'制度詳細'!$J$9&lt;=EOMONTH(CS$5,0)),"◆","")))</x:f>
      </x:c>
      <x:c r="CT9" s="57" t="str">
        <x:f>IF('制度詳細'!$H$9="",IF('制度詳細'!$J$9="","",IF(AND('制度詳細'!$J$9&gt;=CT$5,'制度詳細'!$J$9&lt;=EOMONTH(CT$5,0)),"◆","")),IF(MAX('制度詳細'!$H$9,CT$5)&lt;=MIN(IF('制度詳細'!$I$9="",EOMONTH(CT$5,0),'制度詳細'!$I$9),EOMONTH(CT$5,0)),"■",IF(AND('制度詳細'!$J$9&lt;&gt;"",'制度詳細'!$J$9&gt;=CT$5,'制度詳細'!$J$9&lt;=EOMONTH(CT$5,0)),"◆","")))</x:f>
      </x:c>
      <x:c r="CU9" s="57" t="str">
        <x:f>IF('制度詳細'!$H$9="",IF('制度詳細'!$J$9="","",IF(AND('制度詳細'!$J$9&gt;=CU$5,'制度詳細'!$J$9&lt;=EOMONTH(CU$5,0)),"◆","")),IF(MAX('制度詳細'!$H$9,CU$5)&lt;=MIN(IF('制度詳細'!$I$9="",EOMONTH(CU$5,0),'制度詳細'!$I$9),EOMONTH(CU$5,0)),"■",IF(AND('制度詳細'!$J$9&lt;&gt;"",'制度詳細'!$J$9&gt;=CU$5,'制度詳細'!$J$9&lt;=EOMONTH(CU$5,0)),"◆","")))</x:f>
      </x:c>
      <x:c r="CV9" s="57" t="str">
        <x:f>IF('制度詳細'!$H$9="",IF('制度詳細'!$J$9="","",IF(AND('制度詳細'!$J$9&gt;=CV$5,'制度詳細'!$J$9&lt;=EOMONTH(CV$5,0)),"◆","")),IF(MAX('制度詳細'!$H$9,CV$5)&lt;=MIN(IF('制度詳細'!$I$9="",EOMONTH(CV$5,0),'制度詳細'!$I$9),EOMONTH(CV$5,0)),"■",IF(AND('制度詳細'!$J$9&lt;&gt;"",'制度詳細'!$J$9&gt;=CV$5,'制度詳細'!$J$9&lt;=EOMONTH(CV$5,0)),"◆","")))</x:f>
      </x:c>
      <x:c r="CW9" s="1"/>
      <x:c r="CX9" s="1"/>
      <x:c r="CY9" s="1"/>
      <x:c r="CZ9" s="1"/>
      <x:c r="DA9" s="1"/>
      <x:c r="DB9" s="1"/>
      <x:c r="DC9" s="1"/>
      <x:c r="DD9" s="1"/>
    </x:row>
    <x:row r="10" ht="27" customHeight="1">
      <x:c r="A10" s="53" t="str">
        <x:v>TH05</x:v>
      </x:c>
      <x:c r="B10" s="53" t="str">
        <x:v>タイ</x:v>
      </x:c>
      <x:c r="C10" s="53" t="str">
        <x:v>EV3.5：国内生産2倍期限</x:v>
      </x:c>
      <x:c r="D10" s="53" t="str">
        <x:v>BEV</x:v>
      </x:c>
      <x:c r="E10" s="57" t="str">
        <x:f>IF('制度詳細'!$H$10="",IF('制度詳細'!$J$10="","",IF(AND('制度詳細'!$J$10&gt;=E$5,'制度詳細'!$J$10&lt;=EOMONTH(E$5,0)),"◆","")),IF(MAX('制度詳細'!$H$10,E$5)&lt;=MIN(IF('制度詳細'!$I$10="",EOMONTH(E$5,0),'制度詳細'!$I$10),EOMONTH(E$5,0)),"■",IF(AND('制度詳細'!$J$10&lt;&gt;"",'制度詳細'!$J$10&gt;=E$5,'制度詳細'!$J$10&lt;=EOMONTH(E$5,0)),"◆","")))</x:f>
      </x:c>
      <x:c r="F10" s="57" t="str">
        <x:f>IF('制度詳細'!$H$10="",IF('制度詳細'!$J$10="","",IF(AND('制度詳細'!$J$10&gt;=F$5,'制度詳細'!$J$10&lt;=EOMONTH(F$5,0)),"◆","")),IF(MAX('制度詳細'!$H$10,F$5)&lt;=MIN(IF('制度詳細'!$I$10="",EOMONTH(F$5,0),'制度詳細'!$I$10),EOMONTH(F$5,0)),"■",IF(AND('制度詳細'!$J$10&lt;&gt;"",'制度詳細'!$J$10&gt;=F$5,'制度詳細'!$J$10&lt;=EOMONTH(F$5,0)),"◆","")))</x:f>
      </x:c>
      <x:c r="G10" s="57" t="str">
        <x:f>IF('制度詳細'!$H$10="",IF('制度詳細'!$J$10="","",IF(AND('制度詳細'!$J$10&gt;=G$5,'制度詳細'!$J$10&lt;=EOMONTH(G$5,0)),"◆","")),IF(MAX('制度詳細'!$H$10,G$5)&lt;=MIN(IF('制度詳細'!$I$10="",EOMONTH(G$5,0),'制度詳細'!$I$10),EOMONTH(G$5,0)),"■",IF(AND('制度詳細'!$J$10&lt;&gt;"",'制度詳細'!$J$10&gt;=G$5,'制度詳細'!$J$10&lt;=EOMONTH(G$5,0)),"◆","")))</x:f>
      </x:c>
      <x:c r="H10" s="57" t="str">
        <x:f>IF('制度詳細'!$H$10="",IF('制度詳細'!$J$10="","",IF(AND('制度詳細'!$J$10&gt;=H$5,'制度詳細'!$J$10&lt;=EOMONTH(H$5,0)),"◆","")),IF(MAX('制度詳細'!$H$10,H$5)&lt;=MIN(IF('制度詳細'!$I$10="",EOMONTH(H$5,0),'制度詳細'!$I$10),EOMONTH(H$5,0)),"■",IF(AND('制度詳細'!$J$10&lt;&gt;"",'制度詳細'!$J$10&gt;=H$5,'制度詳細'!$J$10&lt;=EOMONTH(H$5,0)),"◆","")))</x:f>
      </x:c>
      <x:c r="I10" s="57" t="str">
        <x:f>IF('制度詳細'!$H$10="",IF('制度詳細'!$J$10="","",IF(AND('制度詳細'!$J$10&gt;=I$5,'制度詳細'!$J$10&lt;=EOMONTH(I$5,0)),"◆","")),IF(MAX('制度詳細'!$H$10,I$5)&lt;=MIN(IF('制度詳細'!$I$10="",EOMONTH(I$5,0),'制度詳細'!$I$10),EOMONTH(I$5,0)),"■",IF(AND('制度詳細'!$J$10&lt;&gt;"",'制度詳細'!$J$10&gt;=I$5,'制度詳細'!$J$10&lt;=EOMONTH(I$5,0)),"◆","")))</x:f>
      </x:c>
      <x:c r="J10" s="57" t="str">
        <x:f>IF('制度詳細'!$H$10="",IF('制度詳細'!$J$10="","",IF(AND('制度詳細'!$J$10&gt;=J$5,'制度詳細'!$J$10&lt;=EOMONTH(J$5,0)),"◆","")),IF(MAX('制度詳細'!$H$10,J$5)&lt;=MIN(IF('制度詳細'!$I$10="",EOMONTH(J$5,0),'制度詳細'!$I$10),EOMONTH(J$5,0)),"■",IF(AND('制度詳細'!$J$10&lt;&gt;"",'制度詳細'!$J$10&gt;=J$5,'制度詳細'!$J$10&lt;=EOMONTH(J$5,0)),"◆","")))</x:f>
      </x:c>
      <x:c r="K10" s="57" t="str">
        <x:f>IF('制度詳細'!$H$10="",IF('制度詳細'!$J$10="","",IF(AND('制度詳細'!$J$10&gt;=K$5,'制度詳細'!$J$10&lt;=EOMONTH(K$5,0)),"◆","")),IF(MAX('制度詳細'!$H$10,K$5)&lt;=MIN(IF('制度詳細'!$I$10="",EOMONTH(K$5,0),'制度詳細'!$I$10),EOMONTH(K$5,0)),"■",IF(AND('制度詳細'!$J$10&lt;&gt;"",'制度詳細'!$J$10&gt;=K$5,'制度詳細'!$J$10&lt;=EOMONTH(K$5,0)),"◆","")))</x:f>
      </x:c>
      <x:c r="L10" s="57" t="str">
        <x:f>IF('制度詳細'!$H$10="",IF('制度詳細'!$J$10="","",IF(AND('制度詳細'!$J$10&gt;=L$5,'制度詳細'!$J$10&lt;=EOMONTH(L$5,0)),"◆","")),IF(MAX('制度詳細'!$H$10,L$5)&lt;=MIN(IF('制度詳細'!$I$10="",EOMONTH(L$5,0),'制度詳細'!$I$10),EOMONTH(L$5,0)),"■",IF(AND('制度詳細'!$J$10&lt;&gt;"",'制度詳細'!$J$10&gt;=L$5,'制度詳細'!$J$10&lt;=EOMONTH(L$5,0)),"◆","")))</x:f>
      </x:c>
      <x:c r="M10" s="57" t="str">
        <x:f>IF('制度詳細'!$H$10="",IF('制度詳細'!$J$10="","",IF(AND('制度詳細'!$J$10&gt;=M$5,'制度詳細'!$J$10&lt;=EOMONTH(M$5,0)),"◆","")),IF(MAX('制度詳細'!$H$10,M$5)&lt;=MIN(IF('制度詳細'!$I$10="",EOMONTH(M$5,0),'制度詳細'!$I$10),EOMONTH(M$5,0)),"■",IF(AND('制度詳細'!$J$10&lt;&gt;"",'制度詳細'!$J$10&gt;=M$5,'制度詳細'!$J$10&lt;=EOMONTH(M$5,0)),"◆","")))</x:f>
      </x:c>
      <x:c r="N10" s="57" t="str">
        <x:f>IF('制度詳細'!$H$10="",IF('制度詳細'!$J$10="","",IF(AND('制度詳細'!$J$10&gt;=N$5,'制度詳細'!$J$10&lt;=EOMONTH(N$5,0)),"◆","")),IF(MAX('制度詳細'!$H$10,N$5)&lt;=MIN(IF('制度詳細'!$I$10="",EOMONTH(N$5,0),'制度詳細'!$I$10),EOMONTH(N$5,0)),"■",IF(AND('制度詳細'!$J$10&lt;&gt;"",'制度詳細'!$J$10&gt;=N$5,'制度詳細'!$J$10&lt;=EOMONTH(N$5,0)),"◆","")))</x:f>
      </x:c>
      <x:c r="O10" s="57" t="str">
        <x:f>IF('制度詳細'!$H$10="",IF('制度詳細'!$J$10="","",IF(AND('制度詳細'!$J$10&gt;=O$5,'制度詳細'!$J$10&lt;=EOMONTH(O$5,0)),"◆","")),IF(MAX('制度詳細'!$H$10,O$5)&lt;=MIN(IF('制度詳細'!$I$10="",EOMONTH(O$5,0),'制度詳細'!$I$10),EOMONTH(O$5,0)),"■",IF(AND('制度詳細'!$J$10&lt;&gt;"",'制度詳細'!$J$10&gt;=O$5,'制度詳細'!$J$10&lt;=EOMONTH(O$5,0)),"◆","")))</x:f>
      </x:c>
      <x:c r="P10" s="57" t="str">
        <x:f>IF('制度詳細'!$H$10="",IF('制度詳細'!$J$10="","",IF(AND('制度詳細'!$J$10&gt;=P$5,'制度詳細'!$J$10&lt;=EOMONTH(P$5,0)),"◆","")),IF(MAX('制度詳細'!$H$10,P$5)&lt;=MIN(IF('制度詳細'!$I$10="",EOMONTH(P$5,0),'制度詳細'!$I$10),EOMONTH(P$5,0)),"■",IF(AND('制度詳細'!$J$10&lt;&gt;"",'制度詳細'!$J$10&gt;=P$5,'制度詳細'!$J$10&lt;=EOMONTH(P$5,0)),"◆","")))</x:f>
      </x:c>
      <x:c r="Q10" s="57" t="str">
        <x:f>IF('制度詳細'!$H$10="",IF('制度詳細'!$J$10="","",IF(AND('制度詳細'!$J$10&gt;=Q$5,'制度詳細'!$J$10&lt;=EOMONTH(Q$5,0)),"◆","")),IF(MAX('制度詳細'!$H$10,Q$5)&lt;=MIN(IF('制度詳細'!$I$10="",EOMONTH(Q$5,0),'制度詳細'!$I$10),EOMONTH(Q$5,0)),"■",IF(AND('制度詳細'!$J$10&lt;&gt;"",'制度詳細'!$J$10&gt;=Q$5,'制度詳細'!$J$10&lt;=EOMONTH(Q$5,0)),"◆","")))</x:f>
      </x:c>
      <x:c r="R10" s="57" t="str">
        <x:f>IF('制度詳細'!$H$10="",IF('制度詳細'!$J$10="","",IF(AND('制度詳細'!$J$10&gt;=R$5,'制度詳細'!$J$10&lt;=EOMONTH(R$5,0)),"◆","")),IF(MAX('制度詳細'!$H$10,R$5)&lt;=MIN(IF('制度詳細'!$I$10="",EOMONTH(R$5,0),'制度詳細'!$I$10),EOMONTH(R$5,0)),"■",IF(AND('制度詳細'!$J$10&lt;&gt;"",'制度詳細'!$J$10&gt;=R$5,'制度詳細'!$J$10&lt;=EOMONTH(R$5,0)),"◆","")))</x:f>
      </x:c>
      <x:c r="S10" s="57" t="str">
        <x:f>IF('制度詳細'!$H$10="",IF('制度詳細'!$J$10="","",IF(AND('制度詳細'!$J$10&gt;=S$5,'制度詳細'!$J$10&lt;=EOMONTH(S$5,0)),"◆","")),IF(MAX('制度詳細'!$H$10,S$5)&lt;=MIN(IF('制度詳細'!$I$10="",EOMONTH(S$5,0),'制度詳細'!$I$10),EOMONTH(S$5,0)),"■",IF(AND('制度詳細'!$J$10&lt;&gt;"",'制度詳細'!$J$10&gt;=S$5,'制度詳細'!$J$10&lt;=EOMONTH(S$5,0)),"◆","")))</x:f>
      </x:c>
      <x:c r="T10" s="57" t="str">
        <x:f>IF('制度詳細'!$H$10="",IF('制度詳細'!$J$10="","",IF(AND('制度詳細'!$J$10&gt;=T$5,'制度詳細'!$J$10&lt;=EOMONTH(T$5,0)),"◆","")),IF(MAX('制度詳細'!$H$10,T$5)&lt;=MIN(IF('制度詳細'!$I$10="",EOMONTH(T$5,0),'制度詳細'!$I$10),EOMONTH(T$5,0)),"■",IF(AND('制度詳細'!$J$10&lt;&gt;"",'制度詳細'!$J$10&gt;=T$5,'制度詳細'!$J$10&lt;=EOMONTH(T$5,0)),"◆","")))</x:f>
      </x:c>
      <x:c r="U10" s="57" t="str">
        <x:f>IF('制度詳細'!$H$10="",IF('制度詳細'!$J$10="","",IF(AND('制度詳細'!$J$10&gt;=U$5,'制度詳細'!$J$10&lt;=EOMONTH(U$5,0)),"◆","")),IF(MAX('制度詳細'!$H$10,U$5)&lt;=MIN(IF('制度詳細'!$I$10="",EOMONTH(U$5,0),'制度詳細'!$I$10),EOMONTH(U$5,0)),"■",IF(AND('制度詳細'!$J$10&lt;&gt;"",'制度詳細'!$J$10&gt;=U$5,'制度詳細'!$J$10&lt;=EOMONTH(U$5,0)),"◆","")))</x:f>
      </x:c>
      <x:c r="V10" s="57" t="str">
        <x:f>IF('制度詳細'!$H$10="",IF('制度詳細'!$J$10="","",IF(AND('制度詳細'!$J$10&gt;=V$5,'制度詳細'!$J$10&lt;=EOMONTH(V$5,0)),"◆","")),IF(MAX('制度詳細'!$H$10,V$5)&lt;=MIN(IF('制度詳細'!$I$10="",EOMONTH(V$5,0),'制度詳細'!$I$10),EOMONTH(V$5,0)),"■",IF(AND('制度詳細'!$J$10&lt;&gt;"",'制度詳細'!$J$10&gt;=V$5,'制度詳細'!$J$10&lt;=EOMONTH(V$5,0)),"◆","")))</x:f>
      </x:c>
      <x:c r="W10" s="57" t="str">
        <x:f>IF('制度詳細'!$H$10="",IF('制度詳細'!$J$10="","",IF(AND('制度詳細'!$J$10&gt;=W$5,'制度詳細'!$J$10&lt;=EOMONTH(W$5,0)),"◆","")),IF(MAX('制度詳細'!$H$10,W$5)&lt;=MIN(IF('制度詳細'!$I$10="",EOMONTH(W$5,0),'制度詳細'!$I$10),EOMONTH(W$5,0)),"■",IF(AND('制度詳細'!$J$10&lt;&gt;"",'制度詳細'!$J$10&gt;=W$5,'制度詳細'!$J$10&lt;=EOMONTH(W$5,0)),"◆","")))</x:f>
      </x:c>
      <x:c r="X10" s="57" t="str">
        <x:f>IF('制度詳細'!$H$10="",IF('制度詳細'!$J$10="","",IF(AND('制度詳細'!$J$10&gt;=X$5,'制度詳細'!$J$10&lt;=EOMONTH(X$5,0)),"◆","")),IF(MAX('制度詳細'!$H$10,X$5)&lt;=MIN(IF('制度詳細'!$I$10="",EOMONTH(X$5,0),'制度詳細'!$I$10),EOMONTH(X$5,0)),"■",IF(AND('制度詳細'!$J$10&lt;&gt;"",'制度詳細'!$J$10&gt;=X$5,'制度詳細'!$J$10&lt;=EOMONTH(X$5,0)),"◆","")))</x:f>
      </x:c>
      <x:c r="Y10" s="57" t="str">
        <x:f>IF('制度詳細'!$H$10="",IF('制度詳細'!$J$10="","",IF(AND('制度詳細'!$J$10&gt;=Y$5,'制度詳細'!$J$10&lt;=EOMONTH(Y$5,0)),"◆","")),IF(MAX('制度詳細'!$H$10,Y$5)&lt;=MIN(IF('制度詳細'!$I$10="",EOMONTH(Y$5,0),'制度詳細'!$I$10),EOMONTH(Y$5,0)),"■",IF(AND('制度詳細'!$J$10&lt;&gt;"",'制度詳細'!$J$10&gt;=Y$5,'制度詳細'!$J$10&lt;=EOMONTH(Y$5,0)),"◆","")))</x:f>
      </x:c>
      <x:c r="Z10" s="57" t="str">
        <x:f>IF('制度詳細'!$H$10="",IF('制度詳細'!$J$10="","",IF(AND('制度詳細'!$J$10&gt;=Z$5,'制度詳細'!$J$10&lt;=EOMONTH(Z$5,0)),"◆","")),IF(MAX('制度詳細'!$H$10,Z$5)&lt;=MIN(IF('制度詳細'!$I$10="",EOMONTH(Z$5,0),'制度詳細'!$I$10),EOMONTH(Z$5,0)),"■",IF(AND('制度詳細'!$J$10&lt;&gt;"",'制度詳細'!$J$10&gt;=Z$5,'制度詳細'!$J$10&lt;=EOMONTH(Z$5,0)),"◆","")))</x:f>
      </x:c>
      <x:c r="AA10" s="57" t="str">
        <x:f>IF('制度詳細'!$H$10="",IF('制度詳細'!$J$10="","",IF(AND('制度詳細'!$J$10&gt;=AA$5,'制度詳細'!$J$10&lt;=EOMONTH(AA$5,0)),"◆","")),IF(MAX('制度詳細'!$H$10,AA$5)&lt;=MIN(IF('制度詳細'!$I$10="",EOMONTH(AA$5,0),'制度詳細'!$I$10),EOMONTH(AA$5,0)),"■",IF(AND('制度詳細'!$J$10&lt;&gt;"",'制度詳細'!$J$10&gt;=AA$5,'制度詳細'!$J$10&lt;=EOMONTH(AA$5,0)),"◆","")))</x:f>
      </x:c>
      <x:c r="AB10" s="57" t="str">
        <x:f>IF('制度詳細'!$H$10="",IF('制度詳細'!$J$10="","",IF(AND('制度詳細'!$J$10&gt;=AB$5,'制度詳細'!$J$10&lt;=EOMONTH(AB$5,0)),"◆","")),IF(MAX('制度詳細'!$H$10,AB$5)&lt;=MIN(IF('制度詳細'!$I$10="",EOMONTH(AB$5,0),'制度詳細'!$I$10),EOMONTH(AB$5,0)),"■",IF(AND('制度詳細'!$J$10&lt;&gt;"",'制度詳細'!$J$10&gt;=AB$5,'制度詳細'!$J$10&lt;=EOMONTH(AB$5,0)),"◆","")))</x:f>
      </x:c>
      <x:c r="AC10" s="57" t="str">
        <x:f>IF('制度詳細'!$H$10="",IF('制度詳細'!$J$10="","",IF(AND('制度詳細'!$J$10&gt;=AC$5,'制度詳細'!$J$10&lt;=EOMONTH(AC$5,0)),"◆","")),IF(MAX('制度詳細'!$H$10,AC$5)&lt;=MIN(IF('制度詳細'!$I$10="",EOMONTH(AC$5,0),'制度詳細'!$I$10),EOMONTH(AC$5,0)),"■",IF(AND('制度詳細'!$J$10&lt;&gt;"",'制度詳細'!$J$10&gt;=AC$5,'制度詳細'!$J$10&lt;=EOMONTH(AC$5,0)),"◆","")))</x:f>
      </x:c>
      <x:c r="AD10" s="57" t="str">
        <x:f>IF('制度詳細'!$H$10="",IF('制度詳細'!$J$10="","",IF(AND('制度詳細'!$J$10&gt;=AD$5,'制度詳細'!$J$10&lt;=EOMONTH(AD$5,0)),"◆","")),IF(MAX('制度詳細'!$H$10,AD$5)&lt;=MIN(IF('制度詳細'!$I$10="",EOMONTH(AD$5,0),'制度詳細'!$I$10),EOMONTH(AD$5,0)),"■",IF(AND('制度詳細'!$J$10&lt;&gt;"",'制度詳細'!$J$10&gt;=AD$5,'制度詳細'!$J$10&lt;=EOMONTH(AD$5,0)),"◆","")))</x:f>
      </x:c>
      <x:c r="AE10" s="57" t="str">
        <x:f>IF('制度詳細'!$H$10="",IF('制度詳細'!$J$10="","",IF(AND('制度詳細'!$J$10&gt;=AE$5,'制度詳細'!$J$10&lt;=EOMONTH(AE$5,0)),"◆","")),IF(MAX('制度詳細'!$H$10,AE$5)&lt;=MIN(IF('制度詳細'!$I$10="",EOMONTH(AE$5,0),'制度詳細'!$I$10),EOMONTH(AE$5,0)),"■",IF(AND('制度詳細'!$J$10&lt;&gt;"",'制度詳細'!$J$10&gt;=AE$5,'制度詳細'!$J$10&lt;=EOMONTH(AE$5,0)),"◆","")))</x:f>
      </x:c>
      <x:c r="AF10" s="57" t="str">
        <x:f>IF('制度詳細'!$H$10="",IF('制度詳細'!$J$10="","",IF(AND('制度詳細'!$J$10&gt;=AF$5,'制度詳細'!$J$10&lt;=EOMONTH(AF$5,0)),"◆","")),IF(MAX('制度詳細'!$H$10,AF$5)&lt;=MIN(IF('制度詳細'!$I$10="",EOMONTH(AF$5,0),'制度詳細'!$I$10),EOMONTH(AF$5,0)),"■",IF(AND('制度詳細'!$J$10&lt;&gt;"",'制度詳細'!$J$10&gt;=AF$5,'制度詳細'!$J$10&lt;=EOMONTH(AF$5,0)),"◆","")))</x:f>
      </x:c>
      <x:c r="AG10" s="57" t="str">
        <x:f>IF('制度詳細'!$H$10="",IF('制度詳細'!$J$10="","",IF(AND('制度詳細'!$J$10&gt;=AG$5,'制度詳細'!$J$10&lt;=EOMONTH(AG$5,0)),"◆","")),IF(MAX('制度詳細'!$H$10,AG$5)&lt;=MIN(IF('制度詳細'!$I$10="",EOMONTH(AG$5,0),'制度詳細'!$I$10),EOMONTH(AG$5,0)),"■",IF(AND('制度詳細'!$J$10&lt;&gt;"",'制度詳細'!$J$10&gt;=AG$5,'制度詳細'!$J$10&lt;=EOMONTH(AG$5,0)),"◆","")))</x:f>
      </x:c>
      <x:c r="AH10" s="57" t="str">
        <x:f>IF('制度詳細'!$H$10="",IF('制度詳細'!$J$10="","",IF(AND('制度詳細'!$J$10&gt;=AH$5,'制度詳細'!$J$10&lt;=EOMONTH(AH$5,0)),"◆","")),IF(MAX('制度詳細'!$H$10,AH$5)&lt;=MIN(IF('制度詳細'!$I$10="",EOMONTH(AH$5,0),'制度詳細'!$I$10),EOMONTH(AH$5,0)),"■",IF(AND('制度詳細'!$J$10&lt;&gt;"",'制度詳細'!$J$10&gt;=AH$5,'制度詳細'!$J$10&lt;=EOMONTH(AH$5,0)),"◆","")))</x:f>
      </x:c>
      <x:c r="AI10" s="57" t="str">
        <x:f>IF('制度詳細'!$H$10="",IF('制度詳細'!$J$10="","",IF(AND('制度詳細'!$J$10&gt;=AI$5,'制度詳細'!$J$10&lt;=EOMONTH(AI$5,0)),"◆","")),IF(MAX('制度詳細'!$H$10,AI$5)&lt;=MIN(IF('制度詳細'!$I$10="",EOMONTH(AI$5,0),'制度詳細'!$I$10),EOMONTH(AI$5,0)),"■",IF(AND('制度詳細'!$J$10&lt;&gt;"",'制度詳細'!$J$10&gt;=AI$5,'制度詳細'!$J$10&lt;=EOMONTH(AI$5,0)),"◆","")))</x:f>
      </x:c>
      <x:c r="AJ10" s="57" t="str">
        <x:f>IF('制度詳細'!$H$10="",IF('制度詳細'!$J$10="","",IF(AND('制度詳細'!$J$10&gt;=AJ$5,'制度詳細'!$J$10&lt;=EOMONTH(AJ$5,0)),"◆","")),IF(MAX('制度詳細'!$H$10,AJ$5)&lt;=MIN(IF('制度詳細'!$I$10="",EOMONTH(AJ$5,0),'制度詳細'!$I$10),EOMONTH(AJ$5,0)),"■",IF(AND('制度詳細'!$J$10&lt;&gt;"",'制度詳細'!$J$10&gt;=AJ$5,'制度詳細'!$J$10&lt;=EOMONTH(AJ$5,0)),"◆","")))</x:f>
      </x:c>
      <x:c r="AK10" s="57" t="str">
        <x:f>IF('制度詳細'!$H$10="",IF('制度詳細'!$J$10="","",IF(AND('制度詳細'!$J$10&gt;=AK$5,'制度詳細'!$J$10&lt;=EOMONTH(AK$5,0)),"◆","")),IF(MAX('制度詳細'!$H$10,AK$5)&lt;=MIN(IF('制度詳細'!$I$10="",EOMONTH(AK$5,0),'制度詳細'!$I$10),EOMONTH(AK$5,0)),"■",IF(AND('制度詳細'!$J$10&lt;&gt;"",'制度詳細'!$J$10&gt;=AK$5,'制度詳細'!$J$10&lt;=EOMONTH(AK$5,0)),"◆","")))</x:f>
      </x:c>
      <x:c r="AL10" s="57" t="str">
        <x:f>IF('制度詳細'!$H$10="",IF('制度詳細'!$J$10="","",IF(AND('制度詳細'!$J$10&gt;=AL$5,'制度詳細'!$J$10&lt;=EOMONTH(AL$5,0)),"◆","")),IF(MAX('制度詳細'!$H$10,AL$5)&lt;=MIN(IF('制度詳細'!$I$10="",EOMONTH(AL$5,0),'制度詳細'!$I$10),EOMONTH(AL$5,0)),"■",IF(AND('制度詳細'!$J$10&lt;&gt;"",'制度詳細'!$J$10&gt;=AL$5,'制度詳細'!$J$10&lt;=EOMONTH(AL$5,0)),"◆","")))</x:f>
      </x:c>
      <x:c r="AM10" s="57" t="str">
        <x:f>IF('制度詳細'!$H$10="",IF('制度詳細'!$J$10="","",IF(AND('制度詳細'!$J$10&gt;=AM$5,'制度詳細'!$J$10&lt;=EOMONTH(AM$5,0)),"◆","")),IF(MAX('制度詳細'!$H$10,AM$5)&lt;=MIN(IF('制度詳細'!$I$10="",EOMONTH(AM$5,0),'制度詳細'!$I$10),EOMONTH(AM$5,0)),"■",IF(AND('制度詳細'!$J$10&lt;&gt;"",'制度詳細'!$J$10&gt;=AM$5,'制度詳細'!$J$10&lt;=EOMONTH(AM$5,0)),"◆","")))</x:f>
      </x:c>
      <x:c r="AN10" s="57" t="str">
        <x:f>IF('制度詳細'!$H$10="",IF('制度詳細'!$J$10="","",IF(AND('制度詳細'!$J$10&gt;=AN$5,'制度詳細'!$J$10&lt;=EOMONTH(AN$5,0)),"◆","")),IF(MAX('制度詳細'!$H$10,AN$5)&lt;=MIN(IF('制度詳細'!$I$10="",EOMONTH(AN$5,0),'制度詳細'!$I$10),EOMONTH(AN$5,0)),"■",IF(AND('制度詳細'!$J$10&lt;&gt;"",'制度詳細'!$J$10&gt;=AN$5,'制度詳細'!$J$10&lt;=EOMONTH(AN$5,0)),"◆","")))</x:f>
      </x:c>
      <x:c r="AO10" s="57" t="str">
        <x:f>IF('制度詳細'!$H$10="",IF('制度詳細'!$J$10="","",IF(AND('制度詳細'!$J$10&gt;=AO$5,'制度詳細'!$J$10&lt;=EOMONTH(AO$5,0)),"◆","")),IF(MAX('制度詳細'!$H$10,AO$5)&lt;=MIN(IF('制度詳細'!$I$10="",EOMONTH(AO$5,0),'制度詳細'!$I$10),EOMONTH(AO$5,0)),"■",IF(AND('制度詳細'!$J$10&lt;&gt;"",'制度詳細'!$J$10&gt;=AO$5,'制度詳細'!$J$10&lt;=EOMONTH(AO$5,0)),"◆","")))</x:f>
      </x:c>
      <x:c r="AP10" s="57" t="str">
        <x:f>IF('制度詳細'!$H$10="",IF('制度詳細'!$J$10="","",IF(AND('制度詳細'!$J$10&gt;=AP$5,'制度詳細'!$J$10&lt;=EOMONTH(AP$5,0)),"◆","")),IF(MAX('制度詳細'!$H$10,AP$5)&lt;=MIN(IF('制度詳細'!$I$10="",EOMONTH(AP$5,0),'制度詳細'!$I$10),EOMONTH(AP$5,0)),"■",IF(AND('制度詳細'!$J$10&lt;&gt;"",'制度詳細'!$J$10&gt;=AP$5,'制度詳細'!$J$10&lt;=EOMONTH(AP$5,0)),"◆","")))</x:f>
      </x:c>
      <x:c r="AQ10" s="57" t="str">
        <x:f>IF('制度詳細'!$H$10="",IF('制度詳細'!$J$10="","",IF(AND('制度詳細'!$J$10&gt;=AQ$5,'制度詳細'!$J$10&lt;=EOMONTH(AQ$5,0)),"◆","")),IF(MAX('制度詳細'!$H$10,AQ$5)&lt;=MIN(IF('制度詳細'!$I$10="",EOMONTH(AQ$5,0),'制度詳細'!$I$10),EOMONTH(AQ$5,0)),"■",IF(AND('制度詳細'!$J$10&lt;&gt;"",'制度詳細'!$J$10&gt;=AQ$5,'制度詳細'!$J$10&lt;=EOMONTH(AQ$5,0)),"◆","")))</x:f>
      </x:c>
      <x:c r="AR10" s="57" t="str">
        <x:f>IF('制度詳細'!$H$10="",IF('制度詳細'!$J$10="","",IF(AND('制度詳細'!$J$10&gt;=AR$5,'制度詳細'!$J$10&lt;=EOMONTH(AR$5,0)),"◆","")),IF(MAX('制度詳細'!$H$10,AR$5)&lt;=MIN(IF('制度詳細'!$I$10="",EOMONTH(AR$5,0),'制度詳細'!$I$10),EOMONTH(AR$5,0)),"■",IF(AND('制度詳細'!$J$10&lt;&gt;"",'制度詳細'!$J$10&gt;=AR$5,'制度詳細'!$J$10&lt;=EOMONTH(AR$5,0)),"◆","")))</x:f>
      </x:c>
      <x:c r="AS10" s="57" t="str">
        <x:f>IF('制度詳細'!$H$10="",IF('制度詳細'!$J$10="","",IF(AND('制度詳細'!$J$10&gt;=AS$5,'制度詳細'!$J$10&lt;=EOMONTH(AS$5,0)),"◆","")),IF(MAX('制度詳細'!$H$10,AS$5)&lt;=MIN(IF('制度詳細'!$I$10="",EOMONTH(AS$5,0),'制度詳細'!$I$10),EOMONTH(AS$5,0)),"■",IF(AND('制度詳細'!$J$10&lt;&gt;"",'制度詳細'!$J$10&gt;=AS$5,'制度詳細'!$J$10&lt;=EOMONTH(AS$5,0)),"◆","")))</x:f>
      </x:c>
      <x:c r="AT10" s="57" t="str">
        <x:f>IF('制度詳細'!$H$10="",IF('制度詳細'!$J$10="","",IF(AND('制度詳細'!$J$10&gt;=AT$5,'制度詳細'!$J$10&lt;=EOMONTH(AT$5,0)),"◆","")),IF(MAX('制度詳細'!$H$10,AT$5)&lt;=MIN(IF('制度詳細'!$I$10="",EOMONTH(AT$5,0),'制度詳細'!$I$10),EOMONTH(AT$5,0)),"■",IF(AND('制度詳細'!$J$10&lt;&gt;"",'制度詳細'!$J$10&gt;=AT$5,'制度詳細'!$J$10&lt;=EOMONTH(AT$5,0)),"◆","")))</x:f>
      </x:c>
      <x:c r="AU10" s="57" t="str">
        <x:f>IF('制度詳細'!$H$10="",IF('制度詳細'!$J$10="","",IF(AND('制度詳細'!$J$10&gt;=AU$5,'制度詳細'!$J$10&lt;=EOMONTH(AU$5,0)),"◆","")),IF(MAX('制度詳細'!$H$10,AU$5)&lt;=MIN(IF('制度詳細'!$I$10="",EOMONTH(AU$5,0),'制度詳細'!$I$10),EOMONTH(AU$5,0)),"■",IF(AND('制度詳細'!$J$10&lt;&gt;"",'制度詳細'!$J$10&gt;=AU$5,'制度詳細'!$J$10&lt;=EOMONTH(AU$5,0)),"◆","")))</x:f>
      </x:c>
      <x:c r="AV10" s="57" t="str">
        <x:f>IF('制度詳細'!$H$10="",IF('制度詳細'!$J$10="","",IF(AND('制度詳細'!$J$10&gt;=AV$5,'制度詳細'!$J$10&lt;=EOMONTH(AV$5,0)),"◆","")),IF(MAX('制度詳細'!$H$10,AV$5)&lt;=MIN(IF('制度詳細'!$I$10="",EOMONTH(AV$5,0),'制度詳細'!$I$10),EOMONTH(AV$5,0)),"■",IF(AND('制度詳細'!$J$10&lt;&gt;"",'制度詳細'!$J$10&gt;=AV$5,'制度詳細'!$J$10&lt;=EOMONTH(AV$5,0)),"◆","")))</x:f>
      </x:c>
      <x:c r="AW10" s="57" t="str">
        <x:f>IF('制度詳細'!$H$10="",IF('制度詳細'!$J$10="","",IF(AND('制度詳細'!$J$10&gt;=AW$5,'制度詳細'!$J$10&lt;=EOMONTH(AW$5,0)),"◆","")),IF(MAX('制度詳細'!$H$10,AW$5)&lt;=MIN(IF('制度詳細'!$I$10="",EOMONTH(AW$5,0),'制度詳細'!$I$10),EOMONTH(AW$5,0)),"■",IF(AND('制度詳細'!$J$10&lt;&gt;"",'制度詳細'!$J$10&gt;=AW$5,'制度詳細'!$J$10&lt;=EOMONTH(AW$5,0)),"◆","")))</x:f>
      </x:c>
      <x:c r="AX10" s="57" t="str">
        <x:f>IF('制度詳細'!$H$10="",IF('制度詳細'!$J$10="","",IF(AND('制度詳細'!$J$10&gt;=AX$5,'制度詳細'!$J$10&lt;=EOMONTH(AX$5,0)),"◆","")),IF(MAX('制度詳細'!$H$10,AX$5)&lt;=MIN(IF('制度詳細'!$I$10="",EOMONTH(AX$5,0),'制度詳細'!$I$10),EOMONTH(AX$5,0)),"■",IF(AND('制度詳細'!$J$10&lt;&gt;"",'制度詳細'!$J$10&gt;=AX$5,'制度詳細'!$J$10&lt;=EOMONTH(AX$5,0)),"◆","")))</x:f>
      </x:c>
      <x:c r="AY10" s="57" t="str">
        <x:f>IF('制度詳細'!$H$10="",IF('制度詳細'!$J$10="","",IF(AND('制度詳細'!$J$10&gt;=AY$5,'制度詳細'!$J$10&lt;=EOMONTH(AY$5,0)),"◆","")),IF(MAX('制度詳細'!$H$10,AY$5)&lt;=MIN(IF('制度詳細'!$I$10="",EOMONTH(AY$5,0),'制度詳細'!$I$10),EOMONTH(AY$5,0)),"■",IF(AND('制度詳細'!$J$10&lt;&gt;"",'制度詳細'!$J$10&gt;=AY$5,'制度詳細'!$J$10&lt;=EOMONTH(AY$5,0)),"◆","")))</x:f>
        <x:v>◆</x:v>
      </x:c>
      <x:c r="AZ10" s="57" t="str">
        <x:f>IF('制度詳細'!$H$10="",IF('制度詳細'!$J$10="","",IF(AND('制度詳細'!$J$10&gt;=AZ$5,'制度詳細'!$J$10&lt;=EOMONTH(AZ$5,0)),"◆","")),IF(MAX('制度詳細'!$H$10,AZ$5)&lt;=MIN(IF('制度詳細'!$I$10="",EOMONTH(AZ$5,0),'制度詳細'!$I$10),EOMONTH(AZ$5,0)),"■",IF(AND('制度詳細'!$J$10&lt;&gt;"",'制度詳細'!$J$10&gt;=AZ$5,'制度詳細'!$J$10&lt;=EOMONTH(AZ$5,0)),"◆","")))</x:f>
      </x:c>
      <x:c r="BA10" s="57" t="str">
        <x:f>IF('制度詳細'!$H$10="",IF('制度詳細'!$J$10="","",IF(AND('制度詳細'!$J$10&gt;=BA$5,'制度詳細'!$J$10&lt;=EOMONTH(BA$5,0)),"◆","")),IF(MAX('制度詳細'!$H$10,BA$5)&lt;=MIN(IF('制度詳細'!$I$10="",EOMONTH(BA$5,0),'制度詳細'!$I$10),EOMONTH(BA$5,0)),"■",IF(AND('制度詳細'!$J$10&lt;&gt;"",'制度詳細'!$J$10&gt;=BA$5,'制度詳細'!$J$10&lt;=EOMONTH(BA$5,0)),"◆","")))</x:f>
      </x:c>
      <x:c r="BB10" s="57" t="str">
        <x:f>IF('制度詳細'!$H$10="",IF('制度詳細'!$J$10="","",IF(AND('制度詳細'!$J$10&gt;=BB$5,'制度詳細'!$J$10&lt;=EOMONTH(BB$5,0)),"◆","")),IF(MAX('制度詳細'!$H$10,BB$5)&lt;=MIN(IF('制度詳細'!$I$10="",EOMONTH(BB$5,0),'制度詳細'!$I$10),EOMONTH(BB$5,0)),"■",IF(AND('制度詳細'!$J$10&lt;&gt;"",'制度詳細'!$J$10&gt;=BB$5,'制度詳細'!$J$10&lt;=EOMONTH(BB$5,0)),"◆","")))</x:f>
      </x:c>
      <x:c r="BC10" s="57" t="str">
        <x:f>IF('制度詳細'!$H$10="",IF('制度詳細'!$J$10="","",IF(AND('制度詳細'!$J$10&gt;=BC$5,'制度詳細'!$J$10&lt;=EOMONTH(BC$5,0)),"◆","")),IF(MAX('制度詳細'!$H$10,BC$5)&lt;=MIN(IF('制度詳細'!$I$10="",EOMONTH(BC$5,0),'制度詳細'!$I$10),EOMONTH(BC$5,0)),"■",IF(AND('制度詳細'!$J$10&lt;&gt;"",'制度詳細'!$J$10&gt;=BC$5,'制度詳細'!$J$10&lt;=EOMONTH(BC$5,0)),"◆","")))</x:f>
      </x:c>
      <x:c r="BD10" s="57" t="str">
        <x:f>IF('制度詳細'!$H$10="",IF('制度詳細'!$J$10="","",IF(AND('制度詳細'!$J$10&gt;=BD$5,'制度詳細'!$J$10&lt;=EOMONTH(BD$5,0)),"◆","")),IF(MAX('制度詳細'!$H$10,BD$5)&lt;=MIN(IF('制度詳細'!$I$10="",EOMONTH(BD$5,0),'制度詳細'!$I$10),EOMONTH(BD$5,0)),"■",IF(AND('制度詳細'!$J$10&lt;&gt;"",'制度詳細'!$J$10&gt;=BD$5,'制度詳細'!$J$10&lt;=EOMONTH(BD$5,0)),"◆","")))</x:f>
      </x:c>
      <x:c r="BE10" s="57" t="str">
        <x:f>IF('制度詳細'!$H$10="",IF('制度詳細'!$J$10="","",IF(AND('制度詳細'!$J$10&gt;=BE$5,'制度詳細'!$J$10&lt;=EOMONTH(BE$5,0)),"◆","")),IF(MAX('制度詳細'!$H$10,BE$5)&lt;=MIN(IF('制度詳細'!$I$10="",EOMONTH(BE$5,0),'制度詳細'!$I$10),EOMONTH(BE$5,0)),"■",IF(AND('制度詳細'!$J$10&lt;&gt;"",'制度詳細'!$J$10&gt;=BE$5,'制度詳細'!$J$10&lt;=EOMONTH(BE$5,0)),"◆","")))</x:f>
      </x:c>
      <x:c r="BF10" s="57" t="str">
        <x:f>IF('制度詳細'!$H$10="",IF('制度詳細'!$J$10="","",IF(AND('制度詳細'!$J$10&gt;=BF$5,'制度詳細'!$J$10&lt;=EOMONTH(BF$5,0)),"◆","")),IF(MAX('制度詳細'!$H$10,BF$5)&lt;=MIN(IF('制度詳細'!$I$10="",EOMONTH(BF$5,0),'制度詳細'!$I$10),EOMONTH(BF$5,0)),"■",IF(AND('制度詳細'!$J$10&lt;&gt;"",'制度詳細'!$J$10&gt;=BF$5,'制度詳細'!$J$10&lt;=EOMONTH(BF$5,0)),"◆","")))</x:f>
      </x:c>
      <x:c r="BG10" s="57" t="str">
        <x:f>IF('制度詳細'!$H$10="",IF('制度詳細'!$J$10="","",IF(AND('制度詳細'!$J$10&gt;=BG$5,'制度詳細'!$J$10&lt;=EOMONTH(BG$5,0)),"◆","")),IF(MAX('制度詳細'!$H$10,BG$5)&lt;=MIN(IF('制度詳細'!$I$10="",EOMONTH(BG$5,0),'制度詳細'!$I$10),EOMONTH(BG$5,0)),"■",IF(AND('制度詳細'!$J$10&lt;&gt;"",'制度詳細'!$J$10&gt;=BG$5,'制度詳細'!$J$10&lt;=EOMONTH(BG$5,0)),"◆","")))</x:f>
      </x:c>
      <x:c r="BH10" s="57" t="str">
        <x:f>IF('制度詳細'!$H$10="",IF('制度詳細'!$J$10="","",IF(AND('制度詳細'!$J$10&gt;=BH$5,'制度詳細'!$J$10&lt;=EOMONTH(BH$5,0)),"◆","")),IF(MAX('制度詳細'!$H$10,BH$5)&lt;=MIN(IF('制度詳細'!$I$10="",EOMONTH(BH$5,0),'制度詳細'!$I$10),EOMONTH(BH$5,0)),"■",IF(AND('制度詳細'!$J$10&lt;&gt;"",'制度詳細'!$J$10&gt;=BH$5,'制度詳細'!$J$10&lt;=EOMONTH(BH$5,0)),"◆","")))</x:f>
      </x:c>
      <x:c r="BI10" s="57" t="str">
        <x:f>IF('制度詳細'!$H$10="",IF('制度詳細'!$J$10="","",IF(AND('制度詳細'!$J$10&gt;=BI$5,'制度詳細'!$J$10&lt;=EOMONTH(BI$5,0)),"◆","")),IF(MAX('制度詳細'!$H$10,BI$5)&lt;=MIN(IF('制度詳細'!$I$10="",EOMONTH(BI$5,0),'制度詳細'!$I$10),EOMONTH(BI$5,0)),"■",IF(AND('制度詳細'!$J$10&lt;&gt;"",'制度詳細'!$J$10&gt;=BI$5,'制度詳細'!$J$10&lt;=EOMONTH(BI$5,0)),"◆","")))</x:f>
      </x:c>
      <x:c r="BJ10" s="57" t="str">
        <x:f>IF('制度詳細'!$H$10="",IF('制度詳細'!$J$10="","",IF(AND('制度詳細'!$J$10&gt;=BJ$5,'制度詳細'!$J$10&lt;=EOMONTH(BJ$5,0)),"◆","")),IF(MAX('制度詳細'!$H$10,BJ$5)&lt;=MIN(IF('制度詳細'!$I$10="",EOMONTH(BJ$5,0),'制度詳細'!$I$10),EOMONTH(BJ$5,0)),"■",IF(AND('制度詳細'!$J$10&lt;&gt;"",'制度詳細'!$J$10&gt;=BJ$5,'制度詳細'!$J$10&lt;=EOMONTH(BJ$5,0)),"◆","")))</x:f>
      </x:c>
      <x:c r="BK10" s="57" t="str">
        <x:f>IF('制度詳細'!$H$10="",IF('制度詳細'!$J$10="","",IF(AND('制度詳細'!$J$10&gt;=BK$5,'制度詳細'!$J$10&lt;=EOMONTH(BK$5,0)),"◆","")),IF(MAX('制度詳細'!$H$10,BK$5)&lt;=MIN(IF('制度詳細'!$I$10="",EOMONTH(BK$5,0),'制度詳細'!$I$10),EOMONTH(BK$5,0)),"■",IF(AND('制度詳細'!$J$10&lt;&gt;"",'制度詳細'!$J$10&gt;=BK$5,'制度詳細'!$J$10&lt;=EOMONTH(BK$5,0)),"◆","")))</x:f>
      </x:c>
      <x:c r="BL10" s="57" t="str">
        <x:f>IF('制度詳細'!$H$10="",IF('制度詳細'!$J$10="","",IF(AND('制度詳細'!$J$10&gt;=BL$5,'制度詳細'!$J$10&lt;=EOMONTH(BL$5,0)),"◆","")),IF(MAX('制度詳細'!$H$10,BL$5)&lt;=MIN(IF('制度詳細'!$I$10="",EOMONTH(BL$5,0),'制度詳細'!$I$10),EOMONTH(BL$5,0)),"■",IF(AND('制度詳細'!$J$10&lt;&gt;"",'制度詳細'!$J$10&gt;=BL$5,'制度詳細'!$J$10&lt;=EOMONTH(BL$5,0)),"◆","")))</x:f>
      </x:c>
      <x:c r="BM10" s="57" t="str">
        <x:f>IF('制度詳細'!$H$10="",IF('制度詳細'!$J$10="","",IF(AND('制度詳細'!$J$10&gt;=BM$5,'制度詳細'!$J$10&lt;=EOMONTH(BM$5,0)),"◆","")),IF(MAX('制度詳細'!$H$10,BM$5)&lt;=MIN(IF('制度詳細'!$I$10="",EOMONTH(BM$5,0),'制度詳細'!$I$10),EOMONTH(BM$5,0)),"■",IF(AND('制度詳細'!$J$10&lt;&gt;"",'制度詳細'!$J$10&gt;=BM$5,'制度詳細'!$J$10&lt;=EOMONTH(BM$5,0)),"◆","")))</x:f>
      </x:c>
      <x:c r="BN10" s="57" t="str">
        <x:f>IF('制度詳細'!$H$10="",IF('制度詳細'!$J$10="","",IF(AND('制度詳細'!$J$10&gt;=BN$5,'制度詳細'!$J$10&lt;=EOMONTH(BN$5,0)),"◆","")),IF(MAX('制度詳細'!$H$10,BN$5)&lt;=MIN(IF('制度詳細'!$I$10="",EOMONTH(BN$5,0),'制度詳細'!$I$10),EOMONTH(BN$5,0)),"■",IF(AND('制度詳細'!$J$10&lt;&gt;"",'制度詳細'!$J$10&gt;=BN$5,'制度詳細'!$J$10&lt;=EOMONTH(BN$5,0)),"◆","")))</x:f>
      </x:c>
      <x:c r="BO10" s="57" t="str">
        <x:f>IF('制度詳細'!$H$10="",IF('制度詳細'!$J$10="","",IF(AND('制度詳細'!$J$10&gt;=BO$5,'制度詳細'!$J$10&lt;=EOMONTH(BO$5,0)),"◆","")),IF(MAX('制度詳細'!$H$10,BO$5)&lt;=MIN(IF('制度詳細'!$I$10="",EOMONTH(BO$5,0),'制度詳細'!$I$10),EOMONTH(BO$5,0)),"■",IF(AND('制度詳細'!$J$10&lt;&gt;"",'制度詳細'!$J$10&gt;=BO$5,'制度詳細'!$J$10&lt;=EOMONTH(BO$5,0)),"◆","")))</x:f>
      </x:c>
      <x:c r="BP10" s="57" t="str">
        <x:f>IF('制度詳細'!$H$10="",IF('制度詳細'!$J$10="","",IF(AND('制度詳細'!$J$10&gt;=BP$5,'制度詳細'!$J$10&lt;=EOMONTH(BP$5,0)),"◆","")),IF(MAX('制度詳細'!$H$10,BP$5)&lt;=MIN(IF('制度詳細'!$I$10="",EOMONTH(BP$5,0),'制度詳細'!$I$10),EOMONTH(BP$5,0)),"■",IF(AND('制度詳細'!$J$10&lt;&gt;"",'制度詳細'!$J$10&gt;=BP$5,'制度詳細'!$J$10&lt;=EOMONTH(BP$5,0)),"◆","")))</x:f>
      </x:c>
      <x:c r="BQ10" s="57" t="str">
        <x:f>IF('制度詳細'!$H$10="",IF('制度詳細'!$J$10="","",IF(AND('制度詳細'!$J$10&gt;=BQ$5,'制度詳細'!$J$10&lt;=EOMONTH(BQ$5,0)),"◆","")),IF(MAX('制度詳細'!$H$10,BQ$5)&lt;=MIN(IF('制度詳細'!$I$10="",EOMONTH(BQ$5,0),'制度詳細'!$I$10),EOMONTH(BQ$5,0)),"■",IF(AND('制度詳細'!$J$10&lt;&gt;"",'制度詳細'!$J$10&gt;=BQ$5,'制度詳細'!$J$10&lt;=EOMONTH(BQ$5,0)),"◆","")))</x:f>
      </x:c>
      <x:c r="BR10" s="57" t="str">
        <x:f>IF('制度詳細'!$H$10="",IF('制度詳細'!$J$10="","",IF(AND('制度詳細'!$J$10&gt;=BR$5,'制度詳細'!$J$10&lt;=EOMONTH(BR$5,0)),"◆","")),IF(MAX('制度詳細'!$H$10,BR$5)&lt;=MIN(IF('制度詳細'!$I$10="",EOMONTH(BR$5,0),'制度詳細'!$I$10),EOMONTH(BR$5,0)),"■",IF(AND('制度詳細'!$J$10&lt;&gt;"",'制度詳細'!$J$10&gt;=BR$5,'制度詳細'!$J$10&lt;=EOMONTH(BR$5,0)),"◆","")))</x:f>
      </x:c>
      <x:c r="BS10" s="57" t="str">
        <x:f>IF('制度詳細'!$H$10="",IF('制度詳細'!$J$10="","",IF(AND('制度詳細'!$J$10&gt;=BS$5,'制度詳細'!$J$10&lt;=EOMONTH(BS$5,0)),"◆","")),IF(MAX('制度詳細'!$H$10,BS$5)&lt;=MIN(IF('制度詳細'!$I$10="",EOMONTH(BS$5,0),'制度詳細'!$I$10),EOMONTH(BS$5,0)),"■",IF(AND('制度詳細'!$J$10&lt;&gt;"",'制度詳細'!$J$10&gt;=BS$5,'制度詳細'!$J$10&lt;=EOMONTH(BS$5,0)),"◆","")))</x:f>
      </x:c>
      <x:c r="BT10" s="57" t="str">
        <x:f>IF('制度詳細'!$H$10="",IF('制度詳細'!$J$10="","",IF(AND('制度詳細'!$J$10&gt;=BT$5,'制度詳細'!$J$10&lt;=EOMONTH(BT$5,0)),"◆","")),IF(MAX('制度詳細'!$H$10,BT$5)&lt;=MIN(IF('制度詳細'!$I$10="",EOMONTH(BT$5,0),'制度詳細'!$I$10),EOMONTH(BT$5,0)),"■",IF(AND('制度詳細'!$J$10&lt;&gt;"",'制度詳細'!$J$10&gt;=BT$5,'制度詳細'!$J$10&lt;=EOMONTH(BT$5,0)),"◆","")))</x:f>
      </x:c>
      <x:c r="BU10" s="57" t="str">
        <x:f>IF('制度詳細'!$H$10="",IF('制度詳細'!$J$10="","",IF(AND('制度詳細'!$J$10&gt;=BU$5,'制度詳細'!$J$10&lt;=EOMONTH(BU$5,0)),"◆","")),IF(MAX('制度詳細'!$H$10,BU$5)&lt;=MIN(IF('制度詳細'!$I$10="",EOMONTH(BU$5,0),'制度詳細'!$I$10),EOMONTH(BU$5,0)),"■",IF(AND('制度詳細'!$J$10&lt;&gt;"",'制度詳細'!$J$10&gt;=BU$5,'制度詳細'!$J$10&lt;=EOMONTH(BU$5,0)),"◆","")))</x:f>
      </x:c>
      <x:c r="BV10" s="57" t="str">
        <x:f>IF('制度詳細'!$H$10="",IF('制度詳細'!$J$10="","",IF(AND('制度詳細'!$J$10&gt;=BV$5,'制度詳細'!$J$10&lt;=EOMONTH(BV$5,0)),"◆","")),IF(MAX('制度詳細'!$H$10,BV$5)&lt;=MIN(IF('制度詳細'!$I$10="",EOMONTH(BV$5,0),'制度詳細'!$I$10),EOMONTH(BV$5,0)),"■",IF(AND('制度詳細'!$J$10&lt;&gt;"",'制度詳細'!$J$10&gt;=BV$5,'制度詳細'!$J$10&lt;=EOMONTH(BV$5,0)),"◆","")))</x:f>
      </x:c>
      <x:c r="BW10" s="57" t="str">
        <x:f>IF('制度詳細'!$H$10="",IF('制度詳細'!$J$10="","",IF(AND('制度詳細'!$J$10&gt;=BW$5,'制度詳細'!$J$10&lt;=EOMONTH(BW$5,0)),"◆","")),IF(MAX('制度詳細'!$H$10,BW$5)&lt;=MIN(IF('制度詳細'!$I$10="",EOMONTH(BW$5,0),'制度詳細'!$I$10),EOMONTH(BW$5,0)),"■",IF(AND('制度詳細'!$J$10&lt;&gt;"",'制度詳細'!$J$10&gt;=BW$5,'制度詳細'!$J$10&lt;=EOMONTH(BW$5,0)),"◆","")))</x:f>
      </x:c>
      <x:c r="BX10" s="57" t="str">
        <x:f>IF('制度詳細'!$H$10="",IF('制度詳細'!$J$10="","",IF(AND('制度詳細'!$J$10&gt;=BX$5,'制度詳細'!$J$10&lt;=EOMONTH(BX$5,0)),"◆","")),IF(MAX('制度詳細'!$H$10,BX$5)&lt;=MIN(IF('制度詳細'!$I$10="",EOMONTH(BX$5,0),'制度詳細'!$I$10),EOMONTH(BX$5,0)),"■",IF(AND('制度詳細'!$J$10&lt;&gt;"",'制度詳細'!$J$10&gt;=BX$5,'制度詳細'!$J$10&lt;=EOMONTH(BX$5,0)),"◆","")))</x:f>
      </x:c>
      <x:c r="BY10" s="57" t="str">
        <x:f>IF('制度詳細'!$H$10="",IF('制度詳細'!$J$10="","",IF(AND('制度詳細'!$J$10&gt;=BY$5,'制度詳細'!$J$10&lt;=EOMONTH(BY$5,0)),"◆","")),IF(MAX('制度詳細'!$H$10,BY$5)&lt;=MIN(IF('制度詳細'!$I$10="",EOMONTH(BY$5,0),'制度詳細'!$I$10),EOMONTH(BY$5,0)),"■",IF(AND('制度詳細'!$J$10&lt;&gt;"",'制度詳細'!$J$10&gt;=BY$5,'制度詳細'!$J$10&lt;=EOMONTH(BY$5,0)),"◆","")))</x:f>
      </x:c>
      <x:c r="BZ10" s="57" t="str">
        <x:f>IF('制度詳細'!$H$10="",IF('制度詳細'!$J$10="","",IF(AND('制度詳細'!$J$10&gt;=BZ$5,'制度詳細'!$J$10&lt;=EOMONTH(BZ$5,0)),"◆","")),IF(MAX('制度詳細'!$H$10,BZ$5)&lt;=MIN(IF('制度詳細'!$I$10="",EOMONTH(BZ$5,0),'制度詳細'!$I$10),EOMONTH(BZ$5,0)),"■",IF(AND('制度詳細'!$J$10&lt;&gt;"",'制度詳細'!$J$10&gt;=BZ$5,'制度詳細'!$J$10&lt;=EOMONTH(BZ$5,0)),"◆","")))</x:f>
      </x:c>
      <x:c r="CA10" s="57" t="str">
        <x:f>IF('制度詳細'!$H$10="",IF('制度詳細'!$J$10="","",IF(AND('制度詳細'!$J$10&gt;=CA$5,'制度詳細'!$J$10&lt;=EOMONTH(CA$5,0)),"◆","")),IF(MAX('制度詳細'!$H$10,CA$5)&lt;=MIN(IF('制度詳細'!$I$10="",EOMONTH(CA$5,0),'制度詳細'!$I$10),EOMONTH(CA$5,0)),"■",IF(AND('制度詳細'!$J$10&lt;&gt;"",'制度詳細'!$J$10&gt;=CA$5,'制度詳細'!$J$10&lt;=EOMONTH(CA$5,0)),"◆","")))</x:f>
      </x:c>
      <x:c r="CB10" s="57" t="str">
        <x:f>IF('制度詳細'!$H$10="",IF('制度詳細'!$J$10="","",IF(AND('制度詳細'!$J$10&gt;=CB$5,'制度詳細'!$J$10&lt;=EOMONTH(CB$5,0)),"◆","")),IF(MAX('制度詳細'!$H$10,CB$5)&lt;=MIN(IF('制度詳細'!$I$10="",EOMONTH(CB$5,0),'制度詳細'!$I$10),EOMONTH(CB$5,0)),"■",IF(AND('制度詳細'!$J$10&lt;&gt;"",'制度詳細'!$J$10&gt;=CB$5,'制度詳細'!$J$10&lt;=EOMONTH(CB$5,0)),"◆","")))</x:f>
      </x:c>
      <x:c r="CC10" s="57" t="str">
        <x:f>IF('制度詳細'!$H$10="",IF('制度詳細'!$J$10="","",IF(AND('制度詳細'!$J$10&gt;=CC$5,'制度詳細'!$J$10&lt;=EOMONTH(CC$5,0)),"◆","")),IF(MAX('制度詳細'!$H$10,CC$5)&lt;=MIN(IF('制度詳細'!$I$10="",EOMONTH(CC$5,0),'制度詳細'!$I$10),EOMONTH(CC$5,0)),"■",IF(AND('制度詳細'!$J$10&lt;&gt;"",'制度詳細'!$J$10&gt;=CC$5,'制度詳細'!$J$10&lt;=EOMONTH(CC$5,0)),"◆","")))</x:f>
      </x:c>
      <x:c r="CD10" s="57" t="str">
        <x:f>IF('制度詳細'!$H$10="",IF('制度詳細'!$J$10="","",IF(AND('制度詳細'!$J$10&gt;=CD$5,'制度詳細'!$J$10&lt;=EOMONTH(CD$5,0)),"◆","")),IF(MAX('制度詳細'!$H$10,CD$5)&lt;=MIN(IF('制度詳細'!$I$10="",EOMONTH(CD$5,0),'制度詳細'!$I$10),EOMONTH(CD$5,0)),"■",IF(AND('制度詳細'!$J$10&lt;&gt;"",'制度詳細'!$J$10&gt;=CD$5,'制度詳細'!$J$10&lt;=EOMONTH(CD$5,0)),"◆","")))</x:f>
      </x:c>
      <x:c r="CE10" s="57" t="str">
        <x:f>IF('制度詳細'!$H$10="",IF('制度詳細'!$J$10="","",IF(AND('制度詳細'!$J$10&gt;=CE$5,'制度詳細'!$J$10&lt;=EOMONTH(CE$5,0)),"◆","")),IF(MAX('制度詳細'!$H$10,CE$5)&lt;=MIN(IF('制度詳細'!$I$10="",EOMONTH(CE$5,0),'制度詳細'!$I$10),EOMONTH(CE$5,0)),"■",IF(AND('制度詳細'!$J$10&lt;&gt;"",'制度詳細'!$J$10&gt;=CE$5,'制度詳細'!$J$10&lt;=EOMONTH(CE$5,0)),"◆","")))</x:f>
      </x:c>
      <x:c r="CF10" s="57" t="str">
        <x:f>IF('制度詳細'!$H$10="",IF('制度詳細'!$J$10="","",IF(AND('制度詳細'!$J$10&gt;=CF$5,'制度詳細'!$J$10&lt;=EOMONTH(CF$5,0)),"◆","")),IF(MAX('制度詳細'!$H$10,CF$5)&lt;=MIN(IF('制度詳細'!$I$10="",EOMONTH(CF$5,0),'制度詳細'!$I$10),EOMONTH(CF$5,0)),"■",IF(AND('制度詳細'!$J$10&lt;&gt;"",'制度詳細'!$J$10&gt;=CF$5,'制度詳細'!$J$10&lt;=EOMONTH(CF$5,0)),"◆","")))</x:f>
      </x:c>
      <x:c r="CG10" s="57" t="str">
        <x:f>IF('制度詳細'!$H$10="",IF('制度詳細'!$J$10="","",IF(AND('制度詳細'!$J$10&gt;=CG$5,'制度詳細'!$J$10&lt;=EOMONTH(CG$5,0)),"◆","")),IF(MAX('制度詳細'!$H$10,CG$5)&lt;=MIN(IF('制度詳細'!$I$10="",EOMONTH(CG$5,0),'制度詳細'!$I$10),EOMONTH(CG$5,0)),"■",IF(AND('制度詳細'!$J$10&lt;&gt;"",'制度詳細'!$J$10&gt;=CG$5,'制度詳細'!$J$10&lt;=EOMONTH(CG$5,0)),"◆","")))</x:f>
      </x:c>
      <x:c r="CH10" s="57" t="str">
        <x:f>IF('制度詳細'!$H$10="",IF('制度詳細'!$J$10="","",IF(AND('制度詳細'!$J$10&gt;=CH$5,'制度詳細'!$J$10&lt;=EOMONTH(CH$5,0)),"◆","")),IF(MAX('制度詳細'!$H$10,CH$5)&lt;=MIN(IF('制度詳細'!$I$10="",EOMONTH(CH$5,0),'制度詳細'!$I$10),EOMONTH(CH$5,0)),"■",IF(AND('制度詳細'!$J$10&lt;&gt;"",'制度詳細'!$J$10&gt;=CH$5,'制度詳細'!$J$10&lt;=EOMONTH(CH$5,0)),"◆","")))</x:f>
      </x:c>
      <x:c r="CI10" s="57" t="str">
        <x:f>IF('制度詳細'!$H$10="",IF('制度詳細'!$J$10="","",IF(AND('制度詳細'!$J$10&gt;=CI$5,'制度詳細'!$J$10&lt;=EOMONTH(CI$5,0)),"◆","")),IF(MAX('制度詳細'!$H$10,CI$5)&lt;=MIN(IF('制度詳細'!$I$10="",EOMONTH(CI$5,0),'制度詳細'!$I$10),EOMONTH(CI$5,0)),"■",IF(AND('制度詳細'!$J$10&lt;&gt;"",'制度詳細'!$J$10&gt;=CI$5,'制度詳細'!$J$10&lt;=EOMONTH(CI$5,0)),"◆","")))</x:f>
      </x:c>
      <x:c r="CJ10" s="57" t="str">
        <x:f>IF('制度詳細'!$H$10="",IF('制度詳細'!$J$10="","",IF(AND('制度詳細'!$J$10&gt;=CJ$5,'制度詳細'!$J$10&lt;=EOMONTH(CJ$5,0)),"◆","")),IF(MAX('制度詳細'!$H$10,CJ$5)&lt;=MIN(IF('制度詳細'!$I$10="",EOMONTH(CJ$5,0),'制度詳細'!$I$10),EOMONTH(CJ$5,0)),"■",IF(AND('制度詳細'!$J$10&lt;&gt;"",'制度詳細'!$J$10&gt;=CJ$5,'制度詳細'!$J$10&lt;=EOMONTH(CJ$5,0)),"◆","")))</x:f>
        <x:v>■</x:v>
      </x:c>
      <x:c r="CK10" s="57" t="str">
        <x:f>IF('制度詳細'!$H$10="",IF('制度詳細'!$J$10="","",IF(AND('制度詳細'!$J$10&gt;=CK$5,'制度詳細'!$J$10&lt;=EOMONTH(CK$5,0)),"◆","")),IF(MAX('制度詳細'!$H$10,CK$5)&lt;=MIN(IF('制度詳細'!$I$10="",EOMONTH(CK$5,0),'制度詳細'!$I$10),EOMONTH(CK$5,0)),"■",IF(AND('制度詳細'!$J$10&lt;&gt;"",'制度詳細'!$J$10&gt;=CK$5,'制度詳細'!$J$10&lt;=EOMONTH(CK$5,0)),"◆","")))</x:f>
      </x:c>
      <x:c r="CL10" s="57" t="str">
        <x:f>IF('制度詳細'!$H$10="",IF('制度詳細'!$J$10="","",IF(AND('制度詳細'!$J$10&gt;=CL$5,'制度詳細'!$J$10&lt;=EOMONTH(CL$5,0)),"◆","")),IF(MAX('制度詳細'!$H$10,CL$5)&lt;=MIN(IF('制度詳細'!$I$10="",EOMONTH(CL$5,0),'制度詳細'!$I$10),EOMONTH(CL$5,0)),"■",IF(AND('制度詳細'!$J$10&lt;&gt;"",'制度詳細'!$J$10&gt;=CL$5,'制度詳細'!$J$10&lt;=EOMONTH(CL$5,0)),"◆","")))</x:f>
      </x:c>
      <x:c r="CM10" s="57" t="str">
        <x:f>IF('制度詳細'!$H$10="",IF('制度詳細'!$J$10="","",IF(AND('制度詳細'!$J$10&gt;=CM$5,'制度詳細'!$J$10&lt;=EOMONTH(CM$5,0)),"◆","")),IF(MAX('制度詳細'!$H$10,CM$5)&lt;=MIN(IF('制度詳細'!$I$10="",EOMONTH(CM$5,0),'制度詳細'!$I$10),EOMONTH(CM$5,0)),"■",IF(AND('制度詳細'!$J$10&lt;&gt;"",'制度詳細'!$J$10&gt;=CM$5,'制度詳細'!$J$10&lt;=EOMONTH(CM$5,0)),"◆","")))</x:f>
      </x:c>
      <x:c r="CN10" s="57" t="str">
        <x:f>IF('制度詳細'!$H$10="",IF('制度詳細'!$J$10="","",IF(AND('制度詳細'!$J$10&gt;=CN$5,'制度詳細'!$J$10&lt;=EOMONTH(CN$5,0)),"◆","")),IF(MAX('制度詳細'!$H$10,CN$5)&lt;=MIN(IF('制度詳細'!$I$10="",EOMONTH(CN$5,0),'制度詳細'!$I$10),EOMONTH(CN$5,0)),"■",IF(AND('制度詳細'!$J$10&lt;&gt;"",'制度詳細'!$J$10&gt;=CN$5,'制度詳細'!$J$10&lt;=EOMONTH(CN$5,0)),"◆","")))</x:f>
      </x:c>
      <x:c r="CO10" s="57" t="str">
        <x:f>IF('制度詳細'!$H$10="",IF('制度詳細'!$J$10="","",IF(AND('制度詳細'!$J$10&gt;=CO$5,'制度詳細'!$J$10&lt;=EOMONTH(CO$5,0)),"◆","")),IF(MAX('制度詳細'!$H$10,CO$5)&lt;=MIN(IF('制度詳細'!$I$10="",EOMONTH(CO$5,0),'制度詳細'!$I$10),EOMONTH(CO$5,0)),"■",IF(AND('制度詳細'!$J$10&lt;&gt;"",'制度詳細'!$J$10&gt;=CO$5,'制度詳細'!$J$10&lt;=EOMONTH(CO$5,0)),"◆","")))</x:f>
      </x:c>
      <x:c r="CP10" s="57" t="str">
        <x:f>IF('制度詳細'!$H$10="",IF('制度詳細'!$J$10="","",IF(AND('制度詳細'!$J$10&gt;=CP$5,'制度詳細'!$J$10&lt;=EOMONTH(CP$5,0)),"◆","")),IF(MAX('制度詳細'!$H$10,CP$5)&lt;=MIN(IF('制度詳細'!$I$10="",EOMONTH(CP$5,0),'制度詳細'!$I$10),EOMONTH(CP$5,0)),"■",IF(AND('制度詳細'!$J$10&lt;&gt;"",'制度詳細'!$J$10&gt;=CP$5,'制度詳細'!$J$10&lt;=EOMONTH(CP$5,0)),"◆","")))</x:f>
      </x:c>
      <x:c r="CQ10" s="57" t="str">
        <x:f>IF('制度詳細'!$H$10="",IF('制度詳細'!$J$10="","",IF(AND('制度詳細'!$J$10&gt;=CQ$5,'制度詳細'!$J$10&lt;=EOMONTH(CQ$5,0)),"◆","")),IF(MAX('制度詳細'!$H$10,CQ$5)&lt;=MIN(IF('制度詳細'!$I$10="",EOMONTH(CQ$5,0),'制度詳細'!$I$10),EOMONTH(CQ$5,0)),"■",IF(AND('制度詳細'!$J$10&lt;&gt;"",'制度詳細'!$J$10&gt;=CQ$5,'制度詳細'!$J$10&lt;=EOMONTH(CQ$5,0)),"◆","")))</x:f>
      </x:c>
      <x:c r="CR10" s="57" t="str">
        <x:f>IF('制度詳細'!$H$10="",IF('制度詳細'!$J$10="","",IF(AND('制度詳細'!$J$10&gt;=CR$5,'制度詳細'!$J$10&lt;=EOMONTH(CR$5,0)),"◆","")),IF(MAX('制度詳細'!$H$10,CR$5)&lt;=MIN(IF('制度詳細'!$I$10="",EOMONTH(CR$5,0),'制度詳細'!$I$10),EOMONTH(CR$5,0)),"■",IF(AND('制度詳細'!$J$10&lt;&gt;"",'制度詳細'!$J$10&gt;=CR$5,'制度詳細'!$J$10&lt;=EOMONTH(CR$5,0)),"◆","")))</x:f>
      </x:c>
      <x:c r="CS10" s="57" t="str">
        <x:f>IF('制度詳細'!$H$10="",IF('制度詳細'!$J$10="","",IF(AND('制度詳細'!$J$10&gt;=CS$5,'制度詳細'!$J$10&lt;=EOMONTH(CS$5,0)),"◆","")),IF(MAX('制度詳細'!$H$10,CS$5)&lt;=MIN(IF('制度詳細'!$I$10="",EOMONTH(CS$5,0),'制度詳細'!$I$10),EOMONTH(CS$5,0)),"■",IF(AND('制度詳細'!$J$10&lt;&gt;"",'制度詳細'!$J$10&gt;=CS$5,'制度詳細'!$J$10&lt;=EOMONTH(CS$5,0)),"◆","")))</x:f>
      </x:c>
      <x:c r="CT10" s="57" t="str">
        <x:f>IF('制度詳細'!$H$10="",IF('制度詳細'!$J$10="","",IF(AND('制度詳細'!$J$10&gt;=CT$5,'制度詳細'!$J$10&lt;=EOMONTH(CT$5,0)),"◆","")),IF(MAX('制度詳細'!$H$10,CT$5)&lt;=MIN(IF('制度詳細'!$I$10="",EOMONTH(CT$5,0),'制度詳細'!$I$10),EOMONTH(CT$5,0)),"■",IF(AND('制度詳細'!$J$10&lt;&gt;"",'制度詳細'!$J$10&gt;=CT$5,'制度詳細'!$J$10&lt;=EOMONTH(CT$5,0)),"◆","")))</x:f>
      </x:c>
      <x:c r="CU10" s="57" t="str">
        <x:f>IF('制度詳細'!$H$10="",IF('制度詳細'!$J$10="","",IF(AND('制度詳細'!$J$10&gt;=CU$5,'制度詳細'!$J$10&lt;=EOMONTH(CU$5,0)),"◆","")),IF(MAX('制度詳細'!$H$10,CU$5)&lt;=MIN(IF('制度詳細'!$I$10="",EOMONTH(CU$5,0),'制度詳細'!$I$10),EOMONTH(CU$5,0)),"■",IF(AND('制度詳細'!$J$10&lt;&gt;"",'制度詳細'!$J$10&gt;=CU$5,'制度詳細'!$J$10&lt;=EOMONTH(CU$5,0)),"◆","")))</x:f>
      </x:c>
      <x:c r="CV10" s="57" t="str">
        <x:f>IF('制度詳細'!$H$10="",IF('制度詳細'!$J$10="","",IF(AND('制度詳細'!$J$10&gt;=CV$5,'制度詳細'!$J$10&lt;=EOMONTH(CV$5,0)),"◆","")),IF(MAX('制度詳細'!$H$10,CV$5)&lt;=MIN(IF('制度詳細'!$I$10="",EOMONTH(CV$5,0),'制度詳細'!$I$10),EOMONTH(CV$5,0)),"■",IF(AND('制度詳細'!$J$10&lt;&gt;"",'制度詳細'!$J$10&gt;=CV$5,'制度詳細'!$J$10&lt;=EOMONTH(CV$5,0)),"◆","")))</x:f>
      </x:c>
      <x:c r="CW10" s="1"/>
      <x:c r="CX10" s="1"/>
      <x:c r="CY10" s="1"/>
      <x:c r="CZ10" s="1"/>
      <x:c r="DA10" s="1"/>
      <x:c r="DB10" s="1"/>
      <x:c r="DC10" s="1"/>
      <x:c r="DD10" s="1"/>
    </x:row>
    <x:row r="11" ht="27" customHeight="1">
      <x:c r="A11" s="58" t="str">
        <x:v>TH06</x:v>
      </x:c>
      <x:c r="B11" s="58" t="str">
        <x:v>タイ</x:v>
      </x:c>
      <x:c r="C11" s="58" t="str">
        <x:v>EV3.5：国内生産3倍期限</x:v>
      </x:c>
      <x:c r="D11" s="58" t="str">
        <x:v>BEV</x:v>
      </x:c>
      <x:c r="E11" s="57" t="str">
        <x:f>IF('制度詳細'!$H$11="",IF('制度詳細'!$J$11="","",IF(AND('制度詳細'!$J$11&gt;=E$5,'制度詳細'!$J$11&lt;=EOMONTH(E$5,0)),"◆","")),IF(MAX('制度詳細'!$H$11,E$5)&lt;=MIN(IF('制度詳細'!$I$11="",EOMONTH(E$5,0),'制度詳細'!$I$11),EOMONTH(E$5,0)),"■",IF(AND('制度詳細'!$J$11&lt;&gt;"",'制度詳細'!$J$11&gt;=E$5,'制度詳細'!$J$11&lt;=EOMONTH(E$5,0)),"◆","")))</x:f>
      </x:c>
      <x:c r="F11" s="57" t="str">
        <x:f>IF('制度詳細'!$H$11="",IF('制度詳細'!$J$11="","",IF(AND('制度詳細'!$J$11&gt;=F$5,'制度詳細'!$J$11&lt;=EOMONTH(F$5,0)),"◆","")),IF(MAX('制度詳細'!$H$11,F$5)&lt;=MIN(IF('制度詳細'!$I$11="",EOMONTH(F$5,0),'制度詳細'!$I$11),EOMONTH(F$5,0)),"■",IF(AND('制度詳細'!$J$11&lt;&gt;"",'制度詳細'!$J$11&gt;=F$5,'制度詳細'!$J$11&lt;=EOMONTH(F$5,0)),"◆","")))</x:f>
      </x:c>
      <x:c r="G11" s="57" t="str">
        <x:f>IF('制度詳細'!$H$11="",IF('制度詳細'!$J$11="","",IF(AND('制度詳細'!$J$11&gt;=G$5,'制度詳細'!$J$11&lt;=EOMONTH(G$5,0)),"◆","")),IF(MAX('制度詳細'!$H$11,G$5)&lt;=MIN(IF('制度詳細'!$I$11="",EOMONTH(G$5,0),'制度詳細'!$I$11),EOMONTH(G$5,0)),"■",IF(AND('制度詳細'!$J$11&lt;&gt;"",'制度詳細'!$J$11&gt;=G$5,'制度詳細'!$J$11&lt;=EOMONTH(G$5,0)),"◆","")))</x:f>
      </x:c>
      <x:c r="H11" s="57" t="str">
        <x:f>IF('制度詳細'!$H$11="",IF('制度詳細'!$J$11="","",IF(AND('制度詳細'!$J$11&gt;=H$5,'制度詳細'!$J$11&lt;=EOMONTH(H$5,0)),"◆","")),IF(MAX('制度詳細'!$H$11,H$5)&lt;=MIN(IF('制度詳細'!$I$11="",EOMONTH(H$5,0),'制度詳細'!$I$11),EOMONTH(H$5,0)),"■",IF(AND('制度詳細'!$J$11&lt;&gt;"",'制度詳細'!$J$11&gt;=H$5,'制度詳細'!$J$11&lt;=EOMONTH(H$5,0)),"◆","")))</x:f>
      </x:c>
      <x:c r="I11" s="57" t="str">
        <x:f>IF('制度詳細'!$H$11="",IF('制度詳細'!$J$11="","",IF(AND('制度詳細'!$J$11&gt;=I$5,'制度詳細'!$J$11&lt;=EOMONTH(I$5,0)),"◆","")),IF(MAX('制度詳細'!$H$11,I$5)&lt;=MIN(IF('制度詳細'!$I$11="",EOMONTH(I$5,0),'制度詳細'!$I$11),EOMONTH(I$5,0)),"■",IF(AND('制度詳細'!$J$11&lt;&gt;"",'制度詳細'!$J$11&gt;=I$5,'制度詳細'!$J$11&lt;=EOMONTH(I$5,0)),"◆","")))</x:f>
      </x:c>
      <x:c r="J11" s="57" t="str">
        <x:f>IF('制度詳細'!$H$11="",IF('制度詳細'!$J$11="","",IF(AND('制度詳細'!$J$11&gt;=J$5,'制度詳細'!$J$11&lt;=EOMONTH(J$5,0)),"◆","")),IF(MAX('制度詳細'!$H$11,J$5)&lt;=MIN(IF('制度詳細'!$I$11="",EOMONTH(J$5,0),'制度詳細'!$I$11),EOMONTH(J$5,0)),"■",IF(AND('制度詳細'!$J$11&lt;&gt;"",'制度詳細'!$J$11&gt;=J$5,'制度詳細'!$J$11&lt;=EOMONTH(J$5,0)),"◆","")))</x:f>
      </x:c>
      <x:c r="K11" s="57" t="str">
        <x:f>IF('制度詳細'!$H$11="",IF('制度詳細'!$J$11="","",IF(AND('制度詳細'!$J$11&gt;=K$5,'制度詳細'!$J$11&lt;=EOMONTH(K$5,0)),"◆","")),IF(MAX('制度詳細'!$H$11,K$5)&lt;=MIN(IF('制度詳細'!$I$11="",EOMONTH(K$5,0),'制度詳細'!$I$11),EOMONTH(K$5,0)),"■",IF(AND('制度詳細'!$J$11&lt;&gt;"",'制度詳細'!$J$11&gt;=K$5,'制度詳細'!$J$11&lt;=EOMONTH(K$5,0)),"◆","")))</x:f>
      </x:c>
      <x:c r="L11" s="57" t="str">
        <x:f>IF('制度詳細'!$H$11="",IF('制度詳細'!$J$11="","",IF(AND('制度詳細'!$J$11&gt;=L$5,'制度詳細'!$J$11&lt;=EOMONTH(L$5,0)),"◆","")),IF(MAX('制度詳細'!$H$11,L$5)&lt;=MIN(IF('制度詳細'!$I$11="",EOMONTH(L$5,0),'制度詳細'!$I$11),EOMONTH(L$5,0)),"■",IF(AND('制度詳細'!$J$11&lt;&gt;"",'制度詳細'!$J$11&gt;=L$5,'制度詳細'!$J$11&lt;=EOMONTH(L$5,0)),"◆","")))</x:f>
      </x:c>
      <x:c r="M11" s="57" t="str">
        <x:f>IF('制度詳細'!$H$11="",IF('制度詳細'!$J$11="","",IF(AND('制度詳細'!$J$11&gt;=M$5,'制度詳細'!$J$11&lt;=EOMONTH(M$5,0)),"◆","")),IF(MAX('制度詳細'!$H$11,M$5)&lt;=MIN(IF('制度詳細'!$I$11="",EOMONTH(M$5,0),'制度詳細'!$I$11),EOMONTH(M$5,0)),"■",IF(AND('制度詳細'!$J$11&lt;&gt;"",'制度詳細'!$J$11&gt;=M$5,'制度詳細'!$J$11&lt;=EOMONTH(M$5,0)),"◆","")))</x:f>
      </x:c>
      <x:c r="N11" s="57" t="str">
        <x:f>IF('制度詳細'!$H$11="",IF('制度詳細'!$J$11="","",IF(AND('制度詳細'!$J$11&gt;=N$5,'制度詳細'!$J$11&lt;=EOMONTH(N$5,0)),"◆","")),IF(MAX('制度詳細'!$H$11,N$5)&lt;=MIN(IF('制度詳細'!$I$11="",EOMONTH(N$5,0),'制度詳細'!$I$11),EOMONTH(N$5,0)),"■",IF(AND('制度詳細'!$J$11&lt;&gt;"",'制度詳細'!$J$11&gt;=N$5,'制度詳細'!$J$11&lt;=EOMONTH(N$5,0)),"◆","")))</x:f>
      </x:c>
      <x:c r="O11" s="57" t="str">
        <x:f>IF('制度詳細'!$H$11="",IF('制度詳細'!$J$11="","",IF(AND('制度詳細'!$J$11&gt;=O$5,'制度詳細'!$J$11&lt;=EOMONTH(O$5,0)),"◆","")),IF(MAX('制度詳細'!$H$11,O$5)&lt;=MIN(IF('制度詳細'!$I$11="",EOMONTH(O$5,0),'制度詳細'!$I$11),EOMONTH(O$5,0)),"■",IF(AND('制度詳細'!$J$11&lt;&gt;"",'制度詳細'!$J$11&gt;=O$5,'制度詳細'!$J$11&lt;=EOMONTH(O$5,0)),"◆","")))</x:f>
      </x:c>
      <x:c r="P11" s="57" t="str">
        <x:f>IF('制度詳細'!$H$11="",IF('制度詳細'!$J$11="","",IF(AND('制度詳細'!$J$11&gt;=P$5,'制度詳細'!$J$11&lt;=EOMONTH(P$5,0)),"◆","")),IF(MAX('制度詳細'!$H$11,P$5)&lt;=MIN(IF('制度詳細'!$I$11="",EOMONTH(P$5,0),'制度詳細'!$I$11),EOMONTH(P$5,0)),"■",IF(AND('制度詳細'!$J$11&lt;&gt;"",'制度詳細'!$J$11&gt;=P$5,'制度詳細'!$J$11&lt;=EOMONTH(P$5,0)),"◆","")))</x:f>
      </x:c>
      <x:c r="Q11" s="57" t="str">
        <x:f>IF('制度詳細'!$H$11="",IF('制度詳細'!$J$11="","",IF(AND('制度詳細'!$J$11&gt;=Q$5,'制度詳細'!$J$11&lt;=EOMONTH(Q$5,0)),"◆","")),IF(MAX('制度詳細'!$H$11,Q$5)&lt;=MIN(IF('制度詳細'!$I$11="",EOMONTH(Q$5,0),'制度詳細'!$I$11),EOMONTH(Q$5,0)),"■",IF(AND('制度詳細'!$J$11&lt;&gt;"",'制度詳細'!$J$11&gt;=Q$5,'制度詳細'!$J$11&lt;=EOMONTH(Q$5,0)),"◆","")))</x:f>
      </x:c>
      <x:c r="R11" s="57" t="str">
        <x:f>IF('制度詳細'!$H$11="",IF('制度詳細'!$J$11="","",IF(AND('制度詳細'!$J$11&gt;=R$5,'制度詳細'!$J$11&lt;=EOMONTH(R$5,0)),"◆","")),IF(MAX('制度詳細'!$H$11,R$5)&lt;=MIN(IF('制度詳細'!$I$11="",EOMONTH(R$5,0),'制度詳細'!$I$11),EOMONTH(R$5,0)),"■",IF(AND('制度詳細'!$J$11&lt;&gt;"",'制度詳細'!$J$11&gt;=R$5,'制度詳細'!$J$11&lt;=EOMONTH(R$5,0)),"◆","")))</x:f>
      </x:c>
      <x:c r="S11" s="57" t="str">
        <x:f>IF('制度詳細'!$H$11="",IF('制度詳細'!$J$11="","",IF(AND('制度詳細'!$J$11&gt;=S$5,'制度詳細'!$J$11&lt;=EOMONTH(S$5,0)),"◆","")),IF(MAX('制度詳細'!$H$11,S$5)&lt;=MIN(IF('制度詳細'!$I$11="",EOMONTH(S$5,0),'制度詳細'!$I$11),EOMONTH(S$5,0)),"■",IF(AND('制度詳細'!$J$11&lt;&gt;"",'制度詳細'!$J$11&gt;=S$5,'制度詳細'!$J$11&lt;=EOMONTH(S$5,0)),"◆","")))</x:f>
      </x:c>
      <x:c r="T11" s="57" t="str">
        <x:f>IF('制度詳細'!$H$11="",IF('制度詳細'!$J$11="","",IF(AND('制度詳細'!$J$11&gt;=T$5,'制度詳細'!$J$11&lt;=EOMONTH(T$5,0)),"◆","")),IF(MAX('制度詳細'!$H$11,T$5)&lt;=MIN(IF('制度詳細'!$I$11="",EOMONTH(T$5,0),'制度詳細'!$I$11),EOMONTH(T$5,0)),"■",IF(AND('制度詳細'!$J$11&lt;&gt;"",'制度詳細'!$J$11&gt;=T$5,'制度詳細'!$J$11&lt;=EOMONTH(T$5,0)),"◆","")))</x:f>
      </x:c>
      <x:c r="U11" s="57" t="str">
        <x:f>IF('制度詳細'!$H$11="",IF('制度詳細'!$J$11="","",IF(AND('制度詳細'!$J$11&gt;=U$5,'制度詳細'!$J$11&lt;=EOMONTH(U$5,0)),"◆","")),IF(MAX('制度詳細'!$H$11,U$5)&lt;=MIN(IF('制度詳細'!$I$11="",EOMONTH(U$5,0),'制度詳細'!$I$11),EOMONTH(U$5,0)),"■",IF(AND('制度詳細'!$J$11&lt;&gt;"",'制度詳細'!$J$11&gt;=U$5,'制度詳細'!$J$11&lt;=EOMONTH(U$5,0)),"◆","")))</x:f>
      </x:c>
      <x:c r="V11" s="57" t="str">
        <x:f>IF('制度詳細'!$H$11="",IF('制度詳細'!$J$11="","",IF(AND('制度詳細'!$J$11&gt;=V$5,'制度詳細'!$J$11&lt;=EOMONTH(V$5,0)),"◆","")),IF(MAX('制度詳細'!$H$11,V$5)&lt;=MIN(IF('制度詳細'!$I$11="",EOMONTH(V$5,0),'制度詳細'!$I$11),EOMONTH(V$5,0)),"■",IF(AND('制度詳細'!$J$11&lt;&gt;"",'制度詳細'!$J$11&gt;=V$5,'制度詳細'!$J$11&lt;=EOMONTH(V$5,0)),"◆","")))</x:f>
      </x:c>
      <x:c r="W11" s="57" t="str">
        <x:f>IF('制度詳細'!$H$11="",IF('制度詳細'!$J$11="","",IF(AND('制度詳細'!$J$11&gt;=W$5,'制度詳細'!$J$11&lt;=EOMONTH(W$5,0)),"◆","")),IF(MAX('制度詳細'!$H$11,W$5)&lt;=MIN(IF('制度詳細'!$I$11="",EOMONTH(W$5,0),'制度詳細'!$I$11),EOMONTH(W$5,0)),"■",IF(AND('制度詳細'!$J$11&lt;&gt;"",'制度詳細'!$J$11&gt;=W$5,'制度詳細'!$J$11&lt;=EOMONTH(W$5,0)),"◆","")))</x:f>
      </x:c>
      <x:c r="X11" s="57" t="str">
        <x:f>IF('制度詳細'!$H$11="",IF('制度詳細'!$J$11="","",IF(AND('制度詳細'!$J$11&gt;=X$5,'制度詳細'!$J$11&lt;=EOMONTH(X$5,0)),"◆","")),IF(MAX('制度詳細'!$H$11,X$5)&lt;=MIN(IF('制度詳細'!$I$11="",EOMONTH(X$5,0),'制度詳細'!$I$11),EOMONTH(X$5,0)),"■",IF(AND('制度詳細'!$J$11&lt;&gt;"",'制度詳細'!$J$11&gt;=X$5,'制度詳細'!$J$11&lt;=EOMONTH(X$5,0)),"◆","")))</x:f>
      </x:c>
      <x:c r="Y11" s="57" t="str">
        <x:f>IF('制度詳細'!$H$11="",IF('制度詳細'!$J$11="","",IF(AND('制度詳細'!$J$11&gt;=Y$5,'制度詳細'!$J$11&lt;=EOMONTH(Y$5,0)),"◆","")),IF(MAX('制度詳細'!$H$11,Y$5)&lt;=MIN(IF('制度詳細'!$I$11="",EOMONTH(Y$5,0),'制度詳細'!$I$11),EOMONTH(Y$5,0)),"■",IF(AND('制度詳細'!$J$11&lt;&gt;"",'制度詳細'!$J$11&gt;=Y$5,'制度詳細'!$J$11&lt;=EOMONTH(Y$5,0)),"◆","")))</x:f>
      </x:c>
      <x:c r="Z11" s="57" t="str">
        <x:f>IF('制度詳細'!$H$11="",IF('制度詳細'!$J$11="","",IF(AND('制度詳細'!$J$11&gt;=Z$5,'制度詳細'!$J$11&lt;=EOMONTH(Z$5,0)),"◆","")),IF(MAX('制度詳細'!$H$11,Z$5)&lt;=MIN(IF('制度詳細'!$I$11="",EOMONTH(Z$5,0),'制度詳細'!$I$11),EOMONTH(Z$5,0)),"■",IF(AND('制度詳細'!$J$11&lt;&gt;"",'制度詳細'!$J$11&gt;=Z$5,'制度詳細'!$J$11&lt;=EOMONTH(Z$5,0)),"◆","")))</x:f>
      </x:c>
      <x:c r="AA11" s="57" t="str">
        <x:f>IF('制度詳細'!$H$11="",IF('制度詳細'!$J$11="","",IF(AND('制度詳細'!$J$11&gt;=AA$5,'制度詳細'!$J$11&lt;=EOMONTH(AA$5,0)),"◆","")),IF(MAX('制度詳細'!$H$11,AA$5)&lt;=MIN(IF('制度詳細'!$I$11="",EOMONTH(AA$5,0),'制度詳細'!$I$11),EOMONTH(AA$5,0)),"■",IF(AND('制度詳細'!$J$11&lt;&gt;"",'制度詳細'!$J$11&gt;=AA$5,'制度詳細'!$J$11&lt;=EOMONTH(AA$5,0)),"◆","")))</x:f>
      </x:c>
      <x:c r="AB11" s="57" t="str">
        <x:f>IF('制度詳細'!$H$11="",IF('制度詳細'!$J$11="","",IF(AND('制度詳細'!$J$11&gt;=AB$5,'制度詳細'!$J$11&lt;=EOMONTH(AB$5,0)),"◆","")),IF(MAX('制度詳細'!$H$11,AB$5)&lt;=MIN(IF('制度詳細'!$I$11="",EOMONTH(AB$5,0),'制度詳細'!$I$11),EOMONTH(AB$5,0)),"■",IF(AND('制度詳細'!$J$11&lt;&gt;"",'制度詳細'!$J$11&gt;=AB$5,'制度詳細'!$J$11&lt;=EOMONTH(AB$5,0)),"◆","")))</x:f>
      </x:c>
      <x:c r="AC11" s="57" t="str">
        <x:f>IF('制度詳細'!$H$11="",IF('制度詳細'!$J$11="","",IF(AND('制度詳細'!$J$11&gt;=AC$5,'制度詳細'!$J$11&lt;=EOMONTH(AC$5,0)),"◆","")),IF(MAX('制度詳細'!$H$11,AC$5)&lt;=MIN(IF('制度詳細'!$I$11="",EOMONTH(AC$5,0),'制度詳細'!$I$11),EOMONTH(AC$5,0)),"■",IF(AND('制度詳細'!$J$11&lt;&gt;"",'制度詳細'!$J$11&gt;=AC$5,'制度詳細'!$J$11&lt;=EOMONTH(AC$5,0)),"◆","")))</x:f>
      </x:c>
      <x:c r="AD11" s="57" t="str">
        <x:f>IF('制度詳細'!$H$11="",IF('制度詳細'!$J$11="","",IF(AND('制度詳細'!$J$11&gt;=AD$5,'制度詳細'!$J$11&lt;=EOMONTH(AD$5,0)),"◆","")),IF(MAX('制度詳細'!$H$11,AD$5)&lt;=MIN(IF('制度詳細'!$I$11="",EOMONTH(AD$5,0),'制度詳細'!$I$11),EOMONTH(AD$5,0)),"■",IF(AND('制度詳細'!$J$11&lt;&gt;"",'制度詳細'!$J$11&gt;=AD$5,'制度詳細'!$J$11&lt;=EOMONTH(AD$5,0)),"◆","")))</x:f>
      </x:c>
      <x:c r="AE11" s="57" t="str">
        <x:f>IF('制度詳細'!$H$11="",IF('制度詳細'!$J$11="","",IF(AND('制度詳細'!$J$11&gt;=AE$5,'制度詳細'!$J$11&lt;=EOMONTH(AE$5,0)),"◆","")),IF(MAX('制度詳細'!$H$11,AE$5)&lt;=MIN(IF('制度詳細'!$I$11="",EOMONTH(AE$5,0),'制度詳細'!$I$11),EOMONTH(AE$5,0)),"■",IF(AND('制度詳細'!$J$11&lt;&gt;"",'制度詳細'!$J$11&gt;=AE$5,'制度詳細'!$J$11&lt;=EOMONTH(AE$5,0)),"◆","")))</x:f>
      </x:c>
      <x:c r="AF11" s="57" t="str">
        <x:f>IF('制度詳細'!$H$11="",IF('制度詳細'!$J$11="","",IF(AND('制度詳細'!$J$11&gt;=AF$5,'制度詳細'!$J$11&lt;=EOMONTH(AF$5,0)),"◆","")),IF(MAX('制度詳細'!$H$11,AF$5)&lt;=MIN(IF('制度詳細'!$I$11="",EOMONTH(AF$5,0),'制度詳細'!$I$11),EOMONTH(AF$5,0)),"■",IF(AND('制度詳細'!$J$11&lt;&gt;"",'制度詳細'!$J$11&gt;=AF$5,'制度詳細'!$J$11&lt;=EOMONTH(AF$5,0)),"◆","")))</x:f>
      </x:c>
      <x:c r="AG11" s="57" t="str">
        <x:f>IF('制度詳細'!$H$11="",IF('制度詳細'!$J$11="","",IF(AND('制度詳細'!$J$11&gt;=AG$5,'制度詳細'!$J$11&lt;=EOMONTH(AG$5,0)),"◆","")),IF(MAX('制度詳細'!$H$11,AG$5)&lt;=MIN(IF('制度詳細'!$I$11="",EOMONTH(AG$5,0),'制度詳細'!$I$11),EOMONTH(AG$5,0)),"■",IF(AND('制度詳細'!$J$11&lt;&gt;"",'制度詳細'!$J$11&gt;=AG$5,'制度詳細'!$J$11&lt;=EOMONTH(AG$5,0)),"◆","")))</x:f>
      </x:c>
      <x:c r="AH11" s="57" t="str">
        <x:f>IF('制度詳細'!$H$11="",IF('制度詳細'!$J$11="","",IF(AND('制度詳細'!$J$11&gt;=AH$5,'制度詳細'!$J$11&lt;=EOMONTH(AH$5,0)),"◆","")),IF(MAX('制度詳細'!$H$11,AH$5)&lt;=MIN(IF('制度詳細'!$I$11="",EOMONTH(AH$5,0),'制度詳細'!$I$11),EOMONTH(AH$5,0)),"■",IF(AND('制度詳細'!$J$11&lt;&gt;"",'制度詳細'!$J$11&gt;=AH$5,'制度詳細'!$J$11&lt;=EOMONTH(AH$5,0)),"◆","")))</x:f>
      </x:c>
      <x:c r="AI11" s="57" t="str">
        <x:f>IF('制度詳細'!$H$11="",IF('制度詳細'!$J$11="","",IF(AND('制度詳細'!$J$11&gt;=AI$5,'制度詳細'!$J$11&lt;=EOMONTH(AI$5,0)),"◆","")),IF(MAX('制度詳細'!$H$11,AI$5)&lt;=MIN(IF('制度詳細'!$I$11="",EOMONTH(AI$5,0),'制度詳細'!$I$11),EOMONTH(AI$5,0)),"■",IF(AND('制度詳細'!$J$11&lt;&gt;"",'制度詳細'!$J$11&gt;=AI$5,'制度詳細'!$J$11&lt;=EOMONTH(AI$5,0)),"◆","")))</x:f>
      </x:c>
      <x:c r="AJ11" s="57" t="str">
        <x:f>IF('制度詳細'!$H$11="",IF('制度詳細'!$J$11="","",IF(AND('制度詳細'!$J$11&gt;=AJ$5,'制度詳細'!$J$11&lt;=EOMONTH(AJ$5,0)),"◆","")),IF(MAX('制度詳細'!$H$11,AJ$5)&lt;=MIN(IF('制度詳細'!$I$11="",EOMONTH(AJ$5,0),'制度詳細'!$I$11),EOMONTH(AJ$5,0)),"■",IF(AND('制度詳細'!$J$11&lt;&gt;"",'制度詳細'!$J$11&gt;=AJ$5,'制度詳細'!$J$11&lt;=EOMONTH(AJ$5,0)),"◆","")))</x:f>
      </x:c>
      <x:c r="AK11" s="57" t="str">
        <x:f>IF('制度詳細'!$H$11="",IF('制度詳細'!$J$11="","",IF(AND('制度詳細'!$J$11&gt;=AK$5,'制度詳細'!$J$11&lt;=EOMONTH(AK$5,0)),"◆","")),IF(MAX('制度詳細'!$H$11,AK$5)&lt;=MIN(IF('制度詳細'!$I$11="",EOMONTH(AK$5,0),'制度詳細'!$I$11),EOMONTH(AK$5,0)),"■",IF(AND('制度詳細'!$J$11&lt;&gt;"",'制度詳細'!$J$11&gt;=AK$5,'制度詳細'!$J$11&lt;=EOMONTH(AK$5,0)),"◆","")))</x:f>
      </x:c>
      <x:c r="AL11" s="57" t="str">
        <x:f>IF('制度詳細'!$H$11="",IF('制度詳細'!$J$11="","",IF(AND('制度詳細'!$J$11&gt;=AL$5,'制度詳細'!$J$11&lt;=EOMONTH(AL$5,0)),"◆","")),IF(MAX('制度詳細'!$H$11,AL$5)&lt;=MIN(IF('制度詳細'!$I$11="",EOMONTH(AL$5,0),'制度詳細'!$I$11),EOMONTH(AL$5,0)),"■",IF(AND('制度詳細'!$J$11&lt;&gt;"",'制度詳細'!$J$11&gt;=AL$5,'制度詳細'!$J$11&lt;=EOMONTH(AL$5,0)),"◆","")))</x:f>
      </x:c>
      <x:c r="AM11" s="57" t="str">
        <x:f>IF('制度詳細'!$H$11="",IF('制度詳細'!$J$11="","",IF(AND('制度詳細'!$J$11&gt;=AM$5,'制度詳細'!$J$11&lt;=EOMONTH(AM$5,0)),"◆","")),IF(MAX('制度詳細'!$H$11,AM$5)&lt;=MIN(IF('制度詳細'!$I$11="",EOMONTH(AM$5,0),'制度詳細'!$I$11),EOMONTH(AM$5,0)),"■",IF(AND('制度詳細'!$J$11&lt;&gt;"",'制度詳細'!$J$11&gt;=AM$5,'制度詳細'!$J$11&lt;=EOMONTH(AM$5,0)),"◆","")))</x:f>
      </x:c>
      <x:c r="AN11" s="57" t="str">
        <x:f>IF('制度詳細'!$H$11="",IF('制度詳細'!$J$11="","",IF(AND('制度詳細'!$J$11&gt;=AN$5,'制度詳細'!$J$11&lt;=EOMONTH(AN$5,0)),"◆","")),IF(MAX('制度詳細'!$H$11,AN$5)&lt;=MIN(IF('制度詳細'!$I$11="",EOMONTH(AN$5,0),'制度詳細'!$I$11),EOMONTH(AN$5,0)),"■",IF(AND('制度詳細'!$J$11&lt;&gt;"",'制度詳細'!$J$11&gt;=AN$5,'制度詳細'!$J$11&lt;=EOMONTH(AN$5,0)),"◆","")))</x:f>
      </x:c>
      <x:c r="AO11" s="57" t="str">
        <x:f>IF('制度詳細'!$H$11="",IF('制度詳細'!$J$11="","",IF(AND('制度詳細'!$J$11&gt;=AO$5,'制度詳細'!$J$11&lt;=EOMONTH(AO$5,0)),"◆","")),IF(MAX('制度詳細'!$H$11,AO$5)&lt;=MIN(IF('制度詳細'!$I$11="",EOMONTH(AO$5,0),'制度詳細'!$I$11),EOMONTH(AO$5,0)),"■",IF(AND('制度詳細'!$J$11&lt;&gt;"",'制度詳細'!$J$11&gt;=AO$5,'制度詳細'!$J$11&lt;=EOMONTH(AO$5,0)),"◆","")))</x:f>
      </x:c>
      <x:c r="AP11" s="57" t="str">
        <x:f>IF('制度詳細'!$H$11="",IF('制度詳細'!$J$11="","",IF(AND('制度詳細'!$J$11&gt;=AP$5,'制度詳細'!$J$11&lt;=EOMONTH(AP$5,0)),"◆","")),IF(MAX('制度詳細'!$H$11,AP$5)&lt;=MIN(IF('制度詳細'!$I$11="",EOMONTH(AP$5,0),'制度詳細'!$I$11),EOMONTH(AP$5,0)),"■",IF(AND('制度詳細'!$J$11&lt;&gt;"",'制度詳細'!$J$11&gt;=AP$5,'制度詳細'!$J$11&lt;=EOMONTH(AP$5,0)),"◆","")))</x:f>
      </x:c>
      <x:c r="AQ11" s="57" t="str">
        <x:f>IF('制度詳細'!$H$11="",IF('制度詳細'!$J$11="","",IF(AND('制度詳細'!$J$11&gt;=AQ$5,'制度詳細'!$J$11&lt;=EOMONTH(AQ$5,0)),"◆","")),IF(MAX('制度詳細'!$H$11,AQ$5)&lt;=MIN(IF('制度詳細'!$I$11="",EOMONTH(AQ$5,0),'制度詳細'!$I$11),EOMONTH(AQ$5,0)),"■",IF(AND('制度詳細'!$J$11&lt;&gt;"",'制度詳細'!$J$11&gt;=AQ$5,'制度詳細'!$J$11&lt;=EOMONTH(AQ$5,0)),"◆","")))</x:f>
      </x:c>
      <x:c r="AR11" s="57" t="str">
        <x:f>IF('制度詳細'!$H$11="",IF('制度詳細'!$J$11="","",IF(AND('制度詳細'!$J$11&gt;=AR$5,'制度詳細'!$J$11&lt;=EOMONTH(AR$5,0)),"◆","")),IF(MAX('制度詳細'!$H$11,AR$5)&lt;=MIN(IF('制度詳細'!$I$11="",EOMONTH(AR$5,0),'制度詳細'!$I$11),EOMONTH(AR$5,0)),"■",IF(AND('制度詳細'!$J$11&lt;&gt;"",'制度詳細'!$J$11&gt;=AR$5,'制度詳細'!$J$11&lt;=EOMONTH(AR$5,0)),"◆","")))</x:f>
      </x:c>
      <x:c r="AS11" s="57" t="str">
        <x:f>IF('制度詳細'!$H$11="",IF('制度詳細'!$J$11="","",IF(AND('制度詳細'!$J$11&gt;=AS$5,'制度詳細'!$J$11&lt;=EOMONTH(AS$5,0)),"◆","")),IF(MAX('制度詳細'!$H$11,AS$5)&lt;=MIN(IF('制度詳細'!$I$11="",EOMONTH(AS$5,0),'制度詳細'!$I$11),EOMONTH(AS$5,0)),"■",IF(AND('制度詳細'!$J$11&lt;&gt;"",'制度詳細'!$J$11&gt;=AS$5,'制度詳細'!$J$11&lt;=EOMONTH(AS$5,0)),"◆","")))</x:f>
      </x:c>
      <x:c r="AT11" s="57" t="str">
        <x:f>IF('制度詳細'!$H$11="",IF('制度詳細'!$J$11="","",IF(AND('制度詳細'!$J$11&gt;=AT$5,'制度詳細'!$J$11&lt;=EOMONTH(AT$5,0)),"◆","")),IF(MAX('制度詳細'!$H$11,AT$5)&lt;=MIN(IF('制度詳細'!$I$11="",EOMONTH(AT$5,0),'制度詳細'!$I$11),EOMONTH(AT$5,0)),"■",IF(AND('制度詳細'!$J$11&lt;&gt;"",'制度詳細'!$J$11&gt;=AT$5,'制度詳細'!$J$11&lt;=EOMONTH(AT$5,0)),"◆","")))</x:f>
      </x:c>
      <x:c r="AU11" s="57" t="str">
        <x:f>IF('制度詳細'!$H$11="",IF('制度詳細'!$J$11="","",IF(AND('制度詳細'!$J$11&gt;=AU$5,'制度詳細'!$J$11&lt;=EOMONTH(AU$5,0)),"◆","")),IF(MAX('制度詳細'!$H$11,AU$5)&lt;=MIN(IF('制度詳細'!$I$11="",EOMONTH(AU$5,0),'制度詳細'!$I$11),EOMONTH(AU$5,0)),"■",IF(AND('制度詳細'!$J$11&lt;&gt;"",'制度詳細'!$J$11&gt;=AU$5,'制度詳細'!$J$11&lt;=EOMONTH(AU$5,0)),"◆","")))</x:f>
      </x:c>
      <x:c r="AV11" s="57" t="str">
        <x:f>IF('制度詳細'!$H$11="",IF('制度詳細'!$J$11="","",IF(AND('制度詳細'!$J$11&gt;=AV$5,'制度詳細'!$J$11&lt;=EOMONTH(AV$5,0)),"◆","")),IF(MAX('制度詳細'!$H$11,AV$5)&lt;=MIN(IF('制度詳細'!$I$11="",EOMONTH(AV$5,0),'制度詳細'!$I$11),EOMONTH(AV$5,0)),"■",IF(AND('制度詳細'!$J$11&lt;&gt;"",'制度詳細'!$J$11&gt;=AV$5,'制度詳細'!$J$11&lt;=EOMONTH(AV$5,0)),"◆","")))</x:f>
      </x:c>
      <x:c r="AW11" s="57" t="str">
        <x:f>IF('制度詳細'!$H$11="",IF('制度詳細'!$J$11="","",IF(AND('制度詳細'!$J$11&gt;=AW$5,'制度詳細'!$J$11&lt;=EOMONTH(AW$5,0)),"◆","")),IF(MAX('制度詳細'!$H$11,AW$5)&lt;=MIN(IF('制度詳細'!$I$11="",EOMONTH(AW$5,0),'制度詳細'!$I$11),EOMONTH(AW$5,0)),"■",IF(AND('制度詳細'!$J$11&lt;&gt;"",'制度詳細'!$J$11&gt;=AW$5,'制度詳細'!$J$11&lt;=EOMONTH(AW$5,0)),"◆","")))</x:f>
      </x:c>
      <x:c r="AX11" s="57" t="str">
        <x:f>IF('制度詳細'!$H$11="",IF('制度詳細'!$J$11="","",IF(AND('制度詳細'!$J$11&gt;=AX$5,'制度詳細'!$J$11&lt;=EOMONTH(AX$5,0)),"◆","")),IF(MAX('制度詳細'!$H$11,AX$5)&lt;=MIN(IF('制度詳細'!$I$11="",EOMONTH(AX$5,0),'制度詳細'!$I$11),EOMONTH(AX$5,0)),"■",IF(AND('制度詳細'!$J$11&lt;&gt;"",'制度詳細'!$J$11&gt;=AX$5,'制度詳細'!$J$11&lt;=EOMONTH(AX$5,0)),"◆","")))</x:f>
      </x:c>
      <x:c r="AY11" s="57" t="str">
        <x:f>IF('制度詳細'!$H$11="",IF('制度詳細'!$J$11="","",IF(AND('制度詳細'!$J$11&gt;=AY$5,'制度詳細'!$J$11&lt;=EOMONTH(AY$5,0)),"◆","")),IF(MAX('制度詳細'!$H$11,AY$5)&lt;=MIN(IF('制度詳細'!$I$11="",EOMONTH(AY$5,0),'制度詳細'!$I$11),EOMONTH(AY$5,0)),"■",IF(AND('制度詳細'!$J$11&lt;&gt;"",'制度詳細'!$J$11&gt;=AY$5,'制度詳細'!$J$11&lt;=EOMONTH(AY$5,0)),"◆","")))</x:f>
        <x:v>◆</x:v>
      </x:c>
      <x:c r="AZ11" s="57" t="str">
        <x:f>IF('制度詳細'!$H$11="",IF('制度詳細'!$J$11="","",IF(AND('制度詳細'!$J$11&gt;=AZ$5,'制度詳細'!$J$11&lt;=EOMONTH(AZ$5,0)),"◆","")),IF(MAX('制度詳細'!$H$11,AZ$5)&lt;=MIN(IF('制度詳細'!$I$11="",EOMONTH(AZ$5,0),'制度詳細'!$I$11),EOMONTH(AZ$5,0)),"■",IF(AND('制度詳細'!$J$11&lt;&gt;"",'制度詳細'!$J$11&gt;=AZ$5,'制度詳細'!$J$11&lt;=EOMONTH(AZ$5,0)),"◆","")))</x:f>
      </x:c>
      <x:c r="BA11" s="57" t="str">
        <x:f>IF('制度詳細'!$H$11="",IF('制度詳細'!$J$11="","",IF(AND('制度詳細'!$J$11&gt;=BA$5,'制度詳細'!$J$11&lt;=EOMONTH(BA$5,0)),"◆","")),IF(MAX('制度詳細'!$H$11,BA$5)&lt;=MIN(IF('制度詳細'!$I$11="",EOMONTH(BA$5,0),'制度詳細'!$I$11),EOMONTH(BA$5,0)),"■",IF(AND('制度詳細'!$J$11&lt;&gt;"",'制度詳細'!$J$11&gt;=BA$5,'制度詳細'!$J$11&lt;=EOMONTH(BA$5,0)),"◆","")))</x:f>
      </x:c>
      <x:c r="BB11" s="57" t="str">
        <x:f>IF('制度詳細'!$H$11="",IF('制度詳細'!$J$11="","",IF(AND('制度詳細'!$J$11&gt;=BB$5,'制度詳細'!$J$11&lt;=EOMONTH(BB$5,0)),"◆","")),IF(MAX('制度詳細'!$H$11,BB$5)&lt;=MIN(IF('制度詳細'!$I$11="",EOMONTH(BB$5,0),'制度詳細'!$I$11),EOMONTH(BB$5,0)),"■",IF(AND('制度詳細'!$J$11&lt;&gt;"",'制度詳細'!$J$11&gt;=BB$5,'制度詳細'!$J$11&lt;=EOMONTH(BB$5,0)),"◆","")))</x:f>
      </x:c>
      <x:c r="BC11" s="57" t="str">
        <x:f>IF('制度詳細'!$H$11="",IF('制度詳細'!$J$11="","",IF(AND('制度詳細'!$J$11&gt;=BC$5,'制度詳細'!$J$11&lt;=EOMONTH(BC$5,0)),"◆","")),IF(MAX('制度詳細'!$H$11,BC$5)&lt;=MIN(IF('制度詳細'!$I$11="",EOMONTH(BC$5,0),'制度詳細'!$I$11),EOMONTH(BC$5,0)),"■",IF(AND('制度詳細'!$J$11&lt;&gt;"",'制度詳細'!$J$11&gt;=BC$5,'制度詳細'!$J$11&lt;=EOMONTH(BC$5,0)),"◆","")))</x:f>
      </x:c>
      <x:c r="BD11" s="57" t="str">
        <x:f>IF('制度詳細'!$H$11="",IF('制度詳細'!$J$11="","",IF(AND('制度詳細'!$J$11&gt;=BD$5,'制度詳細'!$J$11&lt;=EOMONTH(BD$5,0)),"◆","")),IF(MAX('制度詳細'!$H$11,BD$5)&lt;=MIN(IF('制度詳細'!$I$11="",EOMONTH(BD$5,0),'制度詳細'!$I$11),EOMONTH(BD$5,0)),"■",IF(AND('制度詳細'!$J$11&lt;&gt;"",'制度詳細'!$J$11&gt;=BD$5,'制度詳細'!$J$11&lt;=EOMONTH(BD$5,0)),"◆","")))</x:f>
      </x:c>
      <x:c r="BE11" s="57" t="str">
        <x:f>IF('制度詳細'!$H$11="",IF('制度詳細'!$J$11="","",IF(AND('制度詳細'!$J$11&gt;=BE$5,'制度詳細'!$J$11&lt;=EOMONTH(BE$5,0)),"◆","")),IF(MAX('制度詳細'!$H$11,BE$5)&lt;=MIN(IF('制度詳細'!$I$11="",EOMONTH(BE$5,0),'制度詳細'!$I$11),EOMONTH(BE$5,0)),"■",IF(AND('制度詳細'!$J$11&lt;&gt;"",'制度詳細'!$J$11&gt;=BE$5,'制度詳細'!$J$11&lt;=EOMONTH(BE$5,0)),"◆","")))</x:f>
      </x:c>
      <x:c r="BF11" s="57" t="str">
        <x:f>IF('制度詳細'!$H$11="",IF('制度詳細'!$J$11="","",IF(AND('制度詳細'!$J$11&gt;=BF$5,'制度詳細'!$J$11&lt;=EOMONTH(BF$5,0)),"◆","")),IF(MAX('制度詳細'!$H$11,BF$5)&lt;=MIN(IF('制度詳細'!$I$11="",EOMONTH(BF$5,0),'制度詳細'!$I$11),EOMONTH(BF$5,0)),"■",IF(AND('制度詳細'!$J$11&lt;&gt;"",'制度詳細'!$J$11&gt;=BF$5,'制度詳細'!$J$11&lt;=EOMONTH(BF$5,0)),"◆","")))</x:f>
      </x:c>
      <x:c r="BG11" s="57" t="str">
        <x:f>IF('制度詳細'!$H$11="",IF('制度詳細'!$J$11="","",IF(AND('制度詳細'!$J$11&gt;=BG$5,'制度詳細'!$J$11&lt;=EOMONTH(BG$5,0)),"◆","")),IF(MAX('制度詳細'!$H$11,BG$5)&lt;=MIN(IF('制度詳細'!$I$11="",EOMONTH(BG$5,0),'制度詳細'!$I$11),EOMONTH(BG$5,0)),"■",IF(AND('制度詳細'!$J$11&lt;&gt;"",'制度詳細'!$J$11&gt;=BG$5,'制度詳細'!$J$11&lt;=EOMONTH(BG$5,0)),"◆","")))</x:f>
      </x:c>
      <x:c r="BH11" s="57" t="str">
        <x:f>IF('制度詳細'!$H$11="",IF('制度詳細'!$J$11="","",IF(AND('制度詳細'!$J$11&gt;=BH$5,'制度詳細'!$J$11&lt;=EOMONTH(BH$5,0)),"◆","")),IF(MAX('制度詳細'!$H$11,BH$5)&lt;=MIN(IF('制度詳細'!$I$11="",EOMONTH(BH$5,0),'制度詳細'!$I$11),EOMONTH(BH$5,0)),"■",IF(AND('制度詳細'!$J$11&lt;&gt;"",'制度詳細'!$J$11&gt;=BH$5,'制度詳細'!$J$11&lt;=EOMONTH(BH$5,0)),"◆","")))</x:f>
      </x:c>
      <x:c r="BI11" s="57" t="str">
        <x:f>IF('制度詳細'!$H$11="",IF('制度詳細'!$J$11="","",IF(AND('制度詳細'!$J$11&gt;=BI$5,'制度詳細'!$J$11&lt;=EOMONTH(BI$5,0)),"◆","")),IF(MAX('制度詳細'!$H$11,BI$5)&lt;=MIN(IF('制度詳細'!$I$11="",EOMONTH(BI$5,0),'制度詳細'!$I$11),EOMONTH(BI$5,0)),"■",IF(AND('制度詳細'!$J$11&lt;&gt;"",'制度詳細'!$J$11&gt;=BI$5,'制度詳細'!$J$11&lt;=EOMONTH(BI$5,0)),"◆","")))</x:f>
      </x:c>
      <x:c r="BJ11" s="57" t="str">
        <x:f>IF('制度詳細'!$H$11="",IF('制度詳細'!$J$11="","",IF(AND('制度詳細'!$J$11&gt;=BJ$5,'制度詳細'!$J$11&lt;=EOMONTH(BJ$5,0)),"◆","")),IF(MAX('制度詳細'!$H$11,BJ$5)&lt;=MIN(IF('制度詳細'!$I$11="",EOMONTH(BJ$5,0),'制度詳細'!$I$11),EOMONTH(BJ$5,0)),"■",IF(AND('制度詳細'!$J$11&lt;&gt;"",'制度詳細'!$J$11&gt;=BJ$5,'制度詳細'!$J$11&lt;=EOMONTH(BJ$5,0)),"◆","")))</x:f>
      </x:c>
      <x:c r="BK11" s="57" t="str">
        <x:f>IF('制度詳細'!$H$11="",IF('制度詳細'!$J$11="","",IF(AND('制度詳細'!$J$11&gt;=BK$5,'制度詳細'!$J$11&lt;=EOMONTH(BK$5,0)),"◆","")),IF(MAX('制度詳細'!$H$11,BK$5)&lt;=MIN(IF('制度詳細'!$I$11="",EOMONTH(BK$5,0),'制度詳細'!$I$11),EOMONTH(BK$5,0)),"■",IF(AND('制度詳細'!$J$11&lt;&gt;"",'制度詳細'!$J$11&gt;=BK$5,'制度詳細'!$J$11&lt;=EOMONTH(BK$5,0)),"◆","")))</x:f>
      </x:c>
      <x:c r="BL11" s="57" t="str">
        <x:f>IF('制度詳細'!$H$11="",IF('制度詳細'!$J$11="","",IF(AND('制度詳細'!$J$11&gt;=BL$5,'制度詳細'!$J$11&lt;=EOMONTH(BL$5,0)),"◆","")),IF(MAX('制度詳細'!$H$11,BL$5)&lt;=MIN(IF('制度詳細'!$I$11="",EOMONTH(BL$5,0),'制度詳細'!$I$11),EOMONTH(BL$5,0)),"■",IF(AND('制度詳細'!$J$11&lt;&gt;"",'制度詳細'!$J$11&gt;=BL$5,'制度詳細'!$J$11&lt;=EOMONTH(BL$5,0)),"◆","")))</x:f>
      </x:c>
      <x:c r="BM11" s="57" t="str">
        <x:f>IF('制度詳細'!$H$11="",IF('制度詳細'!$J$11="","",IF(AND('制度詳細'!$J$11&gt;=BM$5,'制度詳細'!$J$11&lt;=EOMONTH(BM$5,0)),"◆","")),IF(MAX('制度詳細'!$H$11,BM$5)&lt;=MIN(IF('制度詳細'!$I$11="",EOMONTH(BM$5,0),'制度詳細'!$I$11),EOMONTH(BM$5,0)),"■",IF(AND('制度詳細'!$J$11&lt;&gt;"",'制度詳細'!$J$11&gt;=BM$5,'制度詳細'!$J$11&lt;=EOMONTH(BM$5,0)),"◆","")))</x:f>
      </x:c>
      <x:c r="BN11" s="57" t="str">
        <x:f>IF('制度詳細'!$H$11="",IF('制度詳細'!$J$11="","",IF(AND('制度詳細'!$J$11&gt;=BN$5,'制度詳細'!$J$11&lt;=EOMONTH(BN$5,0)),"◆","")),IF(MAX('制度詳細'!$H$11,BN$5)&lt;=MIN(IF('制度詳細'!$I$11="",EOMONTH(BN$5,0),'制度詳細'!$I$11),EOMONTH(BN$5,0)),"■",IF(AND('制度詳細'!$J$11&lt;&gt;"",'制度詳細'!$J$11&gt;=BN$5,'制度詳細'!$J$11&lt;=EOMONTH(BN$5,0)),"◆","")))</x:f>
      </x:c>
      <x:c r="BO11" s="57" t="str">
        <x:f>IF('制度詳細'!$H$11="",IF('制度詳細'!$J$11="","",IF(AND('制度詳細'!$J$11&gt;=BO$5,'制度詳細'!$J$11&lt;=EOMONTH(BO$5,0)),"◆","")),IF(MAX('制度詳細'!$H$11,BO$5)&lt;=MIN(IF('制度詳細'!$I$11="",EOMONTH(BO$5,0),'制度詳細'!$I$11),EOMONTH(BO$5,0)),"■",IF(AND('制度詳細'!$J$11&lt;&gt;"",'制度詳細'!$J$11&gt;=BO$5,'制度詳細'!$J$11&lt;=EOMONTH(BO$5,0)),"◆","")))</x:f>
      </x:c>
      <x:c r="BP11" s="57" t="str">
        <x:f>IF('制度詳細'!$H$11="",IF('制度詳細'!$J$11="","",IF(AND('制度詳細'!$J$11&gt;=BP$5,'制度詳細'!$J$11&lt;=EOMONTH(BP$5,0)),"◆","")),IF(MAX('制度詳細'!$H$11,BP$5)&lt;=MIN(IF('制度詳細'!$I$11="",EOMONTH(BP$5,0),'制度詳細'!$I$11),EOMONTH(BP$5,0)),"■",IF(AND('制度詳細'!$J$11&lt;&gt;"",'制度詳細'!$J$11&gt;=BP$5,'制度詳細'!$J$11&lt;=EOMONTH(BP$5,0)),"◆","")))</x:f>
      </x:c>
      <x:c r="BQ11" s="57" t="str">
        <x:f>IF('制度詳細'!$H$11="",IF('制度詳細'!$J$11="","",IF(AND('制度詳細'!$J$11&gt;=BQ$5,'制度詳細'!$J$11&lt;=EOMONTH(BQ$5,0)),"◆","")),IF(MAX('制度詳細'!$H$11,BQ$5)&lt;=MIN(IF('制度詳細'!$I$11="",EOMONTH(BQ$5,0),'制度詳細'!$I$11),EOMONTH(BQ$5,0)),"■",IF(AND('制度詳細'!$J$11&lt;&gt;"",'制度詳細'!$J$11&gt;=BQ$5,'制度詳細'!$J$11&lt;=EOMONTH(BQ$5,0)),"◆","")))</x:f>
      </x:c>
      <x:c r="BR11" s="57" t="str">
        <x:f>IF('制度詳細'!$H$11="",IF('制度詳細'!$J$11="","",IF(AND('制度詳細'!$J$11&gt;=BR$5,'制度詳細'!$J$11&lt;=EOMONTH(BR$5,0)),"◆","")),IF(MAX('制度詳細'!$H$11,BR$5)&lt;=MIN(IF('制度詳細'!$I$11="",EOMONTH(BR$5,0),'制度詳細'!$I$11),EOMONTH(BR$5,0)),"■",IF(AND('制度詳細'!$J$11&lt;&gt;"",'制度詳細'!$J$11&gt;=BR$5,'制度詳細'!$J$11&lt;=EOMONTH(BR$5,0)),"◆","")))</x:f>
      </x:c>
      <x:c r="BS11" s="57" t="str">
        <x:f>IF('制度詳細'!$H$11="",IF('制度詳細'!$J$11="","",IF(AND('制度詳細'!$J$11&gt;=BS$5,'制度詳細'!$J$11&lt;=EOMONTH(BS$5,0)),"◆","")),IF(MAX('制度詳細'!$H$11,BS$5)&lt;=MIN(IF('制度詳細'!$I$11="",EOMONTH(BS$5,0),'制度詳細'!$I$11),EOMONTH(BS$5,0)),"■",IF(AND('制度詳細'!$J$11&lt;&gt;"",'制度詳細'!$J$11&gt;=BS$5,'制度詳細'!$J$11&lt;=EOMONTH(BS$5,0)),"◆","")))</x:f>
      </x:c>
      <x:c r="BT11" s="57" t="str">
        <x:f>IF('制度詳細'!$H$11="",IF('制度詳細'!$J$11="","",IF(AND('制度詳細'!$J$11&gt;=BT$5,'制度詳細'!$J$11&lt;=EOMONTH(BT$5,0)),"◆","")),IF(MAX('制度詳細'!$H$11,BT$5)&lt;=MIN(IF('制度詳細'!$I$11="",EOMONTH(BT$5,0),'制度詳細'!$I$11),EOMONTH(BT$5,0)),"■",IF(AND('制度詳細'!$J$11&lt;&gt;"",'制度詳細'!$J$11&gt;=BT$5,'制度詳細'!$J$11&lt;=EOMONTH(BT$5,0)),"◆","")))</x:f>
      </x:c>
      <x:c r="BU11" s="57" t="str">
        <x:f>IF('制度詳細'!$H$11="",IF('制度詳細'!$J$11="","",IF(AND('制度詳細'!$J$11&gt;=BU$5,'制度詳細'!$J$11&lt;=EOMONTH(BU$5,0)),"◆","")),IF(MAX('制度詳細'!$H$11,BU$5)&lt;=MIN(IF('制度詳細'!$I$11="",EOMONTH(BU$5,0),'制度詳細'!$I$11),EOMONTH(BU$5,0)),"■",IF(AND('制度詳細'!$J$11&lt;&gt;"",'制度詳細'!$J$11&gt;=BU$5,'制度詳細'!$J$11&lt;=EOMONTH(BU$5,0)),"◆","")))</x:f>
      </x:c>
      <x:c r="BV11" s="57" t="str">
        <x:f>IF('制度詳細'!$H$11="",IF('制度詳細'!$J$11="","",IF(AND('制度詳細'!$J$11&gt;=BV$5,'制度詳細'!$J$11&lt;=EOMONTH(BV$5,0)),"◆","")),IF(MAX('制度詳細'!$H$11,BV$5)&lt;=MIN(IF('制度詳細'!$I$11="",EOMONTH(BV$5,0),'制度詳細'!$I$11),EOMONTH(BV$5,0)),"■",IF(AND('制度詳細'!$J$11&lt;&gt;"",'制度詳細'!$J$11&gt;=BV$5,'制度詳細'!$J$11&lt;=EOMONTH(BV$5,0)),"◆","")))</x:f>
      </x:c>
      <x:c r="BW11" s="57" t="str">
        <x:f>IF('制度詳細'!$H$11="",IF('制度詳細'!$J$11="","",IF(AND('制度詳細'!$J$11&gt;=BW$5,'制度詳細'!$J$11&lt;=EOMONTH(BW$5,0)),"◆","")),IF(MAX('制度詳細'!$H$11,BW$5)&lt;=MIN(IF('制度詳細'!$I$11="",EOMONTH(BW$5,0),'制度詳細'!$I$11),EOMONTH(BW$5,0)),"■",IF(AND('制度詳細'!$J$11&lt;&gt;"",'制度詳細'!$J$11&gt;=BW$5,'制度詳細'!$J$11&lt;=EOMONTH(BW$5,0)),"◆","")))</x:f>
      </x:c>
      <x:c r="BX11" s="57" t="str">
        <x:f>IF('制度詳細'!$H$11="",IF('制度詳細'!$J$11="","",IF(AND('制度詳細'!$J$11&gt;=BX$5,'制度詳細'!$J$11&lt;=EOMONTH(BX$5,0)),"◆","")),IF(MAX('制度詳細'!$H$11,BX$5)&lt;=MIN(IF('制度詳細'!$I$11="",EOMONTH(BX$5,0),'制度詳細'!$I$11),EOMONTH(BX$5,0)),"■",IF(AND('制度詳細'!$J$11&lt;&gt;"",'制度詳細'!$J$11&gt;=BX$5,'制度詳細'!$J$11&lt;=EOMONTH(BX$5,0)),"◆","")))</x:f>
      </x:c>
      <x:c r="BY11" s="57" t="str">
        <x:f>IF('制度詳細'!$H$11="",IF('制度詳細'!$J$11="","",IF(AND('制度詳細'!$J$11&gt;=BY$5,'制度詳細'!$J$11&lt;=EOMONTH(BY$5,0)),"◆","")),IF(MAX('制度詳細'!$H$11,BY$5)&lt;=MIN(IF('制度詳細'!$I$11="",EOMONTH(BY$5,0),'制度詳細'!$I$11),EOMONTH(BY$5,0)),"■",IF(AND('制度詳細'!$J$11&lt;&gt;"",'制度詳細'!$J$11&gt;=BY$5,'制度詳細'!$J$11&lt;=EOMONTH(BY$5,0)),"◆","")))</x:f>
      </x:c>
      <x:c r="BZ11" s="57" t="str">
        <x:f>IF('制度詳細'!$H$11="",IF('制度詳細'!$J$11="","",IF(AND('制度詳細'!$J$11&gt;=BZ$5,'制度詳細'!$J$11&lt;=EOMONTH(BZ$5,0)),"◆","")),IF(MAX('制度詳細'!$H$11,BZ$5)&lt;=MIN(IF('制度詳細'!$I$11="",EOMONTH(BZ$5,0),'制度詳細'!$I$11),EOMONTH(BZ$5,0)),"■",IF(AND('制度詳細'!$J$11&lt;&gt;"",'制度詳細'!$J$11&gt;=BZ$5,'制度詳細'!$J$11&lt;=EOMONTH(BZ$5,0)),"◆","")))</x:f>
      </x:c>
      <x:c r="CA11" s="57" t="str">
        <x:f>IF('制度詳細'!$H$11="",IF('制度詳細'!$J$11="","",IF(AND('制度詳細'!$J$11&gt;=CA$5,'制度詳細'!$J$11&lt;=EOMONTH(CA$5,0)),"◆","")),IF(MAX('制度詳細'!$H$11,CA$5)&lt;=MIN(IF('制度詳細'!$I$11="",EOMONTH(CA$5,0),'制度詳細'!$I$11),EOMONTH(CA$5,0)),"■",IF(AND('制度詳細'!$J$11&lt;&gt;"",'制度詳細'!$J$11&gt;=CA$5,'制度詳細'!$J$11&lt;=EOMONTH(CA$5,0)),"◆","")))</x:f>
      </x:c>
      <x:c r="CB11" s="57" t="str">
        <x:f>IF('制度詳細'!$H$11="",IF('制度詳細'!$J$11="","",IF(AND('制度詳細'!$J$11&gt;=CB$5,'制度詳細'!$J$11&lt;=EOMONTH(CB$5,0)),"◆","")),IF(MAX('制度詳細'!$H$11,CB$5)&lt;=MIN(IF('制度詳細'!$I$11="",EOMONTH(CB$5,0),'制度詳細'!$I$11),EOMONTH(CB$5,0)),"■",IF(AND('制度詳細'!$J$11&lt;&gt;"",'制度詳細'!$J$11&gt;=CB$5,'制度詳細'!$J$11&lt;=EOMONTH(CB$5,0)),"◆","")))</x:f>
      </x:c>
      <x:c r="CC11" s="57" t="str">
        <x:f>IF('制度詳細'!$H$11="",IF('制度詳細'!$J$11="","",IF(AND('制度詳細'!$J$11&gt;=CC$5,'制度詳細'!$J$11&lt;=EOMONTH(CC$5,0)),"◆","")),IF(MAX('制度詳細'!$H$11,CC$5)&lt;=MIN(IF('制度詳細'!$I$11="",EOMONTH(CC$5,0),'制度詳細'!$I$11),EOMONTH(CC$5,0)),"■",IF(AND('制度詳細'!$J$11&lt;&gt;"",'制度詳細'!$J$11&gt;=CC$5,'制度詳細'!$J$11&lt;=EOMONTH(CC$5,0)),"◆","")))</x:f>
      </x:c>
      <x:c r="CD11" s="57" t="str">
        <x:f>IF('制度詳細'!$H$11="",IF('制度詳細'!$J$11="","",IF(AND('制度詳細'!$J$11&gt;=CD$5,'制度詳細'!$J$11&lt;=EOMONTH(CD$5,0)),"◆","")),IF(MAX('制度詳細'!$H$11,CD$5)&lt;=MIN(IF('制度詳細'!$I$11="",EOMONTH(CD$5,0),'制度詳細'!$I$11),EOMONTH(CD$5,0)),"■",IF(AND('制度詳細'!$J$11&lt;&gt;"",'制度詳細'!$J$11&gt;=CD$5,'制度詳細'!$J$11&lt;=EOMONTH(CD$5,0)),"◆","")))</x:f>
      </x:c>
      <x:c r="CE11" s="57" t="str">
        <x:f>IF('制度詳細'!$H$11="",IF('制度詳細'!$J$11="","",IF(AND('制度詳細'!$J$11&gt;=CE$5,'制度詳細'!$J$11&lt;=EOMONTH(CE$5,0)),"◆","")),IF(MAX('制度詳細'!$H$11,CE$5)&lt;=MIN(IF('制度詳細'!$I$11="",EOMONTH(CE$5,0),'制度詳細'!$I$11),EOMONTH(CE$5,0)),"■",IF(AND('制度詳細'!$J$11&lt;&gt;"",'制度詳細'!$J$11&gt;=CE$5,'制度詳細'!$J$11&lt;=EOMONTH(CE$5,0)),"◆","")))</x:f>
      </x:c>
      <x:c r="CF11" s="57" t="str">
        <x:f>IF('制度詳細'!$H$11="",IF('制度詳細'!$J$11="","",IF(AND('制度詳細'!$J$11&gt;=CF$5,'制度詳細'!$J$11&lt;=EOMONTH(CF$5,0)),"◆","")),IF(MAX('制度詳細'!$H$11,CF$5)&lt;=MIN(IF('制度詳細'!$I$11="",EOMONTH(CF$5,0),'制度詳細'!$I$11),EOMONTH(CF$5,0)),"■",IF(AND('制度詳細'!$J$11&lt;&gt;"",'制度詳細'!$J$11&gt;=CF$5,'制度詳細'!$J$11&lt;=EOMONTH(CF$5,0)),"◆","")))</x:f>
      </x:c>
      <x:c r="CG11" s="57" t="str">
        <x:f>IF('制度詳細'!$H$11="",IF('制度詳細'!$J$11="","",IF(AND('制度詳細'!$J$11&gt;=CG$5,'制度詳細'!$J$11&lt;=EOMONTH(CG$5,0)),"◆","")),IF(MAX('制度詳細'!$H$11,CG$5)&lt;=MIN(IF('制度詳細'!$I$11="",EOMONTH(CG$5,0),'制度詳細'!$I$11),EOMONTH(CG$5,0)),"■",IF(AND('制度詳細'!$J$11&lt;&gt;"",'制度詳細'!$J$11&gt;=CG$5,'制度詳細'!$J$11&lt;=EOMONTH(CG$5,0)),"◆","")))</x:f>
      </x:c>
      <x:c r="CH11" s="57" t="str">
        <x:f>IF('制度詳細'!$H$11="",IF('制度詳細'!$J$11="","",IF(AND('制度詳細'!$J$11&gt;=CH$5,'制度詳細'!$J$11&lt;=EOMONTH(CH$5,0)),"◆","")),IF(MAX('制度詳細'!$H$11,CH$5)&lt;=MIN(IF('制度詳細'!$I$11="",EOMONTH(CH$5,0),'制度詳細'!$I$11),EOMONTH(CH$5,0)),"■",IF(AND('制度詳細'!$J$11&lt;&gt;"",'制度詳細'!$J$11&gt;=CH$5,'制度詳細'!$J$11&lt;=EOMONTH(CH$5,0)),"◆","")))</x:f>
      </x:c>
      <x:c r="CI11" s="57" t="str">
        <x:f>IF('制度詳細'!$H$11="",IF('制度詳細'!$J$11="","",IF(AND('制度詳細'!$J$11&gt;=CI$5,'制度詳細'!$J$11&lt;=EOMONTH(CI$5,0)),"◆","")),IF(MAX('制度詳細'!$H$11,CI$5)&lt;=MIN(IF('制度詳細'!$I$11="",EOMONTH(CI$5,0),'制度詳細'!$I$11),EOMONTH(CI$5,0)),"■",IF(AND('制度詳細'!$J$11&lt;&gt;"",'制度詳細'!$J$11&gt;=CI$5,'制度詳細'!$J$11&lt;=EOMONTH(CI$5,0)),"◆","")))</x:f>
      </x:c>
      <x:c r="CJ11" s="57" t="str">
        <x:f>IF('制度詳細'!$H$11="",IF('制度詳細'!$J$11="","",IF(AND('制度詳細'!$J$11&gt;=CJ$5,'制度詳細'!$J$11&lt;=EOMONTH(CJ$5,0)),"◆","")),IF(MAX('制度詳細'!$H$11,CJ$5)&lt;=MIN(IF('制度詳細'!$I$11="",EOMONTH(CJ$5,0),'制度詳細'!$I$11),EOMONTH(CJ$5,0)),"■",IF(AND('制度詳細'!$J$11&lt;&gt;"",'制度詳細'!$J$11&gt;=CJ$5,'制度詳細'!$J$11&lt;=EOMONTH(CJ$5,0)),"◆","")))</x:f>
      </x:c>
      <x:c r="CK11" s="57" t="str">
        <x:f>IF('制度詳細'!$H$11="",IF('制度詳細'!$J$11="","",IF(AND('制度詳細'!$J$11&gt;=CK$5,'制度詳細'!$J$11&lt;=EOMONTH(CK$5,0)),"◆","")),IF(MAX('制度詳細'!$H$11,CK$5)&lt;=MIN(IF('制度詳細'!$I$11="",EOMONTH(CK$5,0),'制度詳細'!$I$11),EOMONTH(CK$5,0)),"■",IF(AND('制度詳細'!$J$11&lt;&gt;"",'制度詳細'!$J$11&gt;=CK$5,'制度詳細'!$J$11&lt;=EOMONTH(CK$5,0)),"◆","")))</x:f>
      </x:c>
      <x:c r="CL11" s="57" t="str">
        <x:f>IF('制度詳細'!$H$11="",IF('制度詳細'!$J$11="","",IF(AND('制度詳細'!$J$11&gt;=CL$5,'制度詳細'!$J$11&lt;=EOMONTH(CL$5,0)),"◆","")),IF(MAX('制度詳細'!$H$11,CL$5)&lt;=MIN(IF('制度詳細'!$I$11="",EOMONTH(CL$5,0),'制度詳細'!$I$11),EOMONTH(CL$5,0)),"■",IF(AND('制度詳細'!$J$11&lt;&gt;"",'制度詳細'!$J$11&gt;=CL$5,'制度詳細'!$J$11&lt;=EOMONTH(CL$5,0)),"◆","")))</x:f>
      </x:c>
      <x:c r="CM11" s="57" t="str">
        <x:f>IF('制度詳細'!$H$11="",IF('制度詳細'!$J$11="","",IF(AND('制度詳細'!$J$11&gt;=CM$5,'制度詳細'!$J$11&lt;=EOMONTH(CM$5,0)),"◆","")),IF(MAX('制度詳細'!$H$11,CM$5)&lt;=MIN(IF('制度詳細'!$I$11="",EOMONTH(CM$5,0),'制度詳細'!$I$11),EOMONTH(CM$5,0)),"■",IF(AND('制度詳細'!$J$11&lt;&gt;"",'制度詳細'!$J$11&gt;=CM$5,'制度詳細'!$J$11&lt;=EOMONTH(CM$5,0)),"◆","")))</x:f>
      </x:c>
      <x:c r="CN11" s="57" t="str">
        <x:f>IF('制度詳細'!$H$11="",IF('制度詳細'!$J$11="","",IF(AND('制度詳細'!$J$11&gt;=CN$5,'制度詳細'!$J$11&lt;=EOMONTH(CN$5,0)),"◆","")),IF(MAX('制度詳細'!$H$11,CN$5)&lt;=MIN(IF('制度詳細'!$I$11="",EOMONTH(CN$5,0),'制度詳細'!$I$11),EOMONTH(CN$5,0)),"■",IF(AND('制度詳細'!$J$11&lt;&gt;"",'制度詳細'!$J$11&gt;=CN$5,'制度詳細'!$J$11&lt;=EOMONTH(CN$5,0)),"◆","")))</x:f>
      </x:c>
      <x:c r="CO11" s="57" t="str">
        <x:f>IF('制度詳細'!$H$11="",IF('制度詳細'!$J$11="","",IF(AND('制度詳細'!$J$11&gt;=CO$5,'制度詳細'!$J$11&lt;=EOMONTH(CO$5,0)),"◆","")),IF(MAX('制度詳細'!$H$11,CO$5)&lt;=MIN(IF('制度詳細'!$I$11="",EOMONTH(CO$5,0),'制度詳細'!$I$11),EOMONTH(CO$5,0)),"■",IF(AND('制度詳細'!$J$11&lt;&gt;"",'制度詳細'!$J$11&gt;=CO$5,'制度詳細'!$J$11&lt;=EOMONTH(CO$5,0)),"◆","")))</x:f>
      </x:c>
      <x:c r="CP11" s="57" t="str">
        <x:f>IF('制度詳細'!$H$11="",IF('制度詳細'!$J$11="","",IF(AND('制度詳細'!$J$11&gt;=CP$5,'制度詳細'!$J$11&lt;=EOMONTH(CP$5,0)),"◆","")),IF(MAX('制度詳細'!$H$11,CP$5)&lt;=MIN(IF('制度詳細'!$I$11="",EOMONTH(CP$5,0),'制度詳細'!$I$11),EOMONTH(CP$5,0)),"■",IF(AND('制度詳細'!$J$11&lt;&gt;"",'制度詳細'!$J$11&gt;=CP$5,'制度詳細'!$J$11&lt;=EOMONTH(CP$5,0)),"◆","")))</x:f>
      </x:c>
      <x:c r="CQ11" s="57" t="str">
        <x:f>IF('制度詳細'!$H$11="",IF('制度詳細'!$J$11="","",IF(AND('制度詳細'!$J$11&gt;=CQ$5,'制度詳細'!$J$11&lt;=EOMONTH(CQ$5,0)),"◆","")),IF(MAX('制度詳細'!$H$11,CQ$5)&lt;=MIN(IF('制度詳細'!$I$11="",EOMONTH(CQ$5,0),'制度詳細'!$I$11),EOMONTH(CQ$5,0)),"■",IF(AND('制度詳細'!$J$11&lt;&gt;"",'制度詳細'!$J$11&gt;=CQ$5,'制度詳細'!$J$11&lt;=EOMONTH(CQ$5,0)),"◆","")))</x:f>
      </x:c>
      <x:c r="CR11" s="57" t="str">
        <x:f>IF('制度詳細'!$H$11="",IF('制度詳細'!$J$11="","",IF(AND('制度詳細'!$J$11&gt;=CR$5,'制度詳細'!$J$11&lt;=EOMONTH(CR$5,0)),"◆","")),IF(MAX('制度詳細'!$H$11,CR$5)&lt;=MIN(IF('制度詳細'!$I$11="",EOMONTH(CR$5,0),'制度詳細'!$I$11),EOMONTH(CR$5,0)),"■",IF(AND('制度詳細'!$J$11&lt;&gt;"",'制度詳細'!$J$11&gt;=CR$5,'制度詳細'!$J$11&lt;=EOMONTH(CR$5,0)),"◆","")))</x:f>
      </x:c>
      <x:c r="CS11" s="57" t="str">
        <x:f>IF('制度詳細'!$H$11="",IF('制度詳細'!$J$11="","",IF(AND('制度詳細'!$J$11&gt;=CS$5,'制度詳細'!$J$11&lt;=EOMONTH(CS$5,0)),"◆","")),IF(MAX('制度詳細'!$H$11,CS$5)&lt;=MIN(IF('制度詳細'!$I$11="",EOMONTH(CS$5,0),'制度詳細'!$I$11),EOMONTH(CS$5,0)),"■",IF(AND('制度詳細'!$J$11&lt;&gt;"",'制度詳細'!$J$11&gt;=CS$5,'制度詳細'!$J$11&lt;=EOMONTH(CS$5,0)),"◆","")))</x:f>
      </x:c>
      <x:c r="CT11" s="57" t="str">
        <x:f>IF('制度詳細'!$H$11="",IF('制度詳細'!$J$11="","",IF(AND('制度詳細'!$J$11&gt;=CT$5,'制度詳細'!$J$11&lt;=EOMONTH(CT$5,0)),"◆","")),IF(MAX('制度詳細'!$H$11,CT$5)&lt;=MIN(IF('制度詳細'!$I$11="",EOMONTH(CT$5,0),'制度詳細'!$I$11),EOMONTH(CT$5,0)),"■",IF(AND('制度詳細'!$J$11&lt;&gt;"",'制度詳細'!$J$11&gt;=CT$5,'制度詳細'!$J$11&lt;=EOMONTH(CT$5,0)),"◆","")))</x:f>
      </x:c>
      <x:c r="CU11" s="57" t="str">
        <x:f>IF('制度詳細'!$H$11="",IF('制度詳細'!$J$11="","",IF(AND('制度詳細'!$J$11&gt;=CU$5,'制度詳細'!$J$11&lt;=EOMONTH(CU$5,0)),"◆","")),IF(MAX('制度詳細'!$H$11,CU$5)&lt;=MIN(IF('制度詳細'!$I$11="",EOMONTH(CU$5,0),'制度詳細'!$I$11),EOMONTH(CU$5,0)),"■",IF(AND('制度詳細'!$J$11&lt;&gt;"",'制度詳細'!$J$11&gt;=CU$5,'制度詳細'!$J$11&lt;=EOMONTH(CU$5,0)),"◆","")))</x:f>
      </x:c>
      <x:c r="CV11" s="57" t="str">
        <x:f>IF('制度詳細'!$H$11="",IF('制度詳細'!$J$11="","",IF(AND('制度詳細'!$J$11&gt;=CV$5,'制度詳細'!$J$11&lt;=EOMONTH(CV$5,0)),"◆","")),IF(MAX('制度詳細'!$H$11,CV$5)&lt;=MIN(IF('制度詳細'!$I$11="",EOMONTH(CV$5,0),'制度詳細'!$I$11),EOMONTH(CV$5,0)),"■",IF(AND('制度詳細'!$J$11&lt;&gt;"",'制度詳細'!$J$11&gt;=CV$5,'制度詳細'!$J$11&lt;=EOMONTH(CV$5,0)),"◆","")))</x:f>
        <x:v>■</x:v>
      </x:c>
      <x:c r="CW11" s="1"/>
      <x:c r="CX11" s="1"/>
      <x:c r="CY11" s="1"/>
      <x:c r="CZ11" s="1"/>
      <x:c r="DA11" s="1"/>
      <x:c r="DB11" s="1"/>
      <x:c r="DC11" s="1"/>
      <x:c r="DD11" s="1"/>
    </x:row>
    <x:row r="12" ht="27" customHeight="1">
      <x:c r="A12" s="53" t="str">
        <x:v>TH07</x:v>
      </x:c>
      <x:c r="B12" s="53" t="str">
        <x:v>タイ</x:v>
      </x:c>
      <x:c r="C12" s="53" t="str">
        <x:v>輸出1台＝補填1.5台の決定</x:v>
      </x:c>
      <x:c r="D12" s="53" t="str">
        <x:v>BEV</x:v>
      </x:c>
      <x:c r="E12" s="57" t="str">
        <x:f>IF('制度詳細'!$H$12="",IF('制度詳細'!$J$12="","",IF(AND('制度詳細'!$J$12&gt;=E$5,'制度詳細'!$J$12&lt;=EOMONTH(E$5,0)),"◆","")),IF(MAX('制度詳細'!$H$12,E$5)&lt;=MIN(IF('制度詳細'!$I$12="",EOMONTH(E$5,0),'制度詳細'!$I$12),EOMONTH(E$5,0)),"■",IF(AND('制度詳細'!$J$12&lt;&gt;"",'制度詳細'!$J$12&gt;=E$5,'制度詳細'!$J$12&lt;=EOMONTH(E$5,0)),"◆","")))</x:f>
      </x:c>
      <x:c r="F12" s="57" t="str">
        <x:f>IF('制度詳細'!$H$12="",IF('制度詳細'!$J$12="","",IF(AND('制度詳細'!$J$12&gt;=F$5,'制度詳細'!$J$12&lt;=EOMONTH(F$5,0)),"◆","")),IF(MAX('制度詳細'!$H$12,F$5)&lt;=MIN(IF('制度詳細'!$I$12="",EOMONTH(F$5,0),'制度詳細'!$I$12),EOMONTH(F$5,0)),"■",IF(AND('制度詳細'!$J$12&lt;&gt;"",'制度詳細'!$J$12&gt;=F$5,'制度詳細'!$J$12&lt;=EOMONTH(F$5,0)),"◆","")))</x:f>
      </x:c>
      <x:c r="G12" s="57" t="str">
        <x:f>IF('制度詳細'!$H$12="",IF('制度詳細'!$J$12="","",IF(AND('制度詳細'!$J$12&gt;=G$5,'制度詳細'!$J$12&lt;=EOMONTH(G$5,0)),"◆","")),IF(MAX('制度詳細'!$H$12,G$5)&lt;=MIN(IF('制度詳細'!$I$12="",EOMONTH(G$5,0),'制度詳細'!$I$12),EOMONTH(G$5,0)),"■",IF(AND('制度詳細'!$J$12&lt;&gt;"",'制度詳細'!$J$12&gt;=G$5,'制度詳細'!$J$12&lt;=EOMONTH(G$5,0)),"◆","")))</x:f>
      </x:c>
      <x:c r="H12" s="57" t="str">
        <x:f>IF('制度詳細'!$H$12="",IF('制度詳細'!$J$12="","",IF(AND('制度詳細'!$J$12&gt;=H$5,'制度詳細'!$J$12&lt;=EOMONTH(H$5,0)),"◆","")),IF(MAX('制度詳細'!$H$12,H$5)&lt;=MIN(IF('制度詳細'!$I$12="",EOMONTH(H$5,0),'制度詳細'!$I$12),EOMONTH(H$5,0)),"■",IF(AND('制度詳細'!$J$12&lt;&gt;"",'制度詳細'!$J$12&gt;=H$5,'制度詳細'!$J$12&lt;=EOMONTH(H$5,0)),"◆","")))</x:f>
      </x:c>
      <x:c r="I12" s="57" t="str">
        <x:f>IF('制度詳細'!$H$12="",IF('制度詳細'!$J$12="","",IF(AND('制度詳細'!$J$12&gt;=I$5,'制度詳細'!$J$12&lt;=EOMONTH(I$5,0)),"◆","")),IF(MAX('制度詳細'!$H$12,I$5)&lt;=MIN(IF('制度詳細'!$I$12="",EOMONTH(I$5,0),'制度詳細'!$I$12),EOMONTH(I$5,0)),"■",IF(AND('制度詳細'!$J$12&lt;&gt;"",'制度詳細'!$J$12&gt;=I$5,'制度詳細'!$J$12&lt;=EOMONTH(I$5,0)),"◆","")))</x:f>
      </x:c>
      <x:c r="J12" s="57" t="str">
        <x:f>IF('制度詳細'!$H$12="",IF('制度詳細'!$J$12="","",IF(AND('制度詳細'!$J$12&gt;=J$5,'制度詳細'!$J$12&lt;=EOMONTH(J$5,0)),"◆","")),IF(MAX('制度詳細'!$H$12,J$5)&lt;=MIN(IF('制度詳細'!$I$12="",EOMONTH(J$5,0),'制度詳細'!$I$12),EOMONTH(J$5,0)),"■",IF(AND('制度詳細'!$J$12&lt;&gt;"",'制度詳細'!$J$12&gt;=J$5,'制度詳細'!$J$12&lt;=EOMONTH(J$5,0)),"◆","")))</x:f>
      </x:c>
      <x:c r="K12" s="57" t="str">
        <x:f>IF('制度詳細'!$H$12="",IF('制度詳細'!$J$12="","",IF(AND('制度詳細'!$J$12&gt;=K$5,'制度詳細'!$J$12&lt;=EOMONTH(K$5,0)),"◆","")),IF(MAX('制度詳細'!$H$12,K$5)&lt;=MIN(IF('制度詳細'!$I$12="",EOMONTH(K$5,0),'制度詳細'!$I$12),EOMONTH(K$5,0)),"■",IF(AND('制度詳細'!$J$12&lt;&gt;"",'制度詳細'!$J$12&gt;=K$5,'制度詳細'!$J$12&lt;=EOMONTH(K$5,0)),"◆","")))</x:f>
      </x:c>
      <x:c r="L12" s="57" t="str">
        <x:f>IF('制度詳細'!$H$12="",IF('制度詳細'!$J$12="","",IF(AND('制度詳細'!$J$12&gt;=L$5,'制度詳細'!$J$12&lt;=EOMONTH(L$5,0)),"◆","")),IF(MAX('制度詳細'!$H$12,L$5)&lt;=MIN(IF('制度詳細'!$I$12="",EOMONTH(L$5,0),'制度詳細'!$I$12),EOMONTH(L$5,0)),"■",IF(AND('制度詳細'!$J$12&lt;&gt;"",'制度詳細'!$J$12&gt;=L$5,'制度詳細'!$J$12&lt;=EOMONTH(L$5,0)),"◆","")))</x:f>
      </x:c>
      <x:c r="M12" s="57" t="str">
        <x:f>IF('制度詳細'!$H$12="",IF('制度詳細'!$J$12="","",IF(AND('制度詳細'!$J$12&gt;=M$5,'制度詳細'!$J$12&lt;=EOMONTH(M$5,0)),"◆","")),IF(MAX('制度詳細'!$H$12,M$5)&lt;=MIN(IF('制度詳細'!$I$12="",EOMONTH(M$5,0),'制度詳細'!$I$12),EOMONTH(M$5,0)),"■",IF(AND('制度詳細'!$J$12&lt;&gt;"",'制度詳細'!$J$12&gt;=M$5,'制度詳細'!$J$12&lt;=EOMONTH(M$5,0)),"◆","")))</x:f>
      </x:c>
      <x:c r="N12" s="57" t="str">
        <x:f>IF('制度詳細'!$H$12="",IF('制度詳細'!$J$12="","",IF(AND('制度詳細'!$J$12&gt;=N$5,'制度詳細'!$J$12&lt;=EOMONTH(N$5,0)),"◆","")),IF(MAX('制度詳細'!$H$12,N$5)&lt;=MIN(IF('制度詳細'!$I$12="",EOMONTH(N$5,0),'制度詳細'!$I$12),EOMONTH(N$5,0)),"■",IF(AND('制度詳細'!$J$12&lt;&gt;"",'制度詳細'!$J$12&gt;=N$5,'制度詳細'!$J$12&lt;=EOMONTH(N$5,0)),"◆","")))</x:f>
      </x:c>
      <x:c r="O12" s="57" t="str">
        <x:f>IF('制度詳細'!$H$12="",IF('制度詳細'!$J$12="","",IF(AND('制度詳細'!$J$12&gt;=O$5,'制度詳細'!$J$12&lt;=EOMONTH(O$5,0)),"◆","")),IF(MAX('制度詳細'!$H$12,O$5)&lt;=MIN(IF('制度詳細'!$I$12="",EOMONTH(O$5,0),'制度詳細'!$I$12),EOMONTH(O$5,0)),"■",IF(AND('制度詳細'!$J$12&lt;&gt;"",'制度詳細'!$J$12&gt;=O$5,'制度詳細'!$J$12&lt;=EOMONTH(O$5,0)),"◆","")))</x:f>
      </x:c>
      <x:c r="P12" s="57" t="str">
        <x:f>IF('制度詳細'!$H$12="",IF('制度詳細'!$J$12="","",IF(AND('制度詳細'!$J$12&gt;=P$5,'制度詳細'!$J$12&lt;=EOMONTH(P$5,0)),"◆","")),IF(MAX('制度詳細'!$H$12,P$5)&lt;=MIN(IF('制度詳細'!$I$12="",EOMONTH(P$5,0),'制度詳細'!$I$12),EOMONTH(P$5,0)),"■",IF(AND('制度詳細'!$J$12&lt;&gt;"",'制度詳細'!$J$12&gt;=P$5,'制度詳細'!$J$12&lt;=EOMONTH(P$5,0)),"◆","")))</x:f>
      </x:c>
      <x:c r="Q12" s="57" t="str">
        <x:f>IF('制度詳細'!$H$12="",IF('制度詳細'!$J$12="","",IF(AND('制度詳細'!$J$12&gt;=Q$5,'制度詳細'!$J$12&lt;=EOMONTH(Q$5,0)),"◆","")),IF(MAX('制度詳細'!$H$12,Q$5)&lt;=MIN(IF('制度詳細'!$I$12="",EOMONTH(Q$5,0),'制度詳細'!$I$12),EOMONTH(Q$5,0)),"■",IF(AND('制度詳細'!$J$12&lt;&gt;"",'制度詳細'!$J$12&gt;=Q$5,'制度詳細'!$J$12&lt;=EOMONTH(Q$5,0)),"◆","")))</x:f>
      </x:c>
      <x:c r="R12" s="57" t="str">
        <x:f>IF('制度詳細'!$H$12="",IF('制度詳細'!$J$12="","",IF(AND('制度詳細'!$J$12&gt;=R$5,'制度詳細'!$J$12&lt;=EOMONTH(R$5,0)),"◆","")),IF(MAX('制度詳細'!$H$12,R$5)&lt;=MIN(IF('制度詳細'!$I$12="",EOMONTH(R$5,0),'制度詳細'!$I$12),EOMONTH(R$5,0)),"■",IF(AND('制度詳細'!$J$12&lt;&gt;"",'制度詳細'!$J$12&gt;=R$5,'制度詳細'!$J$12&lt;=EOMONTH(R$5,0)),"◆","")))</x:f>
      </x:c>
      <x:c r="S12" s="57" t="str">
        <x:f>IF('制度詳細'!$H$12="",IF('制度詳細'!$J$12="","",IF(AND('制度詳細'!$J$12&gt;=S$5,'制度詳細'!$J$12&lt;=EOMONTH(S$5,0)),"◆","")),IF(MAX('制度詳細'!$H$12,S$5)&lt;=MIN(IF('制度詳細'!$I$12="",EOMONTH(S$5,0),'制度詳細'!$I$12),EOMONTH(S$5,0)),"■",IF(AND('制度詳細'!$J$12&lt;&gt;"",'制度詳細'!$J$12&gt;=S$5,'制度詳細'!$J$12&lt;=EOMONTH(S$5,0)),"◆","")))</x:f>
      </x:c>
      <x:c r="T12" s="57" t="str">
        <x:f>IF('制度詳細'!$H$12="",IF('制度詳細'!$J$12="","",IF(AND('制度詳細'!$J$12&gt;=T$5,'制度詳細'!$J$12&lt;=EOMONTH(T$5,0)),"◆","")),IF(MAX('制度詳細'!$H$12,T$5)&lt;=MIN(IF('制度詳細'!$I$12="",EOMONTH(T$5,0),'制度詳細'!$I$12),EOMONTH(T$5,0)),"■",IF(AND('制度詳細'!$J$12&lt;&gt;"",'制度詳細'!$J$12&gt;=T$5,'制度詳細'!$J$12&lt;=EOMONTH(T$5,0)),"◆","")))</x:f>
      </x:c>
      <x:c r="U12" s="57" t="str">
        <x:f>IF('制度詳細'!$H$12="",IF('制度詳細'!$J$12="","",IF(AND('制度詳細'!$J$12&gt;=U$5,'制度詳細'!$J$12&lt;=EOMONTH(U$5,0)),"◆","")),IF(MAX('制度詳細'!$H$12,U$5)&lt;=MIN(IF('制度詳細'!$I$12="",EOMONTH(U$5,0),'制度詳細'!$I$12),EOMONTH(U$5,0)),"■",IF(AND('制度詳細'!$J$12&lt;&gt;"",'制度詳細'!$J$12&gt;=U$5,'制度詳細'!$J$12&lt;=EOMONTH(U$5,0)),"◆","")))</x:f>
      </x:c>
      <x:c r="V12" s="57" t="str">
        <x:f>IF('制度詳細'!$H$12="",IF('制度詳細'!$J$12="","",IF(AND('制度詳細'!$J$12&gt;=V$5,'制度詳細'!$J$12&lt;=EOMONTH(V$5,0)),"◆","")),IF(MAX('制度詳細'!$H$12,V$5)&lt;=MIN(IF('制度詳細'!$I$12="",EOMONTH(V$5,0),'制度詳細'!$I$12),EOMONTH(V$5,0)),"■",IF(AND('制度詳細'!$J$12&lt;&gt;"",'制度詳細'!$J$12&gt;=V$5,'制度詳細'!$J$12&lt;=EOMONTH(V$5,0)),"◆","")))</x:f>
      </x:c>
      <x:c r="W12" s="57" t="str">
        <x:f>IF('制度詳細'!$H$12="",IF('制度詳細'!$J$12="","",IF(AND('制度詳細'!$J$12&gt;=W$5,'制度詳細'!$J$12&lt;=EOMONTH(W$5,0)),"◆","")),IF(MAX('制度詳細'!$H$12,W$5)&lt;=MIN(IF('制度詳細'!$I$12="",EOMONTH(W$5,0),'制度詳細'!$I$12),EOMONTH(W$5,0)),"■",IF(AND('制度詳細'!$J$12&lt;&gt;"",'制度詳細'!$J$12&gt;=W$5,'制度詳細'!$J$12&lt;=EOMONTH(W$5,0)),"◆","")))</x:f>
      </x:c>
      <x:c r="X12" s="57" t="str">
        <x:f>IF('制度詳細'!$H$12="",IF('制度詳細'!$J$12="","",IF(AND('制度詳細'!$J$12&gt;=X$5,'制度詳細'!$J$12&lt;=EOMONTH(X$5,0)),"◆","")),IF(MAX('制度詳細'!$H$12,X$5)&lt;=MIN(IF('制度詳細'!$I$12="",EOMONTH(X$5,0),'制度詳細'!$I$12),EOMONTH(X$5,0)),"■",IF(AND('制度詳細'!$J$12&lt;&gt;"",'制度詳細'!$J$12&gt;=X$5,'制度詳細'!$J$12&lt;=EOMONTH(X$5,0)),"◆","")))</x:f>
      </x:c>
      <x:c r="Y12" s="57" t="str">
        <x:f>IF('制度詳細'!$H$12="",IF('制度詳細'!$J$12="","",IF(AND('制度詳細'!$J$12&gt;=Y$5,'制度詳細'!$J$12&lt;=EOMONTH(Y$5,0)),"◆","")),IF(MAX('制度詳細'!$H$12,Y$5)&lt;=MIN(IF('制度詳細'!$I$12="",EOMONTH(Y$5,0),'制度詳細'!$I$12),EOMONTH(Y$5,0)),"■",IF(AND('制度詳細'!$J$12&lt;&gt;"",'制度詳細'!$J$12&gt;=Y$5,'制度詳細'!$J$12&lt;=EOMONTH(Y$5,0)),"◆","")))</x:f>
      </x:c>
      <x:c r="Z12" s="57" t="str">
        <x:f>IF('制度詳細'!$H$12="",IF('制度詳細'!$J$12="","",IF(AND('制度詳細'!$J$12&gt;=Z$5,'制度詳細'!$J$12&lt;=EOMONTH(Z$5,0)),"◆","")),IF(MAX('制度詳細'!$H$12,Z$5)&lt;=MIN(IF('制度詳細'!$I$12="",EOMONTH(Z$5,0),'制度詳細'!$I$12),EOMONTH(Z$5,0)),"■",IF(AND('制度詳細'!$J$12&lt;&gt;"",'制度詳細'!$J$12&gt;=Z$5,'制度詳細'!$J$12&lt;=EOMONTH(Z$5,0)),"◆","")))</x:f>
      </x:c>
      <x:c r="AA12" s="57" t="str">
        <x:f>IF('制度詳細'!$H$12="",IF('制度詳細'!$J$12="","",IF(AND('制度詳細'!$J$12&gt;=AA$5,'制度詳細'!$J$12&lt;=EOMONTH(AA$5,0)),"◆","")),IF(MAX('制度詳細'!$H$12,AA$5)&lt;=MIN(IF('制度詳細'!$I$12="",EOMONTH(AA$5,0),'制度詳細'!$I$12),EOMONTH(AA$5,0)),"■",IF(AND('制度詳細'!$J$12&lt;&gt;"",'制度詳細'!$J$12&gt;=AA$5,'制度詳細'!$J$12&lt;=EOMONTH(AA$5,0)),"◆","")))</x:f>
      </x:c>
      <x:c r="AB12" s="57" t="str">
        <x:f>IF('制度詳細'!$H$12="",IF('制度詳細'!$J$12="","",IF(AND('制度詳細'!$J$12&gt;=AB$5,'制度詳細'!$J$12&lt;=EOMONTH(AB$5,0)),"◆","")),IF(MAX('制度詳細'!$H$12,AB$5)&lt;=MIN(IF('制度詳細'!$I$12="",EOMONTH(AB$5,0),'制度詳細'!$I$12),EOMONTH(AB$5,0)),"■",IF(AND('制度詳細'!$J$12&lt;&gt;"",'制度詳細'!$J$12&gt;=AB$5,'制度詳細'!$J$12&lt;=EOMONTH(AB$5,0)),"◆","")))</x:f>
      </x:c>
      <x:c r="AC12" s="57" t="str">
        <x:f>IF('制度詳細'!$H$12="",IF('制度詳細'!$J$12="","",IF(AND('制度詳細'!$J$12&gt;=AC$5,'制度詳細'!$J$12&lt;=EOMONTH(AC$5,0)),"◆","")),IF(MAX('制度詳細'!$H$12,AC$5)&lt;=MIN(IF('制度詳細'!$I$12="",EOMONTH(AC$5,0),'制度詳細'!$I$12),EOMONTH(AC$5,0)),"■",IF(AND('制度詳細'!$J$12&lt;&gt;"",'制度詳細'!$J$12&gt;=AC$5,'制度詳細'!$J$12&lt;=EOMONTH(AC$5,0)),"◆","")))</x:f>
      </x:c>
      <x:c r="AD12" s="57" t="str">
        <x:f>IF('制度詳細'!$H$12="",IF('制度詳細'!$J$12="","",IF(AND('制度詳細'!$J$12&gt;=AD$5,'制度詳細'!$J$12&lt;=EOMONTH(AD$5,0)),"◆","")),IF(MAX('制度詳細'!$H$12,AD$5)&lt;=MIN(IF('制度詳細'!$I$12="",EOMONTH(AD$5,0),'制度詳細'!$I$12),EOMONTH(AD$5,0)),"■",IF(AND('制度詳細'!$J$12&lt;&gt;"",'制度詳細'!$J$12&gt;=AD$5,'制度詳細'!$J$12&lt;=EOMONTH(AD$5,0)),"◆","")))</x:f>
      </x:c>
      <x:c r="AE12" s="57" t="str">
        <x:f>IF('制度詳細'!$H$12="",IF('制度詳細'!$J$12="","",IF(AND('制度詳細'!$J$12&gt;=AE$5,'制度詳細'!$J$12&lt;=EOMONTH(AE$5,0)),"◆","")),IF(MAX('制度詳細'!$H$12,AE$5)&lt;=MIN(IF('制度詳細'!$I$12="",EOMONTH(AE$5,0),'制度詳細'!$I$12),EOMONTH(AE$5,0)),"■",IF(AND('制度詳細'!$J$12&lt;&gt;"",'制度詳細'!$J$12&gt;=AE$5,'制度詳細'!$J$12&lt;=EOMONTH(AE$5,0)),"◆","")))</x:f>
      </x:c>
      <x:c r="AF12" s="57" t="str">
        <x:f>IF('制度詳細'!$H$12="",IF('制度詳細'!$J$12="","",IF(AND('制度詳細'!$J$12&gt;=AF$5,'制度詳細'!$J$12&lt;=EOMONTH(AF$5,0)),"◆","")),IF(MAX('制度詳細'!$H$12,AF$5)&lt;=MIN(IF('制度詳細'!$I$12="",EOMONTH(AF$5,0),'制度詳細'!$I$12),EOMONTH(AF$5,0)),"■",IF(AND('制度詳細'!$J$12&lt;&gt;"",'制度詳細'!$J$12&gt;=AF$5,'制度詳細'!$J$12&lt;=EOMONTH(AF$5,0)),"◆","")))</x:f>
      </x:c>
      <x:c r="AG12" s="57" t="str">
        <x:f>IF('制度詳細'!$H$12="",IF('制度詳細'!$J$12="","",IF(AND('制度詳細'!$J$12&gt;=AG$5,'制度詳細'!$J$12&lt;=EOMONTH(AG$5,0)),"◆","")),IF(MAX('制度詳細'!$H$12,AG$5)&lt;=MIN(IF('制度詳細'!$I$12="",EOMONTH(AG$5,0),'制度詳細'!$I$12),EOMONTH(AG$5,0)),"■",IF(AND('制度詳細'!$J$12&lt;&gt;"",'制度詳細'!$J$12&gt;=AG$5,'制度詳細'!$J$12&lt;=EOMONTH(AG$5,0)),"◆","")))</x:f>
      </x:c>
      <x:c r="AH12" s="57" t="str">
        <x:f>IF('制度詳細'!$H$12="",IF('制度詳細'!$J$12="","",IF(AND('制度詳細'!$J$12&gt;=AH$5,'制度詳細'!$J$12&lt;=EOMONTH(AH$5,0)),"◆","")),IF(MAX('制度詳細'!$H$12,AH$5)&lt;=MIN(IF('制度詳細'!$I$12="",EOMONTH(AH$5,0),'制度詳細'!$I$12),EOMONTH(AH$5,0)),"■",IF(AND('制度詳細'!$J$12&lt;&gt;"",'制度詳細'!$J$12&gt;=AH$5,'制度詳細'!$J$12&lt;=EOMONTH(AH$5,0)),"◆","")))</x:f>
      </x:c>
      <x:c r="AI12" s="57" t="str">
        <x:f>IF('制度詳細'!$H$12="",IF('制度詳細'!$J$12="","",IF(AND('制度詳細'!$J$12&gt;=AI$5,'制度詳細'!$J$12&lt;=EOMONTH(AI$5,0)),"◆","")),IF(MAX('制度詳細'!$H$12,AI$5)&lt;=MIN(IF('制度詳細'!$I$12="",EOMONTH(AI$5,0),'制度詳細'!$I$12),EOMONTH(AI$5,0)),"■",IF(AND('制度詳細'!$J$12&lt;&gt;"",'制度詳細'!$J$12&gt;=AI$5,'制度詳細'!$J$12&lt;=EOMONTH(AI$5,0)),"◆","")))</x:f>
      </x:c>
      <x:c r="AJ12" s="57" t="str">
        <x:f>IF('制度詳細'!$H$12="",IF('制度詳細'!$J$12="","",IF(AND('制度詳細'!$J$12&gt;=AJ$5,'制度詳細'!$J$12&lt;=EOMONTH(AJ$5,0)),"◆","")),IF(MAX('制度詳細'!$H$12,AJ$5)&lt;=MIN(IF('制度詳細'!$I$12="",EOMONTH(AJ$5,0),'制度詳細'!$I$12),EOMONTH(AJ$5,0)),"■",IF(AND('制度詳細'!$J$12&lt;&gt;"",'制度詳細'!$J$12&gt;=AJ$5,'制度詳細'!$J$12&lt;=EOMONTH(AJ$5,0)),"◆","")))</x:f>
      </x:c>
      <x:c r="AK12" s="57" t="str">
        <x:f>IF('制度詳細'!$H$12="",IF('制度詳細'!$J$12="","",IF(AND('制度詳細'!$J$12&gt;=AK$5,'制度詳細'!$J$12&lt;=EOMONTH(AK$5,0)),"◆","")),IF(MAX('制度詳細'!$H$12,AK$5)&lt;=MIN(IF('制度詳細'!$I$12="",EOMONTH(AK$5,0),'制度詳細'!$I$12),EOMONTH(AK$5,0)),"■",IF(AND('制度詳細'!$J$12&lt;&gt;"",'制度詳細'!$J$12&gt;=AK$5,'制度詳細'!$J$12&lt;=EOMONTH(AK$5,0)),"◆","")))</x:f>
      </x:c>
      <x:c r="AL12" s="57" t="str">
        <x:f>IF('制度詳細'!$H$12="",IF('制度詳細'!$J$12="","",IF(AND('制度詳細'!$J$12&gt;=AL$5,'制度詳細'!$J$12&lt;=EOMONTH(AL$5,0)),"◆","")),IF(MAX('制度詳細'!$H$12,AL$5)&lt;=MIN(IF('制度詳細'!$I$12="",EOMONTH(AL$5,0),'制度詳細'!$I$12),EOMONTH(AL$5,0)),"■",IF(AND('制度詳細'!$J$12&lt;&gt;"",'制度詳細'!$J$12&gt;=AL$5,'制度詳細'!$J$12&lt;=EOMONTH(AL$5,0)),"◆","")))</x:f>
      </x:c>
      <x:c r="AM12" s="57" t="str">
        <x:f>IF('制度詳細'!$H$12="",IF('制度詳細'!$J$12="","",IF(AND('制度詳細'!$J$12&gt;=AM$5,'制度詳細'!$J$12&lt;=EOMONTH(AM$5,0)),"◆","")),IF(MAX('制度詳細'!$H$12,AM$5)&lt;=MIN(IF('制度詳細'!$I$12="",EOMONTH(AM$5,0),'制度詳細'!$I$12),EOMONTH(AM$5,0)),"■",IF(AND('制度詳細'!$J$12&lt;&gt;"",'制度詳細'!$J$12&gt;=AM$5,'制度詳細'!$J$12&lt;=EOMONTH(AM$5,0)),"◆","")))</x:f>
      </x:c>
      <x:c r="AN12" s="57" t="str">
        <x:f>IF('制度詳細'!$H$12="",IF('制度詳細'!$J$12="","",IF(AND('制度詳細'!$J$12&gt;=AN$5,'制度詳細'!$J$12&lt;=EOMONTH(AN$5,0)),"◆","")),IF(MAX('制度詳細'!$H$12,AN$5)&lt;=MIN(IF('制度詳細'!$I$12="",EOMONTH(AN$5,0),'制度詳細'!$I$12),EOMONTH(AN$5,0)),"■",IF(AND('制度詳細'!$J$12&lt;&gt;"",'制度詳細'!$J$12&gt;=AN$5,'制度詳細'!$J$12&lt;=EOMONTH(AN$5,0)),"◆","")))</x:f>
      </x:c>
      <x:c r="AO12" s="57" t="str">
        <x:f>IF('制度詳細'!$H$12="",IF('制度詳細'!$J$12="","",IF(AND('制度詳細'!$J$12&gt;=AO$5,'制度詳細'!$J$12&lt;=EOMONTH(AO$5,0)),"◆","")),IF(MAX('制度詳細'!$H$12,AO$5)&lt;=MIN(IF('制度詳細'!$I$12="",EOMONTH(AO$5,0),'制度詳細'!$I$12),EOMONTH(AO$5,0)),"■",IF(AND('制度詳細'!$J$12&lt;&gt;"",'制度詳細'!$J$12&gt;=AO$5,'制度詳細'!$J$12&lt;=EOMONTH(AO$5,0)),"◆","")))</x:f>
      </x:c>
      <x:c r="AP12" s="57" t="str">
        <x:f>IF('制度詳細'!$H$12="",IF('制度詳細'!$J$12="","",IF(AND('制度詳細'!$J$12&gt;=AP$5,'制度詳細'!$J$12&lt;=EOMONTH(AP$5,0)),"◆","")),IF(MAX('制度詳細'!$H$12,AP$5)&lt;=MIN(IF('制度詳細'!$I$12="",EOMONTH(AP$5,0),'制度詳細'!$I$12),EOMONTH(AP$5,0)),"■",IF(AND('制度詳細'!$J$12&lt;&gt;"",'制度詳細'!$J$12&gt;=AP$5,'制度詳細'!$J$12&lt;=EOMONTH(AP$5,0)),"◆","")))</x:f>
      </x:c>
      <x:c r="AQ12" s="57" t="str">
        <x:f>IF('制度詳細'!$H$12="",IF('制度詳細'!$J$12="","",IF(AND('制度詳細'!$J$12&gt;=AQ$5,'制度詳細'!$J$12&lt;=EOMONTH(AQ$5,0)),"◆","")),IF(MAX('制度詳細'!$H$12,AQ$5)&lt;=MIN(IF('制度詳細'!$I$12="",EOMONTH(AQ$5,0),'制度詳細'!$I$12),EOMONTH(AQ$5,0)),"■",IF(AND('制度詳細'!$J$12&lt;&gt;"",'制度詳細'!$J$12&gt;=AQ$5,'制度詳細'!$J$12&lt;=EOMONTH(AQ$5,0)),"◆","")))</x:f>
      </x:c>
      <x:c r="AR12" s="57" t="str">
        <x:f>IF('制度詳細'!$H$12="",IF('制度詳細'!$J$12="","",IF(AND('制度詳細'!$J$12&gt;=AR$5,'制度詳細'!$J$12&lt;=EOMONTH(AR$5,0)),"◆","")),IF(MAX('制度詳細'!$H$12,AR$5)&lt;=MIN(IF('制度詳細'!$I$12="",EOMONTH(AR$5,0),'制度詳細'!$I$12),EOMONTH(AR$5,0)),"■",IF(AND('制度詳細'!$J$12&lt;&gt;"",'制度詳細'!$J$12&gt;=AR$5,'制度詳細'!$J$12&lt;=EOMONTH(AR$5,0)),"◆","")))</x:f>
      </x:c>
      <x:c r="AS12" s="57" t="str">
        <x:f>IF('制度詳細'!$H$12="",IF('制度詳細'!$J$12="","",IF(AND('制度詳細'!$J$12&gt;=AS$5,'制度詳細'!$J$12&lt;=EOMONTH(AS$5,0)),"◆","")),IF(MAX('制度詳細'!$H$12,AS$5)&lt;=MIN(IF('制度詳細'!$I$12="",EOMONTH(AS$5,0),'制度詳細'!$I$12),EOMONTH(AS$5,0)),"■",IF(AND('制度詳細'!$J$12&lt;&gt;"",'制度詳細'!$J$12&gt;=AS$5,'制度詳細'!$J$12&lt;=EOMONTH(AS$5,0)),"◆","")))</x:f>
      </x:c>
      <x:c r="AT12" s="57" t="str">
        <x:f>IF('制度詳細'!$H$12="",IF('制度詳細'!$J$12="","",IF(AND('制度詳細'!$J$12&gt;=AT$5,'制度詳細'!$J$12&lt;=EOMONTH(AT$5,0)),"◆","")),IF(MAX('制度詳細'!$H$12,AT$5)&lt;=MIN(IF('制度詳細'!$I$12="",EOMONTH(AT$5,0),'制度詳細'!$I$12),EOMONTH(AT$5,0)),"■",IF(AND('制度詳細'!$J$12&lt;&gt;"",'制度詳細'!$J$12&gt;=AT$5,'制度詳細'!$J$12&lt;=EOMONTH(AT$5,0)),"◆","")))</x:f>
      </x:c>
      <x:c r="AU12" s="57" t="str">
        <x:f>IF('制度詳細'!$H$12="",IF('制度詳細'!$J$12="","",IF(AND('制度詳細'!$J$12&gt;=AU$5,'制度詳細'!$J$12&lt;=EOMONTH(AU$5,0)),"◆","")),IF(MAX('制度詳細'!$H$12,AU$5)&lt;=MIN(IF('制度詳細'!$I$12="",EOMONTH(AU$5,0),'制度詳細'!$I$12),EOMONTH(AU$5,0)),"■",IF(AND('制度詳細'!$J$12&lt;&gt;"",'制度詳細'!$J$12&gt;=AU$5,'制度詳細'!$J$12&lt;=EOMONTH(AU$5,0)),"◆","")))</x:f>
      </x:c>
      <x:c r="AV12" s="57" t="str">
        <x:f>IF('制度詳細'!$H$12="",IF('制度詳細'!$J$12="","",IF(AND('制度詳細'!$J$12&gt;=AV$5,'制度詳細'!$J$12&lt;=EOMONTH(AV$5,0)),"◆","")),IF(MAX('制度詳細'!$H$12,AV$5)&lt;=MIN(IF('制度詳細'!$I$12="",EOMONTH(AV$5,0),'制度詳細'!$I$12),EOMONTH(AV$5,0)),"■",IF(AND('制度詳細'!$J$12&lt;&gt;"",'制度詳細'!$J$12&gt;=AV$5,'制度詳細'!$J$12&lt;=EOMONTH(AV$5,0)),"◆","")))</x:f>
      </x:c>
      <x:c r="AW12" s="57" t="str">
        <x:f>IF('制度詳細'!$H$12="",IF('制度詳細'!$J$12="","",IF(AND('制度詳細'!$J$12&gt;=AW$5,'制度詳細'!$J$12&lt;=EOMONTH(AW$5,0)),"◆","")),IF(MAX('制度詳細'!$H$12,AW$5)&lt;=MIN(IF('制度詳細'!$I$12="",EOMONTH(AW$5,0),'制度詳細'!$I$12),EOMONTH(AW$5,0)),"■",IF(AND('制度詳細'!$J$12&lt;&gt;"",'制度詳細'!$J$12&gt;=AW$5,'制度詳細'!$J$12&lt;=EOMONTH(AW$5,0)),"◆","")))</x:f>
      </x:c>
      <x:c r="AX12" s="57" t="str">
        <x:f>IF('制度詳細'!$H$12="",IF('制度詳細'!$J$12="","",IF(AND('制度詳細'!$J$12&gt;=AX$5,'制度詳細'!$J$12&lt;=EOMONTH(AX$5,0)),"◆","")),IF(MAX('制度詳細'!$H$12,AX$5)&lt;=MIN(IF('制度詳細'!$I$12="",EOMONTH(AX$5,0),'制度詳細'!$I$12),EOMONTH(AX$5,0)),"■",IF(AND('制度詳細'!$J$12&lt;&gt;"",'制度詳細'!$J$12&gt;=AX$5,'制度詳細'!$J$12&lt;=EOMONTH(AX$5,0)),"◆","")))</x:f>
      </x:c>
      <x:c r="AY12" s="57" t="str">
        <x:f>IF('制度詳細'!$H$12="",IF('制度詳細'!$J$12="","",IF(AND('制度詳細'!$J$12&gt;=AY$5,'制度詳細'!$J$12&lt;=EOMONTH(AY$5,0)),"◆","")),IF(MAX('制度詳細'!$H$12,AY$5)&lt;=MIN(IF('制度詳細'!$I$12="",EOMONTH(AY$5,0),'制度詳細'!$I$12),EOMONTH(AY$5,0)),"■",IF(AND('制度詳細'!$J$12&lt;&gt;"",'制度詳細'!$J$12&gt;=AY$5,'制度詳細'!$J$12&lt;=EOMONTH(AY$5,0)),"◆","")))</x:f>
      </x:c>
      <x:c r="AZ12" s="57" t="str">
        <x:f>IF('制度詳細'!$H$12="",IF('制度詳細'!$J$12="","",IF(AND('制度詳細'!$J$12&gt;=AZ$5,'制度詳細'!$J$12&lt;=EOMONTH(AZ$5,0)),"◆","")),IF(MAX('制度詳細'!$H$12,AZ$5)&lt;=MIN(IF('制度詳細'!$I$12="",EOMONTH(AZ$5,0),'制度詳細'!$I$12),EOMONTH(AZ$5,0)),"■",IF(AND('制度詳細'!$J$12&lt;&gt;"",'制度詳細'!$J$12&gt;=AZ$5,'制度詳細'!$J$12&lt;=EOMONTH(AZ$5,0)),"◆","")))</x:f>
      </x:c>
      <x:c r="BA12" s="57" t="str">
        <x:f>IF('制度詳細'!$H$12="",IF('制度詳細'!$J$12="","",IF(AND('制度詳細'!$J$12&gt;=BA$5,'制度詳細'!$J$12&lt;=EOMONTH(BA$5,0)),"◆","")),IF(MAX('制度詳細'!$H$12,BA$5)&lt;=MIN(IF('制度詳細'!$I$12="",EOMONTH(BA$5,0),'制度詳細'!$I$12),EOMONTH(BA$5,0)),"■",IF(AND('制度詳細'!$J$12&lt;&gt;"",'制度詳細'!$J$12&gt;=BA$5,'制度詳細'!$J$12&lt;=EOMONTH(BA$5,0)),"◆","")))</x:f>
      </x:c>
      <x:c r="BB12" s="57" t="str">
        <x:f>IF('制度詳細'!$H$12="",IF('制度詳細'!$J$12="","",IF(AND('制度詳細'!$J$12&gt;=BB$5,'制度詳細'!$J$12&lt;=EOMONTH(BB$5,0)),"◆","")),IF(MAX('制度詳細'!$H$12,BB$5)&lt;=MIN(IF('制度詳細'!$I$12="",EOMONTH(BB$5,0),'制度詳細'!$I$12),EOMONTH(BB$5,0)),"■",IF(AND('制度詳細'!$J$12&lt;&gt;"",'制度詳細'!$J$12&gt;=BB$5,'制度詳細'!$J$12&lt;=EOMONTH(BB$5,0)),"◆","")))</x:f>
      </x:c>
      <x:c r="BC12" s="57" t="str">
        <x:f>IF('制度詳細'!$H$12="",IF('制度詳細'!$J$12="","",IF(AND('制度詳細'!$J$12&gt;=BC$5,'制度詳細'!$J$12&lt;=EOMONTH(BC$5,0)),"◆","")),IF(MAX('制度詳細'!$H$12,BC$5)&lt;=MIN(IF('制度詳細'!$I$12="",EOMONTH(BC$5,0),'制度詳細'!$I$12),EOMONTH(BC$5,0)),"■",IF(AND('制度詳細'!$J$12&lt;&gt;"",'制度詳細'!$J$12&gt;=BC$5,'制度詳細'!$J$12&lt;=EOMONTH(BC$5,0)),"◆","")))</x:f>
      </x:c>
      <x:c r="BD12" s="57" t="str">
        <x:f>IF('制度詳細'!$H$12="",IF('制度詳細'!$J$12="","",IF(AND('制度詳細'!$J$12&gt;=BD$5,'制度詳細'!$J$12&lt;=EOMONTH(BD$5,0)),"◆","")),IF(MAX('制度詳細'!$H$12,BD$5)&lt;=MIN(IF('制度詳細'!$I$12="",EOMONTH(BD$5,0),'制度詳細'!$I$12),EOMONTH(BD$5,0)),"■",IF(AND('制度詳細'!$J$12&lt;&gt;"",'制度詳細'!$J$12&gt;=BD$5,'制度詳細'!$J$12&lt;=EOMONTH(BD$5,0)),"◆","")))</x:f>
      </x:c>
      <x:c r="BE12" s="57" t="str">
        <x:f>IF('制度詳細'!$H$12="",IF('制度詳細'!$J$12="","",IF(AND('制度詳細'!$J$12&gt;=BE$5,'制度詳細'!$J$12&lt;=EOMONTH(BE$5,0)),"◆","")),IF(MAX('制度詳細'!$H$12,BE$5)&lt;=MIN(IF('制度詳細'!$I$12="",EOMONTH(BE$5,0),'制度詳細'!$I$12),EOMONTH(BE$5,0)),"■",IF(AND('制度詳細'!$J$12&lt;&gt;"",'制度詳細'!$J$12&gt;=BE$5,'制度詳細'!$J$12&lt;=EOMONTH(BE$5,0)),"◆","")))</x:f>
      </x:c>
      <x:c r="BF12" s="57" t="str">
        <x:f>IF('制度詳細'!$H$12="",IF('制度詳細'!$J$12="","",IF(AND('制度詳細'!$J$12&gt;=BF$5,'制度詳細'!$J$12&lt;=EOMONTH(BF$5,0)),"◆","")),IF(MAX('制度詳細'!$H$12,BF$5)&lt;=MIN(IF('制度詳細'!$I$12="",EOMONTH(BF$5,0),'制度詳細'!$I$12),EOMONTH(BF$5,0)),"■",IF(AND('制度詳細'!$J$12&lt;&gt;"",'制度詳細'!$J$12&gt;=BF$5,'制度詳細'!$J$12&lt;=EOMONTH(BF$5,0)),"◆","")))</x:f>
      </x:c>
      <x:c r="BG12" s="57" t="str">
        <x:f>IF('制度詳細'!$H$12="",IF('制度詳細'!$J$12="","",IF(AND('制度詳細'!$J$12&gt;=BG$5,'制度詳細'!$J$12&lt;=EOMONTH(BG$5,0)),"◆","")),IF(MAX('制度詳細'!$H$12,BG$5)&lt;=MIN(IF('制度詳細'!$I$12="",EOMONTH(BG$5,0),'制度詳細'!$I$12),EOMONTH(BG$5,0)),"■",IF(AND('制度詳細'!$J$12&lt;&gt;"",'制度詳細'!$J$12&gt;=BG$5,'制度詳細'!$J$12&lt;=EOMONTH(BG$5,0)),"◆","")))</x:f>
      </x:c>
      <x:c r="BH12" s="57" t="str">
        <x:f>IF('制度詳細'!$H$12="",IF('制度詳細'!$J$12="","",IF(AND('制度詳細'!$J$12&gt;=BH$5,'制度詳細'!$J$12&lt;=EOMONTH(BH$5,0)),"◆","")),IF(MAX('制度詳細'!$H$12,BH$5)&lt;=MIN(IF('制度詳細'!$I$12="",EOMONTH(BH$5,0),'制度詳細'!$I$12),EOMONTH(BH$5,0)),"■",IF(AND('制度詳細'!$J$12&lt;&gt;"",'制度詳細'!$J$12&gt;=BH$5,'制度詳細'!$J$12&lt;=EOMONTH(BH$5,0)),"◆","")))</x:f>
      </x:c>
      <x:c r="BI12" s="57" t="str">
        <x:f>IF('制度詳細'!$H$12="",IF('制度詳細'!$J$12="","",IF(AND('制度詳細'!$J$12&gt;=BI$5,'制度詳細'!$J$12&lt;=EOMONTH(BI$5,0)),"◆","")),IF(MAX('制度詳細'!$H$12,BI$5)&lt;=MIN(IF('制度詳細'!$I$12="",EOMONTH(BI$5,0),'制度詳細'!$I$12),EOMONTH(BI$5,0)),"■",IF(AND('制度詳細'!$J$12&lt;&gt;"",'制度詳細'!$J$12&gt;=BI$5,'制度詳細'!$J$12&lt;=EOMONTH(BI$5,0)),"◆","")))</x:f>
      </x:c>
      <x:c r="BJ12" s="57" t="str">
        <x:f>IF('制度詳細'!$H$12="",IF('制度詳細'!$J$12="","",IF(AND('制度詳細'!$J$12&gt;=BJ$5,'制度詳細'!$J$12&lt;=EOMONTH(BJ$5,0)),"◆","")),IF(MAX('制度詳細'!$H$12,BJ$5)&lt;=MIN(IF('制度詳細'!$I$12="",EOMONTH(BJ$5,0),'制度詳細'!$I$12),EOMONTH(BJ$5,0)),"■",IF(AND('制度詳細'!$J$12&lt;&gt;"",'制度詳細'!$J$12&gt;=BJ$5,'制度詳細'!$J$12&lt;=EOMONTH(BJ$5,0)),"◆","")))</x:f>
      </x:c>
      <x:c r="BK12" s="57" t="str">
        <x:f>IF('制度詳細'!$H$12="",IF('制度詳細'!$J$12="","",IF(AND('制度詳細'!$J$12&gt;=BK$5,'制度詳細'!$J$12&lt;=EOMONTH(BK$5,0)),"◆","")),IF(MAX('制度詳細'!$H$12,BK$5)&lt;=MIN(IF('制度詳細'!$I$12="",EOMONTH(BK$5,0),'制度詳細'!$I$12),EOMONTH(BK$5,0)),"■",IF(AND('制度詳細'!$J$12&lt;&gt;"",'制度詳細'!$J$12&gt;=BK$5,'制度詳細'!$J$12&lt;=EOMONTH(BK$5,0)),"◆","")))</x:f>
      </x:c>
      <x:c r="BL12" s="57" t="str">
        <x:f>IF('制度詳細'!$H$12="",IF('制度詳細'!$J$12="","",IF(AND('制度詳細'!$J$12&gt;=BL$5,'制度詳細'!$J$12&lt;=EOMONTH(BL$5,0)),"◆","")),IF(MAX('制度詳細'!$H$12,BL$5)&lt;=MIN(IF('制度詳細'!$I$12="",EOMONTH(BL$5,0),'制度詳細'!$I$12),EOMONTH(BL$5,0)),"■",IF(AND('制度詳細'!$J$12&lt;&gt;"",'制度詳細'!$J$12&gt;=BL$5,'制度詳細'!$J$12&lt;=EOMONTH(BL$5,0)),"◆","")))</x:f>
      </x:c>
      <x:c r="BM12" s="57" t="str">
        <x:f>IF('制度詳細'!$H$12="",IF('制度詳細'!$J$12="","",IF(AND('制度詳細'!$J$12&gt;=BM$5,'制度詳細'!$J$12&lt;=EOMONTH(BM$5,0)),"◆","")),IF(MAX('制度詳細'!$H$12,BM$5)&lt;=MIN(IF('制度詳細'!$I$12="",EOMONTH(BM$5,0),'制度詳細'!$I$12),EOMONTH(BM$5,0)),"■",IF(AND('制度詳細'!$J$12&lt;&gt;"",'制度詳細'!$J$12&gt;=BM$5,'制度詳細'!$J$12&lt;=EOMONTH(BM$5,0)),"◆","")))</x:f>
      </x:c>
      <x:c r="BN12" s="57" t="str">
        <x:f>IF('制度詳細'!$H$12="",IF('制度詳細'!$J$12="","",IF(AND('制度詳細'!$J$12&gt;=BN$5,'制度詳細'!$J$12&lt;=EOMONTH(BN$5,0)),"◆","")),IF(MAX('制度詳細'!$H$12,BN$5)&lt;=MIN(IF('制度詳細'!$I$12="",EOMONTH(BN$5,0),'制度詳細'!$I$12),EOMONTH(BN$5,0)),"■",IF(AND('制度詳細'!$J$12&lt;&gt;"",'制度詳細'!$J$12&gt;=BN$5,'制度詳細'!$J$12&lt;=EOMONTH(BN$5,0)),"◆","")))</x:f>
      </x:c>
      <x:c r="BO12" s="57" t="str">
        <x:f>IF('制度詳細'!$H$12="",IF('制度詳細'!$J$12="","",IF(AND('制度詳細'!$J$12&gt;=BO$5,'制度詳細'!$J$12&lt;=EOMONTH(BO$5,0)),"◆","")),IF(MAX('制度詳細'!$H$12,BO$5)&lt;=MIN(IF('制度詳細'!$I$12="",EOMONTH(BO$5,0),'制度詳細'!$I$12),EOMONTH(BO$5,0)),"■",IF(AND('制度詳細'!$J$12&lt;&gt;"",'制度詳細'!$J$12&gt;=BO$5,'制度詳細'!$J$12&lt;=EOMONTH(BO$5,0)),"◆","")))</x:f>
      </x:c>
      <x:c r="BP12" s="57" t="str">
        <x:f>IF('制度詳細'!$H$12="",IF('制度詳細'!$J$12="","",IF(AND('制度詳細'!$J$12&gt;=BP$5,'制度詳細'!$J$12&lt;=EOMONTH(BP$5,0)),"◆","")),IF(MAX('制度詳細'!$H$12,BP$5)&lt;=MIN(IF('制度詳細'!$I$12="",EOMONTH(BP$5,0),'制度詳細'!$I$12),EOMONTH(BP$5,0)),"■",IF(AND('制度詳細'!$J$12&lt;&gt;"",'制度詳細'!$J$12&gt;=BP$5,'制度詳細'!$J$12&lt;=EOMONTH(BP$5,0)),"◆","")))</x:f>
      </x:c>
      <x:c r="BQ12" s="57" t="str">
        <x:f>IF('制度詳細'!$H$12="",IF('制度詳細'!$J$12="","",IF(AND('制度詳細'!$J$12&gt;=BQ$5,'制度詳細'!$J$12&lt;=EOMONTH(BQ$5,0)),"◆","")),IF(MAX('制度詳細'!$H$12,BQ$5)&lt;=MIN(IF('制度詳細'!$I$12="",EOMONTH(BQ$5,0),'制度詳細'!$I$12),EOMONTH(BQ$5,0)),"■",IF(AND('制度詳細'!$J$12&lt;&gt;"",'制度詳細'!$J$12&gt;=BQ$5,'制度詳細'!$J$12&lt;=EOMONTH(BQ$5,0)),"◆","")))</x:f>
      </x:c>
      <x:c r="BR12" s="57" t="str">
        <x:f>IF('制度詳細'!$H$12="",IF('制度詳細'!$J$12="","",IF(AND('制度詳細'!$J$12&gt;=BR$5,'制度詳細'!$J$12&lt;=EOMONTH(BR$5,0)),"◆","")),IF(MAX('制度詳細'!$H$12,BR$5)&lt;=MIN(IF('制度詳細'!$I$12="",EOMONTH(BR$5,0),'制度詳細'!$I$12),EOMONTH(BR$5,0)),"■",IF(AND('制度詳細'!$J$12&lt;&gt;"",'制度詳細'!$J$12&gt;=BR$5,'制度詳細'!$J$12&lt;=EOMONTH(BR$5,0)),"◆","")))</x:f>
      </x:c>
      <x:c r="BS12" s="57" t="str">
        <x:f>IF('制度詳細'!$H$12="",IF('制度詳細'!$J$12="","",IF(AND('制度詳細'!$J$12&gt;=BS$5,'制度詳細'!$J$12&lt;=EOMONTH(BS$5,0)),"◆","")),IF(MAX('制度詳細'!$H$12,BS$5)&lt;=MIN(IF('制度詳細'!$I$12="",EOMONTH(BS$5,0),'制度詳細'!$I$12),EOMONTH(BS$5,0)),"■",IF(AND('制度詳細'!$J$12&lt;&gt;"",'制度詳細'!$J$12&gt;=BS$5,'制度詳細'!$J$12&lt;=EOMONTH(BS$5,0)),"◆","")))</x:f>
        <x:v>◆</x:v>
      </x:c>
      <x:c r="BT12" s="57" t="str">
        <x:f>IF('制度詳細'!$H$12="",IF('制度詳細'!$J$12="","",IF(AND('制度詳細'!$J$12&gt;=BT$5,'制度詳細'!$J$12&lt;=EOMONTH(BT$5,0)),"◆","")),IF(MAX('制度詳細'!$H$12,BT$5)&lt;=MIN(IF('制度詳細'!$I$12="",EOMONTH(BT$5,0),'制度詳細'!$I$12),EOMONTH(BT$5,0)),"■",IF(AND('制度詳細'!$J$12&lt;&gt;"",'制度詳細'!$J$12&gt;=BT$5,'制度詳細'!$J$12&lt;=EOMONTH(BT$5,0)),"◆","")))</x:f>
      </x:c>
      <x:c r="BU12" s="57" t="str">
        <x:f>IF('制度詳細'!$H$12="",IF('制度詳細'!$J$12="","",IF(AND('制度詳細'!$J$12&gt;=BU$5,'制度詳細'!$J$12&lt;=EOMONTH(BU$5,0)),"◆","")),IF(MAX('制度詳細'!$H$12,BU$5)&lt;=MIN(IF('制度詳細'!$I$12="",EOMONTH(BU$5,0),'制度詳細'!$I$12),EOMONTH(BU$5,0)),"■",IF(AND('制度詳細'!$J$12&lt;&gt;"",'制度詳細'!$J$12&gt;=BU$5,'制度詳細'!$J$12&lt;=EOMONTH(BU$5,0)),"◆","")))</x:f>
      </x:c>
      <x:c r="BV12" s="57" t="str">
        <x:f>IF('制度詳細'!$H$12="",IF('制度詳細'!$J$12="","",IF(AND('制度詳細'!$J$12&gt;=BV$5,'制度詳細'!$J$12&lt;=EOMONTH(BV$5,0)),"◆","")),IF(MAX('制度詳細'!$H$12,BV$5)&lt;=MIN(IF('制度詳細'!$I$12="",EOMONTH(BV$5,0),'制度詳細'!$I$12),EOMONTH(BV$5,0)),"■",IF(AND('制度詳細'!$J$12&lt;&gt;"",'制度詳細'!$J$12&gt;=BV$5,'制度詳細'!$J$12&lt;=EOMONTH(BV$5,0)),"◆","")))</x:f>
      </x:c>
      <x:c r="BW12" s="57" t="str">
        <x:f>IF('制度詳細'!$H$12="",IF('制度詳細'!$J$12="","",IF(AND('制度詳細'!$J$12&gt;=BW$5,'制度詳細'!$J$12&lt;=EOMONTH(BW$5,0)),"◆","")),IF(MAX('制度詳細'!$H$12,BW$5)&lt;=MIN(IF('制度詳細'!$I$12="",EOMONTH(BW$5,0),'制度詳細'!$I$12),EOMONTH(BW$5,0)),"■",IF(AND('制度詳細'!$J$12&lt;&gt;"",'制度詳細'!$J$12&gt;=BW$5,'制度詳細'!$J$12&lt;=EOMONTH(BW$5,0)),"◆","")))</x:f>
      </x:c>
      <x:c r="BX12" s="57" t="str">
        <x:f>IF('制度詳細'!$H$12="",IF('制度詳細'!$J$12="","",IF(AND('制度詳細'!$J$12&gt;=BX$5,'制度詳細'!$J$12&lt;=EOMONTH(BX$5,0)),"◆","")),IF(MAX('制度詳細'!$H$12,BX$5)&lt;=MIN(IF('制度詳細'!$I$12="",EOMONTH(BX$5,0),'制度詳細'!$I$12),EOMONTH(BX$5,0)),"■",IF(AND('制度詳細'!$J$12&lt;&gt;"",'制度詳細'!$J$12&gt;=BX$5,'制度詳細'!$J$12&lt;=EOMONTH(BX$5,0)),"◆","")))</x:f>
      </x:c>
      <x:c r="BY12" s="57" t="str">
        <x:f>IF('制度詳細'!$H$12="",IF('制度詳細'!$J$12="","",IF(AND('制度詳細'!$J$12&gt;=BY$5,'制度詳細'!$J$12&lt;=EOMONTH(BY$5,0)),"◆","")),IF(MAX('制度詳細'!$H$12,BY$5)&lt;=MIN(IF('制度詳細'!$I$12="",EOMONTH(BY$5,0),'制度詳細'!$I$12),EOMONTH(BY$5,0)),"■",IF(AND('制度詳細'!$J$12&lt;&gt;"",'制度詳細'!$J$12&gt;=BY$5,'制度詳細'!$J$12&lt;=EOMONTH(BY$5,0)),"◆","")))</x:f>
      </x:c>
      <x:c r="BZ12" s="57" t="str">
        <x:f>IF('制度詳細'!$H$12="",IF('制度詳細'!$J$12="","",IF(AND('制度詳細'!$J$12&gt;=BZ$5,'制度詳細'!$J$12&lt;=EOMONTH(BZ$5,0)),"◆","")),IF(MAX('制度詳細'!$H$12,BZ$5)&lt;=MIN(IF('制度詳細'!$I$12="",EOMONTH(BZ$5,0),'制度詳細'!$I$12),EOMONTH(BZ$5,0)),"■",IF(AND('制度詳細'!$J$12&lt;&gt;"",'制度詳細'!$J$12&gt;=BZ$5,'制度詳細'!$J$12&lt;=EOMONTH(BZ$5,0)),"◆","")))</x:f>
      </x:c>
      <x:c r="CA12" s="57" t="str">
        <x:f>IF('制度詳細'!$H$12="",IF('制度詳細'!$J$12="","",IF(AND('制度詳細'!$J$12&gt;=CA$5,'制度詳細'!$J$12&lt;=EOMONTH(CA$5,0)),"◆","")),IF(MAX('制度詳細'!$H$12,CA$5)&lt;=MIN(IF('制度詳細'!$I$12="",EOMONTH(CA$5,0),'制度詳細'!$I$12),EOMONTH(CA$5,0)),"■",IF(AND('制度詳細'!$J$12&lt;&gt;"",'制度詳細'!$J$12&gt;=CA$5,'制度詳細'!$J$12&lt;=EOMONTH(CA$5,0)),"◆","")))</x:f>
      </x:c>
      <x:c r="CB12" s="57" t="str">
        <x:f>IF('制度詳細'!$H$12="",IF('制度詳細'!$J$12="","",IF(AND('制度詳細'!$J$12&gt;=CB$5,'制度詳細'!$J$12&lt;=EOMONTH(CB$5,0)),"◆","")),IF(MAX('制度詳細'!$H$12,CB$5)&lt;=MIN(IF('制度詳細'!$I$12="",EOMONTH(CB$5,0),'制度詳細'!$I$12),EOMONTH(CB$5,0)),"■",IF(AND('制度詳細'!$J$12&lt;&gt;"",'制度詳細'!$J$12&gt;=CB$5,'制度詳細'!$J$12&lt;=EOMONTH(CB$5,0)),"◆","")))</x:f>
      </x:c>
      <x:c r="CC12" s="57" t="str">
        <x:f>IF('制度詳細'!$H$12="",IF('制度詳細'!$J$12="","",IF(AND('制度詳細'!$J$12&gt;=CC$5,'制度詳細'!$J$12&lt;=EOMONTH(CC$5,0)),"◆","")),IF(MAX('制度詳細'!$H$12,CC$5)&lt;=MIN(IF('制度詳細'!$I$12="",EOMONTH(CC$5,0),'制度詳細'!$I$12),EOMONTH(CC$5,0)),"■",IF(AND('制度詳細'!$J$12&lt;&gt;"",'制度詳細'!$J$12&gt;=CC$5,'制度詳細'!$J$12&lt;=EOMONTH(CC$5,0)),"◆","")))</x:f>
      </x:c>
      <x:c r="CD12" s="57" t="str">
        <x:f>IF('制度詳細'!$H$12="",IF('制度詳細'!$J$12="","",IF(AND('制度詳細'!$J$12&gt;=CD$5,'制度詳細'!$J$12&lt;=EOMONTH(CD$5,0)),"◆","")),IF(MAX('制度詳細'!$H$12,CD$5)&lt;=MIN(IF('制度詳細'!$I$12="",EOMONTH(CD$5,0),'制度詳細'!$I$12),EOMONTH(CD$5,0)),"■",IF(AND('制度詳細'!$J$12&lt;&gt;"",'制度詳細'!$J$12&gt;=CD$5,'制度詳細'!$J$12&lt;=EOMONTH(CD$5,0)),"◆","")))</x:f>
      </x:c>
      <x:c r="CE12" s="57" t="str">
        <x:f>IF('制度詳細'!$H$12="",IF('制度詳細'!$J$12="","",IF(AND('制度詳細'!$J$12&gt;=CE$5,'制度詳細'!$J$12&lt;=EOMONTH(CE$5,0)),"◆","")),IF(MAX('制度詳細'!$H$12,CE$5)&lt;=MIN(IF('制度詳細'!$I$12="",EOMONTH(CE$5,0),'制度詳細'!$I$12),EOMONTH(CE$5,0)),"■",IF(AND('制度詳細'!$J$12&lt;&gt;"",'制度詳細'!$J$12&gt;=CE$5,'制度詳細'!$J$12&lt;=EOMONTH(CE$5,0)),"◆","")))</x:f>
      </x:c>
      <x:c r="CF12" s="57" t="str">
        <x:f>IF('制度詳細'!$H$12="",IF('制度詳細'!$J$12="","",IF(AND('制度詳細'!$J$12&gt;=CF$5,'制度詳細'!$J$12&lt;=EOMONTH(CF$5,0)),"◆","")),IF(MAX('制度詳細'!$H$12,CF$5)&lt;=MIN(IF('制度詳細'!$I$12="",EOMONTH(CF$5,0),'制度詳細'!$I$12),EOMONTH(CF$5,0)),"■",IF(AND('制度詳細'!$J$12&lt;&gt;"",'制度詳細'!$J$12&gt;=CF$5,'制度詳細'!$J$12&lt;=EOMONTH(CF$5,0)),"◆","")))</x:f>
      </x:c>
      <x:c r="CG12" s="57" t="str">
        <x:f>IF('制度詳細'!$H$12="",IF('制度詳細'!$J$12="","",IF(AND('制度詳細'!$J$12&gt;=CG$5,'制度詳細'!$J$12&lt;=EOMONTH(CG$5,0)),"◆","")),IF(MAX('制度詳細'!$H$12,CG$5)&lt;=MIN(IF('制度詳細'!$I$12="",EOMONTH(CG$5,0),'制度詳細'!$I$12),EOMONTH(CG$5,0)),"■",IF(AND('制度詳細'!$J$12&lt;&gt;"",'制度詳細'!$J$12&gt;=CG$5,'制度詳細'!$J$12&lt;=EOMONTH(CG$5,0)),"◆","")))</x:f>
      </x:c>
      <x:c r="CH12" s="57" t="str">
        <x:f>IF('制度詳細'!$H$12="",IF('制度詳細'!$J$12="","",IF(AND('制度詳細'!$J$12&gt;=CH$5,'制度詳細'!$J$12&lt;=EOMONTH(CH$5,0)),"◆","")),IF(MAX('制度詳細'!$H$12,CH$5)&lt;=MIN(IF('制度詳細'!$I$12="",EOMONTH(CH$5,0),'制度詳細'!$I$12),EOMONTH(CH$5,0)),"■",IF(AND('制度詳細'!$J$12&lt;&gt;"",'制度詳細'!$J$12&gt;=CH$5,'制度詳細'!$J$12&lt;=EOMONTH(CH$5,0)),"◆","")))</x:f>
      </x:c>
      <x:c r="CI12" s="57" t="str">
        <x:f>IF('制度詳細'!$H$12="",IF('制度詳細'!$J$12="","",IF(AND('制度詳細'!$J$12&gt;=CI$5,'制度詳細'!$J$12&lt;=EOMONTH(CI$5,0)),"◆","")),IF(MAX('制度詳細'!$H$12,CI$5)&lt;=MIN(IF('制度詳細'!$I$12="",EOMONTH(CI$5,0),'制度詳細'!$I$12),EOMONTH(CI$5,0)),"■",IF(AND('制度詳細'!$J$12&lt;&gt;"",'制度詳細'!$J$12&gt;=CI$5,'制度詳細'!$J$12&lt;=EOMONTH(CI$5,0)),"◆","")))</x:f>
      </x:c>
      <x:c r="CJ12" s="57" t="str">
        <x:f>IF('制度詳細'!$H$12="",IF('制度詳細'!$J$12="","",IF(AND('制度詳細'!$J$12&gt;=CJ$5,'制度詳細'!$J$12&lt;=EOMONTH(CJ$5,0)),"◆","")),IF(MAX('制度詳細'!$H$12,CJ$5)&lt;=MIN(IF('制度詳細'!$I$12="",EOMONTH(CJ$5,0),'制度詳細'!$I$12),EOMONTH(CJ$5,0)),"■",IF(AND('制度詳細'!$J$12&lt;&gt;"",'制度詳細'!$J$12&gt;=CJ$5,'制度詳細'!$J$12&lt;=EOMONTH(CJ$5,0)),"◆","")))</x:f>
      </x:c>
      <x:c r="CK12" s="57" t="str">
        <x:f>IF('制度詳細'!$H$12="",IF('制度詳細'!$J$12="","",IF(AND('制度詳細'!$J$12&gt;=CK$5,'制度詳細'!$J$12&lt;=EOMONTH(CK$5,0)),"◆","")),IF(MAX('制度詳細'!$H$12,CK$5)&lt;=MIN(IF('制度詳細'!$I$12="",EOMONTH(CK$5,0),'制度詳細'!$I$12),EOMONTH(CK$5,0)),"■",IF(AND('制度詳細'!$J$12&lt;&gt;"",'制度詳細'!$J$12&gt;=CK$5,'制度詳細'!$J$12&lt;=EOMONTH(CK$5,0)),"◆","")))</x:f>
      </x:c>
      <x:c r="CL12" s="57" t="str">
        <x:f>IF('制度詳細'!$H$12="",IF('制度詳細'!$J$12="","",IF(AND('制度詳細'!$J$12&gt;=CL$5,'制度詳細'!$J$12&lt;=EOMONTH(CL$5,0)),"◆","")),IF(MAX('制度詳細'!$H$12,CL$5)&lt;=MIN(IF('制度詳細'!$I$12="",EOMONTH(CL$5,0),'制度詳細'!$I$12),EOMONTH(CL$5,0)),"■",IF(AND('制度詳細'!$J$12&lt;&gt;"",'制度詳細'!$J$12&gt;=CL$5,'制度詳細'!$J$12&lt;=EOMONTH(CL$5,0)),"◆","")))</x:f>
      </x:c>
      <x:c r="CM12" s="57" t="str">
        <x:f>IF('制度詳細'!$H$12="",IF('制度詳細'!$J$12="","",IF(AND('制度詳細'!$J$12&gt;=CM$5,'制度詳細'!$J$12&lt;=EOMONTH(CM$5,0)),"◆","")),IF(MAX('制度詳細'!$H$12,CM$5)&lt;=MIN(IF('制度詳細'!$I$12="",EOMONTH(CM$5,0),'制度詳細'!$I$12),EOMONTH(CM$5,0)),"■",IF(AND('制度詳細'!$J$12&lt;&gt;"",'制度詳細'!$J$12&gt;=CM$5,'制度詳細'!$J$12&lt;=EOMONTH(CM$5,0)),"◆","")))</x:f>
      </x:c>
      <x:c r="CN12" s="57" t="str">
        <x:f>IF('制度詳細'!$H$12="",IF('制度詳細'!$J$12="","",IF(AND('制度詳細'!$J$12&gt;=CN$5,'制度詳細'!$J$12&lt;=EOMONTH(CN$5,0)),"◆","")),IF(MAX('制度詳細'!$H$12,CN$5)&lt;=MIN(IF('制度詳細'!$I$12="",EOMONTH(CN$5,0),'制度詳細'!$I$12),EOMONTH(CN$5,0)),"■",IF(AND('制度詳細'!$J$12&lt;&gt;"",'制度詳細'!$J$12&gt;=CN$5,'制度詳細'!$J$12&lt;=EOMONTH(CN$5,0)),"◆","")))</x:f>
      </x:c>
      <x:c r="CO12" s="57" t="str">
        <x:f>IF('制度詳細'!$H$12="",IF('制度詳細'!$J$12="","",IF(AND('制度詳細'!$J$12&gt;=CO$5,'制度詳細'!$J$12&lt;=EOMONTH(CO$5,0)),"◆","")),IF(MAX('制度詳細'!$H$12,CO$5)&lt;=MIN(IF('制度詳細'!$I$12="",EOMONTH(CO$5,0),'制度詳細'!$I$12),EOMONTH(CO$5,0)),"■",IF(AND('制度詳細'!$J$12&lt;&gt;"",'制度詳細'!$J$12&gt;=CO$5,'制度詳細'!$J$12&lt;=EOMONTH(CO$5,0)),"◆","")))</x:f>
      </x:c>
      <x:c r="CP12" s="57" t="str">
        <x:f>IF('制度詳細'!$H$12="",IF('制度詳細'!$J$12="","",IF(AND('制度詳細'!$J$12&gt;=CP$5,'制度詳細'!$J$12&lt;=EOMONTH(CP$5,0)),"◆","")),IF(MAX('制度詳細'!$H$12,CP$5)&lt;=MIN(IF('制度詳細'!$I$12="",EOMONTH(CP$5,0),'制度詳細'!$I$12),EOMONTH(CP$5,0)),"■",IF(AND('制度詳細'!$J$12&lt;&gt;"",'制度詳細'!$J$12&gt;=CP$5,'制度詳細'!$J$12&lt;=EOMONTH(CP$5,0)),"◆","")))</x:f>
      </x:c>
      <x:c r="CQ12" s="57" t="str">
        <x:f>IF('制度詳細'!$H$12="",IF('制度詳細'!$J$12="","",IF(AND('制度詳細'!$J$12&gt;=CQ$5,'制度詳細'!$J$12&lt;=EOMONTH(CQ$5,0)),"◆","")),IF(MAX('制度詳細'!$H$12,CQ$5)&lt;=MIN(IF('制度詳細'!$I$12="",EOMONTH(CQ$5,0),'制度詳細'!$I$12),EOMONTH(CQ$5,0)),"■",IF(AND('制度詳細'!$J$12&lt;&gt;"",'制度詳細'!$J$12&gt;=CQ$5,'制度詳細'!$J$12&lt;=EOMONTH(CQ$5,0)),"◆","")))</x:f>
      </x:c>
      <x:c r="CR12" s="57" t="str">
        <x:f>IF('制度詳細'!$H$12="",IF('制度詳細'!$J$12="","",IF(AND('制度詳細'!$J$12&gt;=CR$5,'制度詳細'!$J$12&lt;=EOMONTH(CR$5,0)),"◆","")),IF(MAX('制度詳細'!$H$12,CR$5)&lt;=MIN(IF('制度詳細'!$I$12="",EOMONTH(CR$5,0),'制度詳細'!$I$12),EOMONTH(CR$5,0)),"■",IF(AND('制度詳細'!$J$12&lt;&gt;"",'制度詳細'!$J$12&gt;=CR$5,'制度詳細'!$J$12&lt;=EOMONTH(CR$5,0)),"◆","")))</x:f>
      </x:c>
      <x:c r="CS12" s="57" t="str">
        <x:f>IF('制度詳細'!$H$12="",IF('制度詳細'!$J$12="","",IF(AND('制度詳細'!$J$12&gt;=CS$5,'制度詳細'!$J$12&lt;=EOMONTH(CS$5,0)),"◆","")),IF(MAX('制度詳細'!$H$12,CS$5)&lt;=MIN(IF('制度詳細'!$I$12="",EOMONTH(CS$5,0),'制度詳細'!$I$12),EOMONTH(CS$5,0)),"■",IF(AND('制度詳細'!$J$12&lt;&gt;"",'制度詳細'!$J$12&gt;=CS$5,'制度詳細'!$J$12&lt;=EOMONTH(CS$5,0)),"◆","")))</x:f>
      </x:c>
      <x:c r="CT12" s="57" t="str">
        <x:f>IF('制度詳細'!$H$12="",IF('制度詳細'!$J$12="","",IF(AND('制度詳細'!$J$12&gt;=CT$5,'制度詳細'!$J$12&lt;=EOMONTH(CT$5,0)),"◆","")),IF(MAX('制度詳細'!$H$12,CT$5)&lt;=MIN(IF('制度詳細'!$I$12="",EOMONTH(CT$5,0),'制度詳細'!$I$12),EOMONTH(CT$5,0)),"■",IF(AND('制度詳細'!$J$12&lt;&gt;"",'制度詳細'!$J$12&gt;=CT$5,'制度詳細'!$J$12&lt;=EOMONTH(CT$5,0)),"◆","")))</x:f>
      </x:c>
      <x:c r="CU12" s="57" t="str">
        <x:f>IF('制度詳細'!$H$12="",IF('制度詳細'!$J$12="","",IF(AND('制度詳細'!$J$12&gt;=CU$5,'制度詳細'!$J$12&lt;=EOMONTH(CU$5,0)),"◆","")),IF(MAX('制度詳細'!$H$12,CU$5)&lt;=MIN(IF('制度詳細'!$I$12="",EOMONTH(CU$5,0),'制度詳細'!$I$12),EOMONTH(CU$5,0)),"■",IF(AND('制度詳細'!$J$12&lt;&gt;"",'制度詳細'!$J$12&gt;=CU$5,'制度詳細'!$J$12&lt;=EOMONTH(CU$5,0)),"◆","")))</x:f>
      </x:c>
      <x:c r="CV12" s="57" t="str">
        <x:f>IF('制度詳細'!$H$12="",IF('制度詳細'!$J$12="","",IF(AND('制度詳細'!$J$12&gt;=CV$5,'制度詳細'!$J$12&lt;=EOMONTH(CV$5,0)),"◆","")),IF(MAX('制度詳細'!$H$12,CV$5)&lt;=MIN(IF('制度詳細'!$I$12="",EOMONTH(CV$5,0),'制度詳細'!$I$12),EOMONTH(CV$5,0)),"■",IF(AND('制度詳細'!$J$12&lt;&gt;"",'制度詳細'!$J$12&gt;=CV$5,'制度詳細'!$J$12&lt;=EOMONTH(CV$5,0)),"◆","")))</x:f>
      </x:c>
      <x:c r="CW12" s="1"/>
      <x:c r="CX12" s="1"/>
      <x:c r="CY12" s="1"/>
      <x:c r="CZ12" s="1"/>
      <x:c r="DA12" s="1"/>
      <x:c r="DB12" s="1"/>
      <x:c r="DC12" s="1"/>
      <x:c r="DD12" s="1"/>
    </x:row>
    <x:row r="13" ht="27" customHeight="1">
      <x:c r="A13" s="58" t="str">
        <x:v>TH08</x:v>
      </x:c>
      <x:c r="B13" s="58" t="str">
        <x:v>タイ</x:v>
      </x:c>
      <x:c r="C13" s="58" t="str">
        <x:v>EV3販売期限・登録猶予</x:v>
      </x:c>
      <x:c r="D13" s="58" t="str">
        <x:v>BEV</x:v>
      </x:c>
      <x:c r="E13" s="57" t="str">
        <x:f>IF('制度詳細'!$H$13="",IF('制度詳細'!$J$13="","",IF(AND('制度詳細'!$J$13&gt;=E$5,'制度詳細'!$J$13&lt;=EOMONTH(E$5,0)),"◆","")),IF(MAX('制度詳細'!$H$13,E$5)&lt;=MIN(IF('制度詳細'!$I$13="",EOMONTH(E$5,0),'制度詳細'!$I$13),EOMONTH(E$5,0)),"■",IF(AND('制度詳細'!$J$13&lt;&gt;"",'制度詳細'!$J$13&gt;=E$5,'制度詳細'!$J$13&lt;=EOMONTH(E$5,0)),"◆","")))</x:f>
      </x:c>
      <x:c r="F13" s="57" t="str">
        <x:f>IF('制度詳細'!$H$13="",IF('制度詳細'!$J$13="","",IF(AND('制度詳細'!$J$13&gt;=F$5,'制度詳細'!$J$13&lt;=EOMONTH(F$5,0)),"◆","")),IF(MAX('制度詳細'!$H$13,F$5)&lt;=MIN(IF('制度詳細'!$I$13="",EOMONTH(F$5,0),'制度詳細'!$I$13),EOMONTH(F$5,0)),"■",IF(AND('制度詳細'!$J$13&lt;&gt;"",'制度詳細'!$J$13&gt;=F$5,'制度詳細'!$J$13&lt;=EOMONTH(F$5,0)),"◆","")))</x:f>
      </x:c>
      <x:c r="G13" s="57" t="str">
        <x:f>IF('制度詳細'!$H$13="",IF('制度詳細'!$J$13="","",IF(AND('制度詳細'!$J$13&gt;=G$5,'制度詳細'!$J$13&lt;=EOMONTH(G$5,0)),"◆","")),IF(MAX('制度詳細'!$H$13,G$5)&lt;=MIN(IF('制度詳細'!$I$13="",EOMONTH(G$5,0),'制度詳細'!$I$13),EOMONTH(G$5,0)),"■",IF(AND('制度詳細'!$J$13&lt;&gt;"",'制度詳細'!$J$13&gt;=G$5,'制度詳細'!$J$13&lt;=EOMONTH(G$5,0)),"◆","")))</x:f>
      </x:c>
      <x:c r="H13" s="57" t="str">
        <x:f>IF('制度詳細'!$H$13="",IF('制度詳細'!$J$13="","",IF(AND('制度詳細'!$J$13&gt;=H$5,'制度詳細'!$J$13&lt;=EOMONTH(H$5,0)),"◆","")),IF(MAX('制度詳細'!$H$13,H$5)&lt;=MIN(IF('制度詳細'!$I$13="",EOMONTH(H$5,0),'制度詳細'!$I$13),EOMONTH(H$5,0)),"■",IF(AND('制度詳細'!$J$13&lt;&gt;"",'制度詳細'!$J$13&gt;=H$5,'制度詳細'!$J$13&lt;=EOMONTH(H$5,0)),"◆","")))</x:f>
      </x:c>
      <x:c r="I13" s="57" t="str">
        <x:f>IF('制度詳細'!$H$13="",IF('制度詳細'!$J$13="","",IF(AND('制度詳細'!$J$13&gt;=I$5,'制度詳細'!$J$13&lt;=EOMONTH(I$5,0)),"◆","")),IF(MAX('制度詳細'!$H$13,I$5)&lt;=MIN(IF('制度詳細'!$I$13="",EOMONTH(I$5,0),'制度詳細'!$I$13),EOMONTH(I$5,0)),"■",IF(AND('制度詳細'!$J$13&lt;&gt;"",'制度詳細'!$J$13&gt;=I$5,'制度詳細'!$J$13&lt;=EOMONTH(I$5,0)),"◆","")))</x:f>
      </x:c>
      <x:c r="J13" s="57" t="str">
        <x:f>IF('制度詳細'!$H$13="",IF('制度詳細'!$J$13="","",IF(AND('制度詳細'!$J$13&gt;=J$5,'制度詳細'!$J$13&lt;=EOMONTH(J$5,0)),"◆","")),IF(MAX('制度詳細'!$H$13,J$5)&lt;=MIN(IF('制度詳細'!$I$13="",EOMONTH(J$5,0),'制度詳細'!$I$13),EOMONTH(J$5,0)),"■",IF(AND('制度詳細'!$J$13&lt;&gt;"",'制度詳細'!$J$13&gt;=J$5,'制度詳細'!$J$13&lt;=EOMONTH(J$5,0)),"◆","")))</x:f>
      </x:c>
      <x:c r="K13" s="57" t="str">
        <x:f>IF('制度詳細'!$H$13="",IF('制度詳細'!$J$13="","",IF(AND('制度詳細'!$J$13&gt;=K$5,'制度詳細'!$J$13&lt;=EOMONTH(K$5,0)),"◆","")),IF(MAX('制度詳細'!$H$13,K$5)&lt;=MIN(IF('制度詳細'!$I$13="",EOMONTH(K$5,0),'制度詳細'!$I$13),EOMONTH(K$5,0)),"■",IF(AND('制度詳細'!$J$13&lt;&gt;"",'制度詳細'!$J$13&gt;=K$5,'制度詳細'!$J$13&lt;=EOMONTH(K$5,0)),"◆","")))</x:f>
      </x:c>
      <x:c r="L13" s="57" t="str">
        <x:f>IF('制度詳細'!$H$13="",IF('制度詳細'!$J$13="","",IF(AND('制度詳細'!$J$13&gt;=L$5,'制度詳細'!$J$13&lt;=EOMONTH(L$5,0)),"◆","")),IF(MAX('制度詳細'!$H$13,L$5)&lt;=MIN(IF('制度詳細'!$I$13="",EOMONTH(L$5,0),'制度詳細'!$I$13),EOMONTH(L$5,0)),"■",IF(AND('制度詳細'!$J$13&lt;&gt;"",'制度詳細'!$J$13&gt;=L$5,'制度詳細'!$J$13&lt;=EOMONTH(L$5,0)),"◆","")))</x:f>
      </x:c>
      <x:c r="M13" s="57" t="str">
        <x:f>IF('制度詳細'!$H$13="",IF('制度詳細'!$J$13="","",IF(AND('制度詳細'!$J$13&gt;=M$5,'制度詳細'!$J$13&lt;=EOMONTH(M$5,0)),"◆","")),IF(MAX('制度詳細'!$H$13,M$5)&lt;=MIN(IF('制度詳細'!$I$13="",EOMONTH(M$5,0),'制度詳細'!$I$13),EOMONTH(M$5,0)),"■",IF(AND('制度詳細'!$J$13&lt;&gt;"",'制度詳細'!$J$13&gt;=M$5,'制度詳細'!$J$13&lt;=EOMONTH(M$5,0)),"◆","")))</x:f>
      </x:c>
      <x:c r="N13" s="57" t="str">
        <x:f>IF('制度詳細'!$H$13="",IF('制度詳細'!$J$13="","",IF(AND('制度詳細'!$J$13&gt;=N$5,'制度詳細'!$J$13&lt;=EOMONTH(N$5,0)),"◆","")),IF(MAX('制度詳細'!$H$13,N$5)&lt;=MIN(IF('制度詳細'!$I$13="",EOMONTH(N$5,0),'制度詳細'!$I$13),EOMONTH(N$5,0)),"■",IF(AND('制度詳細'!$J$13&lt;&gt;"",'制度詳細'!$J$13&gt;=N$5,'制度詳細'!$J$13&lt;=EOMONTH(N$5,0)),"◆","")))</x:f>
      </x:c>
      <x:c r="O13" s="57" t="str">
        <x:f>IF('制度詳細'!$H$13="",IF('制度詳細'!$J$13="","",IF(AND('制度詳細'!$J$13&gt;=O$5,'制度詳細'!$J$13&lt;=EOMONTH(O$5,0)),"◆","")),IF(MAX('制度詳細'!$H$13,O$5)&lt;=MIN(IF('制度詳細'!$I$13="",EOMONTH(O$5,0),'制度詳細'!$I$13),EOMONTH(O$5,0)),"■",IF(AND('制度詳細'!$J$13&lt;&gt;"",'制度詳細'!$J$13&gt;=O$5,'制度詳細'!$J$13&lt;=EOMONTH(O$5,0)),"◆","")))</x:f>
      </x:c>
      <x:c r="P13" s="57" t="str">
        <x:f>IF('制度詳細'!$H$13="",IF('制度詳細'!$J$13="","",IF(AND('制度詳細'!$J$13&gt;=P$5,'制度詳細'!$J$13&lt;=EOMONTH(P$5,0)),"◆","")),IF(MAX('制度詳細'!$H$13,P$5)&lt;=MIN(IF('制度詳細'!$I$13="",EOMONTH(P$5,0),'制度詳細'!$I$13),EOMONTH(P$5,0)),"■",IF(AND('制度詳細'!$J$13&lt;&gt;"",'制度詳細'!$J$13&gt;=P$5,'制度詳細'!$J$13&lt;=EOMONTH(P$5,0)),"◆","")))</x:f>
      </x:c>
      <x:c r="Q13" s="57" t="str">
        <x:f>IF('制度詳細'!$H$13="",IF('制度詳細'!$J$13="","",IF(AND('制度詳細'!$J$13&gt;=Q$5,'制度詳細'!$J$13&lt;=EOMONTH(Q$5,0)),"◆","")),IF(MAX('制度詳細'!$H$13,Q$5)&lt;=MIN(IF('制度詳細'!$I$13="",EOMONTH(Q$5,0),'制度詳細'!$I$13),EOMONTH(Q$5,0)),"■",IF(AND('制度詳細'!$J$13&lt;&gt;"",'制度詳細'!$J$13&gt;=Q$5,'制度詳細'!$J$13&lt;=EOMONTH(Q$5,0)),"◆","")))</x:f>
      </x:c>
      <x:c r="R13" s="57" t="str">
        <x:f>IF('制度詳細'!$H$13="",IF('制度詳細'!$J$13="","",IF(AND('制度詳細'!$J$13&gt;=R$5,'制度詳細'!$J$13&lt;=EOMONTH(R$5,0)),"◆","")),IF(MAX('制度詳細'!$H$13,R$5)&lt;=MIN(IF('制度詳細'!$I$13="",EOMONTH(R$5,0),'制度詳細'!$I$13),EOMONTH(R$5,0)),"■",IF(AND('制度詳細'!$J$13&lt;&gt;"",'制度詳細'!$J$13&gt;=R$5,'制度詳細'!$J$13&lt;=EOMONTH(R$5,0)),"◆","")))</x:f>
      </x:c>
      <x:c r="S13" s="57" t="str">
        <x:f>IF('制度詳細'!$H$13="",IF('制度詳細'!$J$13="","",IF(AND('制度詳細'!$J$13&gt;=S$5,'制度詳細'!$J$13&lt;=EOMONTH(S$5,0)),"◆","")),IF(MAX('制度詳細'!$H$13,S$5)&lt;=MIN(IF('制度詳細'!$I$13="",EOMONTH(S$5,0),'制度詳細'!$I$13),EOMONTH(S$5,0)),"■",IF(AND('制度詳細'!$J$13&lt;&gt;"",'制度詳細'!$J$13&gt;=S$5,'制度詳細'!$J$13&lt;=EOMONTH(S$5,0)),"◆","")))</x:f>
      </x:c>
      <x:c r="T13" s="57" t="str">
        <x:f>IF('制度詳細'!$H$13="",IF('制度詳細'!$J$13="","",IF(AND('制度詳細'!$J$13&gt;=T$5,'制度詳細'!$J$13&lt;=EOMONTH(T$5,0)),"◆","")),IF(MAX('制度詳細'!$H$13,T$5)&lt;=MIN(IF('制度詳細'!$I$13="",EOMONTH(T$5,0),'制度詳細'!$I$13),EOMONTH(T$5,0)),"■",IF(AND('制度詳細'!$J$13&lt;&gt;"",'制度詳細'!$J$13&gt;=T$5,'制度詳細'!$J$13&lt;=EOMONTH(T$5,0)),"◆","")))</x:f>
      </x:c>
      <x:c r="U13" s="57" t="str">
        <x:f>IF('制度詳細'!$H$13="",IF('制度詳細'!$J$13="","",IF(AND('制度詳細'!$J$13&gt;=U$5,'制度詳細'!$J$13&lt;=EOMONTH(U$5,0)),"◆","")),IF(MAX('制度詳細'!$H$13,U$5)&lt;=MIN(IF('制度詳細'!$I$13="",EOMONTH(U$5,0),'制度詳細'!$I$13),EOMONTH(U$5,0)),"■",IF(AND('制度詳細'!$J$13&lt;&gt;"",'制度詳細'!$J$13&gt;=U$5,'制度詳細'!$J$13&lt;=EOMONTH(U$5,0)),"◆","")))</x:f>
      </x:c>
      <x:c r="V13" s="57" t="str">
        <x:f>IF('制度詳細'!$H$13="",IF('制度詳細'!$J$13="","",IF(AND('制度詳細'!$J$13&gt;=V$5,'制度詳細'!$J$13&lt;=EOMONTH(V$5,0)),"◆","")),IF(MAX('制度詳細'!$H$13,V$5)&lt;=MIN(IF('制度詳細'!$I$13="",EOMONTH(V$5,0),'制度詳細'!$I$13),EOMONTH(V$5,0)),"■",IF(AND('制度詳細'!$J$13&lt;&gt;"",'制度詳細'!$J$13&gt;=V$5,'制度詳細'!$J$13&lt;=EOMONTH(V$5,0)),"◆","")))</x:f>
      </x:c>
      <x:c r="W13" s="57" t="str">
        <x:f>IF('制度詳細'!$H$13="",IF('制度詳細'!$J$13="","",IF(AND('制度詳細'!$J$13&gt;=W$5,'制度詳細'!$J$13&lt;=EOMONTH(W$5,0)),"◆","")),IF(MAX('制度詳細'!$H$13,W$5)&lt;=MIN(IF('制度詳細'!$I$13="",EOMONTH(W$5,0),'制度詳細'!$I$13),EOMONTH(W$5,0)),"■",IF(AND('制度詳細'!$J$13&lt;&gt;"",'制度詳細'!$J$13&gt;=W$5,'制度詳細'!$J$13&lt;=EOMONTH(W$5,0)),"◆","")))</x:f>
      </x:c>
      <x:c r="X13" s="57" t="str">
        <x:f>IF('制度詳細'!$H$13="",IF('制度詳細'!$J$13="","",IF(AND('制度詳細'!$J$13&gt;=X$5,'制度詳細'!$J$13&lt;=EOMONTH(X$5,0)),"◆","")),IF(MAX('制度詳細'!$H$13,X$5)&lt;=MIN(IF('制度詳細'!$I$13="",EOMONTH(X$5,0),'制度詳細'!$I$13),EOMONTH(X$5,0)),"■",IF(AND('制度詳細'!$J$13&lt;&gt;"",'制度詳細'!$J$13&gt;=X$5,'制度詳細'!$J$13&lt;=EOMONTH(X$5,0)),"◆","")))</x:f>
      </x:c>
      <x:c r="Y13" s="57" t="str">
        <x:f>IF('制度詳細'!$H$13="",IF('制度詳細'!$J$13="","",IF(AND('制度詳細'!$J$13&gt;=Y$5,'制度詳細'!$J$13&lt;=EOMONTH(Y$5,0)),"◆","")),IF(MAX('制度詳細'!$H$13,Y$5)&lt;=MIN(IF('制度詳細'!$I$13="",EOMONTH(Y$5,0),'制度詳細'!$I$13),EOMONTH(Y$5,0)),"■",IF(AND('制度詳細'!$J$13&lt;&gt;"",'制度詳細'!$J$13&gt;=Y$5,'制度詳細'!$J$13&lt;=EOMONTH(Y$5,0)),"◆","")))</x:f>
      </x:c>
      <x:c r="Z13" s="57" t="str">
        <x:f>IF('制度詳細'!$H$13="",IF('制度詳細'!$J$13="","",IF(AND('制度詳細'!$J$13&gt;=Z$5,'制度詳細'!$J$13&lt;=EOMONTH(Z$5,0)),"◆","")),IF(MAX('制度詳細'!$H$13,Z$5)&lt;=MIN(IF('制度詳細'!$I$13="",EOMONTH(Z$5,0),'制度詳細'!$I$13),EOMONTH(Z$5,0)),"■",IF(AND('制度詳細'!$J$13&lt;&gt;"",'制度詳細'!$J$13&gt;=Z$5,'制度詳細'!$J$13&lt;=EOMONTH(Z$5,0)),"◆","")))</x:f>
      </x:c>
      <x:c r="AA13" s="57" t="str">
        <x:f>IF('制度詳細'!$H$13="",IF('制度詳細'!$J$13="","",IF(AND('制度詳細'!$J$13&gt;=AA$5,'制度詳細'!$J$13&lt;=EOMONTH(AA$5,0)),"◆","")),IF(MAX('制度詳細'!$H$13,AA$5)&lt;=MIN(IF('制度詳細'!$I$13="",EOMONTH(AA$5,0),'制度詳細'!$I$13),EOMONTH(AA$5,0)),"■",IF(AND('制度詳細'!$J$13&lt;&gt;"",'制度詳細'!$J$13&gt;=AA$5,'制度詳細'!$J$13&lt;=EOMONTH(AA$5,0)),"◆","")))</x:f>
      </x:c>
      <x:c r="AB13" s="57" t="str">
        <x:f>IF('制度詳細'!$H$13="",IF('制度詳細'!$J$13="","",IF(AND('制度詳細'!$J$13&gt;=AB$5,'制度詳細'!$J$13&lt;=EOMONTH(AB$5,0)),"◆","")),IF(MAX('制度詳細'!$H$13,AB$5)&lt;=MIN(IF('制度詳細'!$I$13="",EOMONTH(AB$5,0),'制度詳細'!$I$13),EOMONTH(AB$5,0)),"■",IF(AND('制度詳細'!$J$13&lt;&gt;"",'制度詳細'!$J$13&gt;=AB$5,'制度詳細'!$J$13&lt;=EOMONTH(AB$5,0)),"◆","")))</x:f>
      </x:c>
      <x:c r="AC13" s="57" t="str">
        <x:f>IF('制度詳細'!$H$13="",IF('制度詳細'!$J$13="","",IF(AND('制度詳細'!$J$13&gt;=AC$5,'制度詳細'!$J$13&lt;=EOMONTH(AC$5,0)),"◆","")),IF(MAX('制度詳細'!$H$13,AC$5)&lt;=MIN(IF('制度詳細'!$I$13="",EOMONTH(AC$5,0),'制度詳細'!$I$13),EOMONTH(AC$5,0)),"■",IF(AND('制度詳細'!$J$13&lt;&gt;"",'制度詳細'!$J$13&gt;=AC$5,'制度詳細'!$J$13&lt;=EOMONTH(AC$5,0)),"◆","")))</x:f>
      </x:c>
      <x:c r="AD13" s="57" t="str">
        <x:f>IF('制度詳細'!$H$13="",IF('制度詳細'!$J$13="","",IF(AND('制度詳細'!$J$13&gt;=AD$5,'制度詳細'!$J$13&lt;=EOMONTH(AD$5,0)),"◆","")),IF(MAX('制度詳細'!$H$13,AD$5)&lt;=MIN(IF('制度詳細'!$I$13="",EOMONTH(AD$5,0),'制度詳細'!$I$13),EOMONTH(AD$5,0)),"■",IF(AND('制度詳細'!$J$13&lt;&gt;"",'制度詳細'!$J$13&gt;=AD$5,'制度詳細'!$J$13&lt;=EOMONTH(AD$5,0)),"◆","")))</x:f>
      </x:c>
      <x:c r="AE13" s="57" t="str">
        <x:f>IF('制度詳細'!$H$13="",IF('制度詳細'!$J$13="","",IF(AND('制度詳細'!$J$13&gt;=AE$5,'制度詳細'!$J$13&lt;=EOMONTH(AE$5,0)),"◆","")),IF(MAX('制度詳細'!$H$13,AE$5)&lt;=MIN(IF('制度詳細'!$I$13="",EOMONTH(AE$5,0),'制度詳細'!$I$13),EOMONTH(AE$5,0)),"■",IF(AND('制度詳細'!$J$13&lt;&gt;"",'制度詳細'!$J$13&gt;=AE$5,'制度詳細'!$J$13&lt;=EOMONTH(AE$5,0)),"◆","")))</x:f>
      </x:c>
      <x:c r="AF13" s="57" t="str">
        <x:f>IF('制度詳細'!$H$13="",IF('制度詳細'!$J$13="","",IF(AND('制度詳細'!$J$13&gt;=AF$5,'制度詳細'!$J$13&lt;=EOMONTH(AF$5,0)),"◆","")),IF(MAX('制度詳細'!$H$13,AF$5)&lt;=MIN(IF('制度詳細'!$I$13="",EOMONTH(AF$5,0),'制度詳細'!$I$13),EOMONTH(AF$5,0)),"■",IF(AND('制度詳細'!$J$13&lt;&gt;"",'制度詳細'!$J$13&gt;=AF$5,'制度詳細'!$J$13&lt;=EOMONTH(AF$5,0)),"◆","")))</x:f>
      </x:c>
      <x:c r="AG13" s="57" t="str">
        <x:f>IF('制度詳細'!$H$13="",IF('制度詳細'!$J$13="","",IF(AND('制度詳細'!$J$13&gt;=AG$5,'制度詳細'!$J$13&lt;=EOMONTH(AG$5,0)),"◆","")),IF(MAX('制度詳細'!$H$13,AG$5)&lt;=MIN(IF('制度詳細'!$I$13="",EOMONTH(AG$5,0),'制度詳細'!$I$13),EOMONTH(AG$5,0)),"■",IF(AND('制度詳細'!$J$13&lt;&gt;"",'制度詳細'!$J$13&gt;=AG$5,'制度詳細'!$J$13&lt;=EOMONTH(AG$5,0)),"◆","")))</x:f>
      </x:c>
      <x:c r="AH13" s="57" t="str">
        <x:f>IF('制度詳細'!$H$13="",IF('制度詳細'!$J$13="","",IF(AND('制度詳細'!$J$13&gt;=AH$5,'制度詳細'!$J$13&lt;=EOMONTH(AH$5,0)),"◆","")),IF(MAX('制度詳細'!$H$13,AH$5)&lt;=MIN(IF('制度詳細'!$I$13="",EOMONTH(AH$5,0),'制度詳細'!$I$13),EOMONTH(AH$5,0)),"■",IF(AND('制度詳細'!$J$13&lt;&gt;"",'制度詳細'!$J$13&gt;=AH$5,'制度詳細'!$J$13&lt;=EOMONTH(AH$5,0)),"◆","")))</x:f>
      </x:c>
      <x:c r="AI13" s="57" t="str">
        <x:f>IF('制度詳細'!$H$13="",IF('制度詳細'!$J$13="","",IF(AND('制度詳細'!$J$13&gt;=AI$5,'制度詳細'!$J$13&lt;=EOMONTH(AI$5,0)),"◆","")),IF(MAX('制度詳細'!$H$13,AI$5)&lt;=MIN(IF('制度詳細'!$I$13="",EOMONTH(AI$5,0),'制度詳細'!$I$13),EOMONTH(AI$5,0)),"■",IF(AND('制度詳細'!$J$13&lt;&gt;"",'制度詳細'!$J$13&gt;=AI$5,'制度詳細'!$J$13&lt;=EOMONTH(AI$5,0)),"◆","")))</x:f>
      </x:c>
      <x:c r="AJ13" s="57" t="str">
        <x:f>IF('制度詳細'!$H$13="",IF('制度詳細'!$J$13="","",IF(AND('制度詳細'!$J$13&gt;=AJ$5,'制度詳細'!$J$13&lt;=EOMONTH(AJ$5,0)),"◆","")),IF(MAX('制度詳細'!$H$13,AJ$5)&lt;=MIN(IF('制度詳細'!$I$13="",EOMONTH(AJ$5,0),'制度詳細'!$I$13),EOMONTH(AJ$5,0)),"■",IF(AND('制度詳細'!$J$13&lt;&gt;"",'制度詳細'!$J$13&gt;=AJ$5,'制度詳細'!$J$13&lt;=EOMONTH(AJ$5,0)),"◆","")))</x:f>
      </x:c>
      <x:c r="AK13" s="57" t="str">
        <x:f>IF('制度詳細'!$H$13="",IF('制度詳細'!$J$13="","",IF(AND('制度詳細'!$J$13&gt;=AK$5,'制度詳細'!$J$13&lt;=EOMONTH(AK$5,0)),"◆","")),IF(MAX('制度詳細'!$H$13,AK$5)&lt;=MIN(IF('制度詳細'!$I$13="",EOMONTH(AK$5,0),'制度詳細'!$I$13),EOMONTH(AK$5,0)),"■",IF(AND('制度詳細'!$J$13&lt;&gt;"",'制度詳細'!$J$13&gt;=AK$5,'制度詳細'!$J$13&lt;=EOMONTH(AK$5,0)),"◆","")))</x:f>
      </x:c>
      <x:c r="AL13" s="57" t="str">
        <x:f>IF('制度詳細'!$H$13="",IF('制度詳細'!$J$13="","",IF(AND('制度詳細'!$J$13&gt;=AL$5,'制度詳細'!$J$13&lt;=EOMONTH(AL$5,0)),"◆","")),IF(MAX('制度詳細'!$H$13,AL$5)&lt;=MIN(IF('制度詳細'!$I$13="",EOMONTH(AL$5,0),'制度詳細'!$I$13),EOMONTH(AL$5,0)),"■",IF(AND('制度詳細'!$J$13&lt;&gt;"",'制度詳細'!$J$13&gt;=AL$5,'制度詳細'!$J$13&lt;=EOMONTH(AL$5,0)),"◆","")))</x:f>
      </x:c>
      <x:c r="AM13" s="57" t="str">
        <x:f>IF('制度詳細'!$H$13="",IF('制度詳細'!$J$13="","",IF(AND('制度詳細'!$J$13&gt;=AM$5,'制度詳細'!$J$13&lt;=EOMONTH(AM$5,0)),"◆","")),IF(MAX('制度詳細'!$H$13,AM$5)&lt;=MIN(IF('制度詳細'!$I$13="",EOMONTH(AM$5,0),'制度詳細'!$I$13),EOMONTH(AM$5,0)),"■",IF(AND('制度詳細'!$J$13&lt;&gt;"",'制度詳細'!$J$13&gt;=AM$5,'制度詳細'!$J$13&lt;=EOMONTH(AM$5,0)),"◆","")))</x:f>
      </x:c>
      <x:c r="AN13" s="57" t="str">
        <x:f>IF('制度詳細'!$H$13="",IF('制度詳細'!$J$13="","",IF(AND('制度詳細'!$J$13&gt;=AN$5,'制度詳細'!$J$13&lt;=EOMONTH(AN$5,0)),"◆","")),IF(MAX('制度詳細'!$H$13,AN$5)&lt;=MIN(IF('制度詳細'!$I$13="",EOMONTH(AN$5,0),'制度詳細'!$I$13),EOMONTH(AN$5,0)),"■",IF(AND('制度詳細'!$J$13&lt;&gt;"",'制度詳細'!$J$13&gt;=AN$5,'制度詳細'!$J$13&lt;=EOMONTH(AN$5,0)),"◆","")))</x:f>
      </x:c>
      <x:c r="AO13" s="57" t="str">
        <x:f>IF('制度詳細'!$H$13="",IF('制度詳細'!$J$13="","",IF(AND('制度詳細'!$J$13&gt;=AO$5,'制度詳細'!$J$13&lt;=EOMONTH(AO$5,0)),"◆","")),IF(MAX('制度詳細'!$H$13,AO$5)&lt;=MIN(IF('制度詳細'!$I$13="",EOMONTH(AO$5,0),'制度詳細'!$I$13),EOMONTH(AO$5,0)),"■",IF(AND('制度詳細'!$J$13&lt;&gt;"",'制度詳細'!$J$13&gt;=AO$5,'制度詳細'!$J$13&lt;=EOMONTH(AO$5,0)),"◆","")))</x:f>
      </x:c>
      <x:c r="AP13" s="57" t="str">
        <x:f>IF('制度詳細'!$H$13="",IF('制度詳細'!$J$13="","",IF(AND('制度詳細'!$J$13&gt;=AP$5,'制度詳細'!$J$13&lt;=EOMONTH(AP$5,0)),"◆","")),IF(MAX('制度詳細'!$H$13,AP$5)&lt;=MIN(IF('制度詳細'!$I$13="",EOMONTH(AP$5,0),'制度詳細'!$I$13),EOMONTH(AP$5,0)),"■",IF(AND('制度詳細'!$J$13&lt;&gt;"",'制度詳細'!$J$13&gt;=AP$5,'制度詳細'!$J$13&lt;=EOMONTH(AP$5,0)),"◆","")))</x:f>
      </x:c>
      <x:c r="AQ13" s="57" t="str">
        <x:f>IF('制度詳細'!$H$13="",IF('制度詳細'!$J$13="","",IF(AND('制度詳細'!$J$13&gt;=AQ$5,'制度詳細'!$J$13&lt;=EOMONTH(AQ$5,0)),"◆","")),IF(MAX('制度詳細'!$H$13,AQ$5)&lt;=MIN(IF('制度詳細'!$I$13="",EOMONTH(AQ$5,0),'制度詳細'!$I$13),EOMONTH(AQ$5,0)),"■",IF(AND('制度詳細'!$J$13&lt;&gt;"",'制度詳細'!$J$13&gt;=AQ$5,'制度詳細'!$J$13&lt;=EOMONTH(AQ$5,0)),"◆","")))</x:f>
      </x:c>
      <x:c r="AR13" s="57" t="str">
        <x:f>IF('制度詳細'!$H$13="",IF('制度詳細'!$J$13="","",IF(AND('制度詳細'!$J$13&gt;=AR$5,'制度詳細'!$J$13&lt;=EOMONTH(AR$5,0)),"◆","")),IF(MAX('制度詳細'!$H$13,AR$5)&lt;=MIN(IF('制度詳細'!$I$13="",EOMONTH(AR$5,0),'制度詳細'!$I$13),EOMONTH(AR$5,0)),"■",IF(AND('制度詳細'!$J$13&lt;&gt;"",'制度詳細'!$J$13&gt;=AR$5,'制度詳細'!$J$13&lt;=EOMONTH(AR$5,0)),"◆","")))</x:f>
      </x:c>
      <x:c r="AS13" s="57" t="str">
        <x:f>IF('制度詳細'!$H$13="",IF('制度詳細'!$J$13="","",IF(AND('制度詳細'!$J$13&gt;=AS$5,'制度詳細'!$J$13&lt;=EOMONTH(AS$5,0)),"◆","")),IF(MAX('制度詳細'!$H$13,AS$5)&lt;=MIN(IF('制度詳細'!$I$13="",EOMONTH(AS$5,0),'制度詳細'!$I$13),EOMONTH(AS$5,0)),"■",IF(AND('制度詳細'!$J$13&lt;&gt;"",'制度詳細'!$J$13&gt;=AS$5,'制度詳細'!$J$13&lt;=EOMONTH(AS$5,0)),"◆","")))</x:f>
      </x:c>
      <x:c r="AT13" s="57" t="str">
        <x:f>IF('制度詳細'!$H$13="",IF('制度詳細'!$J$13="","",IF(AND('制度詳細'!$J$13&gt;=AT$5,'制度詳細'!$J$13&lt;=EOMONTH(AT$5,0)),"◆","")),IF(MAX('制度詳細'!$H$13,AT$5)&lt;=MIN(IF('制度詳細'!$I$13="",EOMONTH(AT$5,0),'制度詳細'!$I$13),EOMONTH(AT$5,0)),"■",IF(AND('制度詳細'!$J$13&lt;&gt;"",'制度詳細'!$J$13&gt;=AT$5,'制度詳細'!$J$13&lt;=EOMONTH(AT$5,0)),"◆","")))</x:f>
      </x:c>
      <x:c r="AU13" s="57" t="str">
        <x:f>IF('制度詳細'!$H$13="",IF('制度詳細'!$J$13="","",IF(AND('制度詳細'!$J$13&gt;=AU$5,'制度詳細'!$J$13&lt;=EOMONTH(AU$5,0)),"◆","")),IF(MAX('制度詳細'!$H$13,AU$5)&lt;=MIN(IF('制度詳細'!$I$13="",EOMONTH(AU$5,0),'制度詳細'!$I$13),EOMONTH(AU$5,0)),"■",IF(AND('制度詳細'!$J$13&lt;&gt;"",'制度詳細'!$J$13&gt;=AU$5,'制度詳細'!$J$13&lt;=EOMONTH(AU$5,0)),"◆","")))</x:f>
      </x:c>
      <x:c r="AV13" s="57" t="str">
        <x:f>IF('制度詳細'!$H$13="",IF('制度詳細'!$J$13="","",IF(AND('制度詳細'!$J$13&gt;=AV$5,'制度詳細'!$J$13&lt;=EOMONTH(AV$5,0)),"◆","")),IF(MAX('制度詳細'!$H$13,AV$5)&lt;=MIN(IF('制度詳細'!$I$13="",EOMONTH(AV$5,0),'制度詳細'!$I$13),EOMONTH(AV$5,0)),"■",IF(AND('制度詳細'!$J$13&lt;&gt;"",'制度詳細'!$J$13&gt;=AV$5,'制度詳細'!$J$13&lt;=EOMONTH(AV$5,0)),"◆","")))</x:f>
      </x:c>
      <x:c r="AW13" s="57" t="str">
        <x:f>IF('制度詳細'!$H$13="",IF('制度詳細'!$J$13="","",IF(AND('制度詳細'!$J$13&gt;=AW$5,'制度詳細'!$J$13&lt;=EOMONTH(AW$5,0)),"◆","")),IF(MAX('制度詳細'!$H$13,AW$5)&lt;=MIN(IF('制度詳細'!$I$13="",EOMONTH(AW$5,0),'制度詳細'!$I$13),EOMONTH(AW$5,0)),"■",IF(AND('制度詳細'!$J$13&lt;&gt;"",'制度詳細'!$J$13&gt;=AW$5,'制度詳細'!$J$13&lt;=EOMONTH(AW$5,0)),"◆","")))</x:f>
      </x:c>
      <x:c r="AX13" s="57" t="str">
        <x:f>IF('制度詳細'!$H$13="",IF('制度詳細'!$J$13="","",IF(AND('制度詳細'!$J$13&gt;=AX$5,'制度詳細'!$J$13&lt;=EOMONTH(AX$5,0)),"◆","")),IF(MAX('制度詳細'!$H$13,AX$5)&lt;=MIN(IF('制度詳細'!$I$13="",EOMONTH(AX$5,0),'制度詳細'!$I$13),EOMONTH(AX$5,0)),"■",IF(AND('制度詳細'!$J$13&lt;&gt;"",'制度詳細'!$J$13&gt;=AX$5,'制度詳細'!$J$13&lt;=EOMONTH(AX$5,0)),"◆","")))</x:f>
      </x:c>
      <x:c r="AY13" s="57" t="str">
        <x:f>IF('制度詳細'!$H$13="",IF('制度詳細'!$J$13="","",IF(AND('制度詳細'!$J$13&gt;=AY$5,'制度詳細'!$J$13&lt;=EOMONTH(AY$5,0)),"◆","")),IF(MAX('制度詳細'!$H$13,AY$5)&lt;=MIN(IF('制度詳細'!$I$13="",EOMONTH(AY$5,0),'制度詳細'!$I$13),EOMONTH(AY$5,0)),"■",IF(AND('制度詳細'!$J$13&lt;&gt;"",'制度詳細'!$J$13&gt;=AY$5,'制度詳細'!$J$13&lt;=EOMONTH(AY$5,0)),"◆","")))</x:f>
      </x:c>
      <x:c r="AZ13" s="57" t="str">
        <x:f>IF('制度詳細'!$H$13="",IF('制度詳細'!$J$13="","",IF(AND('制度詳細'!$J$13&gt;=AZ$5,'制度詳細'!$J$13&lt;=EOMONTH(AZ$5,0)),"◆","")),IF(MAX('制度詳細'!$H$13,AZ$5)&lt;=MIN(IF('制度詳細'!$I$13="",EOMONTH(AZ$5,0),'制度詳細'!$I$13),EOMONTH(AZ$5,0)),"■",IF(AND('制度詳細'!$J$13&lt;&gt;"",'制度詳細'!$J$13&gt;=AZ$5,'制度詳細'!$J$13&lt;=EOMONTH(AZ$5,0)),"◆","")))</x:f>
      </x:c>
      <x:c r="BA13" s="57" t="str">
        <x:f>IF('制度詳細'!$H$13="",IF('制度詳細'!$J$13="","",IF(AND('制度詳細'!$J$13&gt;=BA$5,'制度詳細'!$J$13&lt;=EOMONTH(BA$5,0)),"◆","")),IF(MAX('制度詳細'!$H$13,BA$5)&lt;=MIN(IF('制度詳細'!$I$13="",EOMONTH(BA$5,0),'制度詳細'!$I$13),EOMONTH(BA$5,0)),"■",IF(AND('制度詳細'!$J$13&lt;&gt;"",'制度詳細'!$J$13&gt;=BA$5,'制度詳細'!$J$13&lt;=EOMONTH(BA$5,0)),"◆","")))</x:f>
      </x:c>
      <x:c r="BB13" s="57" t="str">
        <x:f>IF('制度詳細'!$H$13="",IF('制度詳細'!$J$13="","",IF(AND('制度詳細'!$J$13&gt;=BB$5,'制度詳細'!$J$13&lt;=EOMONTH(BB$5,0)),"◆","")),IF(MAX('制度詳細'!$H$13,BB$5)&lt;=MIN(IF('制度詳細'!$I$13="",EOMONTH(BB$5,0),'制度詳細'!$I$13),EOMONTH(BB$5,0)),"■",IF(AND('制度詳細'!$J$13&lt;&gt;"",'制度詳細'!$J$13&gt;=BB$5,'制度詳細'!$J$13&lt;=EOMONTH(BB$5,0)),"◆","")))</x:f>
      </x:c>
      <x:c r="BC13" s="57" t="str">
        <x:f>IF('制度詳細'!$H$13="",IF('制度詳細'!$J$13="","",IF(AND('制度詳細'!$J$13&gt;=BC$5,'制度詳細'!$J$13&lt;=EOMONTH(BC$5,0)),"◆","")),IF(MAX('制度詳細'!$H$13,BC$5)&lt;=MIN(IF('制度詳細'!$I$13="",EOMONTH(BC$5,0),'制度詳細'!$I$13),EOMONTH(BC$5,0)),"■",IF(AND('制度詳細'!$J$13&lt;&gt;"",'制度詳細'!$J$13&gt;=BC$5,'制度詳細'!$J$13&lt;=EOMONTH(BC$5,0)),"◆","")))</x:f>
      </x:c>
      <x:c r="BD13" s="57" t="str">
        <x:f>IF('制度詳細'!$H$13="",IF('制度詳細'!$J$13="","",IF(AND('制度詳細'!$J$13&gt;=BD$5,'制度詳細'!$J$13&lt;=EOMONTH(BD$5,0)),"◆","")),IF(MAX('制度詳細'!$H$13,BD$5)&lt;=MIN(IF('制度詳細'!$I$13="",EOMONTH(BD$5,0),'制度詳細'!$I$13),EOMONTH(BD$5,0)),"■",IF(AND('制度詳細'!$J$13&lt;&gt;"",'制度詳細'!$J$13&gt;=BD$5,'制度詳細'!$J$13&lt;=EOMONTH(BD$5,0)),"◆","")))</x:f>
      </x:c>
      <x:c r="BE13" s="57" t="str">
        <x:f>IF('制度詳細'!$H$13="",IF('制度詳細'!$J$13="","",IF(AND('制度詳細'!$J$13&gt;=BE$5,'制度詳細'!$J$13&lt;=EOMONTH(BE$5,0)),"◆","")),IF(MAX('制度詳細'!$H$13,BE$5)&lt;=MIN(IF('制度詳細'!$I$13="",EOMONTH(BE$5,0),'制度詳細'!$I$13),EOMONTH(BE$5,0)),"■",IF(AND('制度詳細'!$J$13&lt;&gt;"",'制度詳細'!$J$13&gt;=BE$5,'制度詳細'!$J$13&lt;=EOMONTH(BE$5,0)),"◆","")))</x:f>
      </x:c>
      <x:c r="BF13" s="57" t="str">
        <x:f>IF('制度詳細'!$H$13="",IF('制度詳細'!$J$13="","",IF(AND('制度詳細'!$J$13&gt;=BF$5,'制度詳細'!$J$13&lt;=EOMONTH(BF$5,0)),"◆","")),IF(MAX('制度詳細'!$H$13,BF$5)&lt;=MIN(IF('制度詳細'!$I$13="",EOMONTH(BF$5,0),'制度詳細'!$I$13),EOMONTH(BF$5,0)),"■",IF(AND('制度詳細'!$J$13&lt;&gt;"",'制度詳細'!$J$13&gt;=BF$5,'制度詳細'!$J$13&lt;=EOMONTH(BF$5,0)),"◆","")))</x:f>
      </x:c>
      <x:c r="BG13" s="57" t="str">
        <x:f>IF('制度詳細'!$H$13="",IF('制度詳細'!$J$13="","",IF(AND('制度詳細'!$J$13&gt;=BG$5,'制度詳細'!$J$13&lt;=EOMONTH(BG$5,0)),"◆","")),IF(MAX('制度詳細'!$H$13,BG$5)&lt;=MIN(IF('制度詳細'!$I$13="",EOMONTH(BG$5,0),'制度詳細'!$I$13),EOMONTH(BG$5,0)),"■",IF(AND('制度詳細'!$J$13&lt;&gt;"",'制度詳細'!$J$13&gt;=BG$5,'制度詳細'!$J$13&lt;=EOMONTH(BG$5,0)),"◆","")))</x:f>
      </x:c>
      <x:c r="BH13" s="57" t="str">
        <x:f>IF('制度詳細'!$H$13="",IF('制度詳細'!$J$13="","",IF(AND('制度詳細'!$J$13&gt;=BH$5,'制度詳細'!$J$13&lt;=EOMONTH(BH$5,0)),"◆","")),IF(MAX('制度詳細'!$H$13,BH$5)&lt;=MIN(IF('制度詳細'!$I$13="",EOMONTH(BH$5,0),'制度詳細'!$I$13),EOMONTH(BH$5,0)),"■",IF(AND('制度詳細'!$J$13&lt;&gt;"",'制度詳細'!$J$13&gt;=BH$5,'制度詳細'!$J$13&lt;=EOMONTH(BH$5,0)),"◆","")))</x:f>
      </x:c>
      <x:c r="BI13" s="57" t="str">
        <x:f>IF('制度詳細'!$H$13="",IF('制度詳細'!$J$13="","",IF(AND('制度詳細'!$J$13&gt;=BI$5,'制度詳細'!$J$13&lt;=EOMONTH(BI$5,0)),"◆","")),IF(MAX('制度詳細'!$H$13,BI$5)&lt;=MIN(IF('制度詳細'!$I$13="",EOMONTH(BI$5,0),'制度詳細'!$I$13),EOMONTH(BI$5,0)),"■",IF(AND('制度詳細'!$J$13&lt;&gt;"",'制度詳細'!$J$13&gt;=BI$5,'制度詳細'!$J$13&lt;=EOMONTH(BI$5,0)),"◆","")))</x:f>
      </x:c>
      <x:c r="BJ13" s="57" t="str">
        <x:f>IF('制度詳細'!$H$13="",IF('制度詳細'!$J$13="","",IF(AND('制度詳細'!$J$13&gt;=BJ$5,'制度詳細'!$J$13&lt;=EOMONTH(BJ$5,0)),"◆","")),IF(MAX('制度詳細'!$H$13,BJ$5)&lt;=MIN(IF('制度詳細'!$I$13="",EOMONTH(BJ$5,0),'制度詳細'!$I$13),EOMONTH(BJ$5,0)),"■",IF(AND('制度詳細'!$J$13&lt;&gt;"",'制度詳細'!$J$13&gt;=BJ$5,'制度詳細'!$J$13&lt;=EOMONTH(BJ$5,0)),"◆","")))</x:f>
      </x:c>
      <x:c r="BK13" s="57" t="str">
        <x:f>IF('制度詳細'!$H$13="",IF('制度詳細'!$J$13="","",IF(AND('制度詳細'!$J$13&gt;=BK$5,'制度詳細'!$J$13&lt;=EOMONTH(BK$5,0)),"◆","")),IF(MAX('制度詳細'!$H$13,BK$5)&lt;=MIN(IF('制度詳細'!$I$13="",EOMONTH(BK$5,0),'制度詳細'!$I$13),EOMONTH(BK$5,0)),"■",IF(AND('制度詳細'!$J$13&lt;&gt;"",'制度詳細'!$J$13&gt;=BK$5,'制度詳細'!$J$13&lt;=EOMONTH(BK$5,0)),"◆","")))</x:f>
      </x:c>
      <x:c r="BL13" s="57" t="str">
        <x:f>IF('制度詳細'!$H$13="",IF('制度詳細'!$J$13="","",IF(AND('制度詳細'!$J$13&gt;=BL$5,'制度詳細'!$J$13&lt;=EOMONTH(BL$5,0)),"◆","")),IF(MAX('制度詳細'!$H$13,BL$5)&lt;=MIN(IF('制度詳細'!$I$13="",EOMONTH(BL$5,0),'制度詳細'!$I$13),EOMONTH(BL$5,0)),"■",IF(AND('制度詳細'!$J$13&lt;&gt;"",'制度詳細'!$J$13&gt;=BL$5,'制度詳細'!$J$13&lt;=EOMONTH(BL$5,0)),"◆","")))</x:f>
      </x:c>
      <x:c r="BM13" s="57" t="str">
        <x:f>IF('制度詳細'!$H$13="",IF('制度詳細'!$J$13="","",IF(AND('制度詳細'!$J$13&gt;=BM$5,'制度詳細'!$J$13&lt;=EOMONTH(BM$5,0)),"◆","")),IF(MAX('制度詳細'!$H$13,BM$5)&lt;=MIN(IF('制度詳細'!$I$13="",EOMONTH(BM$5,0),'制度詳細'!$I$13),EOMONTH(BM$5,0)),"■",IF(AND('制度詳細'!$J$13&lt;&gt;"",'制度詳細'!$J$13&gt;=BM$5,'制度詳細'!$J$13&lt;=EOMONTH(BM$5,0)),"◆","")))</x:f>
      </x:c>
      <x:c r="BN13" s="57" t="str">
        <x:f>IF('制度詳細'!$H$13="",IF('制度詳細'!$J$13="","",IF(AND('制度詳細'!$J$13&gt;=BN$5,'制度詳細'!$J$13&lt;=EOMONTH(BN$5,0)),"◆","")),IF(MAX('制度詳細'!$H$13,BN$5)&lt;=MIN(IF('制度詳細'!$I$13="",EOMONTH(BN$5,0),'制度詳細'!$I$13),EOMONTH(BN$5,0)),"■",IF(AND('制度詳細'!$J$13&lt;&gt;"",'制度詳細'!$J$13&gt;=BN$5,'制度詳細'!$J$13&lt;=EOMONTH(BN$5,0)),"◆","")))</x:f>
      </x:c>
      <x:c r="BO13" s="57" t="str">
        <x:f>IF('制度詳細'!$H$13="",IF('制度詳細'!$J$13="","",IF(AND('制度詳細'!$J$13&gt;=BO$5,'制度詳細'!$J$13&lt;=EOMONTH(BO$5,0)),"◆","")),IF(MAX('制度詳細'!$H$13,BO$5)&lt;=MIN(IF('制度詳細'!$I$13="",EOMONTH(BO$5,0),'制度詳細'!$I$13),EOMONTH(BO$5,0)),"■",IF(AND('制度詳細'!$J$13&lt;&gt;"",'制度詳細'!$J$13&gt;=BO$5,'制度詳細'!$J$13&lt;=EOMONTH(BO$5,0)),"◆","")))</x:f>
      </x:c>
      <x:c r="BP13" s="57" t="str">
        <x:f>IF('制度詳細'!$H$13="",IF('制度詳細'!$J$13="","",IF(AND('制度詳細'!$J$13&gt;=BP$5,'制度詳細'!$J$13&lt;=EOMONTH(BP$5,0)),"◆","")),IF(MAX('制度詳細'!$H$13,BP$5)&lt;=MIN(IF('制度詳細'!$I$13="",EOMONTH(BP$5,0),'制度詳細'!$I$13),EOMONTH(BP$5,0)),"■",IF(AND('制度詳細'!$J$13&lt;&gt;"",'制度詳細'!$J$13&gt;=BP$5,'制度詳細'!$J$13&lt;=EOMONTH(BP$5,0)),"◆","")))</x:f>
      </x:c>
      <x:c r="BQ13" s="57" t="str">
        <x:f>IF('制度詳細'!$H$13="",IF('制度詳細'!$J$13="","",IF(AND('制度詳細'!$J$13&gt;=BQ$5,'制度詳細'!$J$13&lt;=EOMONTH(BQ$5,0)),"◆","")),IF(MAX('制度詳細'!$H$13,BQ$5)&lt;=MIN(IF('制度詳細'!$I$13="",EOMONTH(BQ$5,0),'制度詳細'!$I$13),EOMONTH(BQ$5,0)),"■",IF(AND('制度詳細'!$J$13&lt;&gt;"",'制度詳細'!$J$13&gt;=BQ$5,'制度詳細'!$J$13&lt;=EOMONTH(BQ$5,0)),"◆","")))</x:f>
      </x:c>
      <x:c r="BR13" s="57" t="str">
        <x:f>IF('制度詳細'!$H$13="",IF('制度詳細'!$J$13="","",IF(AND('制度詳細'!$J$13&gt;=BR$5,'制度詳細'!$J$13&lt;=EOMONTH(BR$5,0)),"◆","")),IF(MAX('制度詳細'!$H$13,BR$5)&lt;=MIN(IF('制度詳細'!$I$13="",EOMONTH(BR$5,0),'制度詳細'!$I$13),EOMONTH(BR$5,0)),"■",IF(AND('制度詳細'!$J$13&lt;&gt;"",'制度詳細'!$J$13&gt;=BR$5,'制度詳細'!$J$13&lt;=EOMONTH(BR$5,0)),"◆","")))</x:f>
      </x:c>
      <x:c r="BS13" s="57" t="str">
        <x:f>IF('制度詳細'!$H$13="",IF('制度詳細'!$J$13="","",IF(AND('制度詳細'!$J$13&gt;=BS$5,'制度詳細'!$J$13&lt;=EOMONTH(BS$5,0)),"◆","")),IF(MAX('制度詳細'!$H$13,BS$5)&lt;=MIN(IF('制度詳細'!$I$13="",EOMONTH(BS$5,0),'制度詳細'!$I$13),EOMONTH(BS$5,0)),"■",IF(AND('制度詳細'!$J$13&lt;&gt;"",'制度詳細'!$J$13&gt;=BS$5,'制度詳細'!$J$13&lt;=EOMONTH(BS$5,0)),"◆","")))</x:f>
      </x:c>
      <x:c r="BT13" s="57" t="str">
        <x:f>IF('制度詳細'!$H$13="",IF('制度詳細'!$J$13="","",IF(AND('制度詳細'!$J$13&gt;=BT$5,'制度詳細'!$J$13&lt;=EOMONTH(BT$5,0)),"◆","")),IF(MAX('制度詳細'!$H$13,BT$5)&lt;=MIN(IF('制度詳細'!$I$13="",EOMONTH(BT$5,0),'制度詳細'!$I$13),EOMONTH(BT$5,0)),"■",IF(AND('制度詳細'!$J$13&lt;&gt;"",'制度詳細'!$J$13&gt;=BT$5,'制度詳細'!$J$13&lt;=EOMONTH(BT$5,0)),"◆","")))</x:f>
      </x:c>
      <x:c r="BU13" s="57" t="str">
        <x:f>IF('制度詳細'!$H$13="",IF('制度詳細'!$J$13="","",IF(AND('制度詳細'!$J$13&gt;=BU$5,'制度詳細'!$J$13&lt;=EOMONTH(BU$5,0)),"◆","")),IF(MAX('制度詳細'!$H$13,BU$5)&lt;=MIN(IF('制度詳細'!$I$13="",EOMONTH(BU$5,0),'制度詳細'!$I$13),EOMONTH(BU$5,0)),"■",IF(AND('制度詳細'!$J$13&lt;&gt;"",'制度詳細'!$J$13&gt;=BU$5,'制度詳細'!$J$13&lt;=EOMONTH(BU$5,0)),"◆","")))</x:f>
      </x:c>
      <x:c r="BV13" s="57" t="str">
        <x:f>IF('制度詳細'!$H$13="",IF('制度詳細'!$J$13="","",IF(AND('制度詳細'!$J$13&gt;=BV$5,'制度詳細'!$J$13&lt;=EOMONTH(BV$5,0)),"◆","")),IF(MAX('制度詳細'!$H$13,BV$5)&lt;=MIN(IF('制度詳細'!$I$13="",EOMONTH(BV$5,0),'制度詳細'!$I$13),EOMONTH(BV$5,0)),"■",IF(AND('制度詳細'!$J$13&lt;&gt;"",'制度詳細'!$J$13&gt;=BV$5,'制度詳細'!$J$13&lt;=EOMONTH(BV$5,0)),"◆","")))</x:f>
      </x:c>
      <x:c r="BW13" s="57" t="str">
        <x:f>IF('制度詳細'!$H$13="",IF('制度詳細'!$J$13="","",IF(AND('制度詳細'!$J$13&gt;=BW$5,'制度詳細'!$J$13&lt;=EOMONTH(BW$5,0)),"◆","")),IF(MAX('制度詳細'!$H$13,BW$5)&lt;=MIN(IF('制度詳細'!$I$13="",EOMONTH(BW$5,0),'制度詳細'!$I$13),EOMONTH(BW$5,0)),"■",IF(AND('制度詳細'!$J$13&lt;&gt;"",'制度詳細'!$J$13&gt;=BW$5,'制度詳細'!$J$13&lt;=EOMONTH(BW$5,0)),"◆","")))</x:f>
        <x:v>◆</x:v>
      </x:c>
      <x:c r="BX13" s="57" t="str">
        <x:f>IF('制度詳細'!$H$13="",IF('制度詳細'!$J$13="","",IF(AND('制度詳細'!$J$13&gt;=BX$5,'制度詳細'!$J$13&lt;=EOMONTH(BX$5,0)),"◆","")),IF(MAX('制度詳細'!$H$13,BX$5)&lt;=MIN(IF('制度詳細'!$I$13="",EOMONTH(BX$5,0),'制度詳細'!$I$13),EOMONTH(BX$5,0)),"■",IF(AND('制度詳細'!$J$13&lt;&gt;"",'制度詳細'!$J$13&gt;=BX$5,'制度詳細'!$J$13&lt;=EOMONTH(BX$5,0)),"◆","")))</x:f>
        <x:v>■</x:v>
      </x:c>
      <x:c r="BY13" s="57" t="str">
        <x:f>IF('制度詳細'!$H$13="",IF('制度詳細'!$J$13="","",IF(AND('制度詳細'!$J$13&gt;=BY$5,'制度詳細'!$J$13&lt;=EOMONTH(BY$5,0)),"◆","")),IF(MAX('制度詳細'!$H$13,BY$5)&lt;=MIN(IF('制度詳細'!$I$13="",EOMONTH(BY$5,0),'制度詳細'!$I$13),EOMONTH(BY$5,0)),"■",IF(AND('制度詳細'!$J$13&lt;&gt;"",'制度詳細'!$J$13&gt;=BY$5,'制度詳細'!$J$13&lt;=EOMONTH(BY$5,0)),"◆","")))</x:f>
        <x:v>■</x:v>
      </x:c>
      <x:c r="BZ13" s="57" t="str">
        <x:f>IF('制度詳細'!$H$13="",IF('制度詳細'!$J$13="","",IF(AND('制度詳細'!$J$13&gt;=BZ$5,'制度詳細'!$J$13&lt;=EOMONTH(BZ$5,0)),"◆","")),IF(MAX('制度詳細'!$H$13,BZ$5)&lt;=MIN(IF('制度詳細'!$I$13="",EOMONTH(BZ$5,0),'制度詳細'!$I$13),EOMONTH(BZ$5,0)),"■",IF(AND('制度詳細'!$J$13&lt;&gt;"",'制度詳細'!$J$13&gt;=BZ$5,'制度詳細'!$J$13&lt;=EOMONTH(BZ$5,0)),"◆","")))</x:f>
      </x:c>
      <x:c r="CA13" s="57" t="str">
        <x:f>IF('制度詳細'!$H$13="",IF('制度詳細'!$J$13="","",IF(AND('制度詳細'!$J$13&gt;=CA$5,'制度詳細'!$J$13&lt;=EOMONTH(CA$5,0)),"◆","")),IF(MAX('制度詳細'!$H$13,CA$5)&lt;=MIN(IF('制度詳細'!$I$13="",EOMONTH(CA$5,0),'制度詳細'!$I$13),EOMONTH(CA$5,0)),"■",IF(AND('制度詳細'!$J$13&lt;&gt;"",'制度詳細'!$J$13&gt;=CA$5,'制度詳細'!$J$13&lt;=EOMONTH(CA$5,0)),"◆","")))</x:f>
      </x:c>
      <x:c r="CB13" s="57" t="str">
        <x:f>IF('制度詳細'!$H$13="",IF('制度詳細'!$J$13="","",IF(AND('制度詳細'!$J$13&gt;=CB$5,'制度詳細'!$J$13&lt;=EOMONTH(CB$5,0)),"◆","")),IF(MAX('制度詳細'!$H$13,CB$5)&lt;=MIN(IF('制度詳細'!$I$13="",EOMONTH(CB$5,0),'制度詳細'!$I$13),EOMONTH(CB$5,0)),"■",IF(AND('制度詳細'!$J$13&lt;&gt;"",'制度詳細'!$J$13&gt;=CB$5,'制度詳細'!$J$13&lt;=EOMONTH(CB$5,0)),"◆","")))</x:f>
      </x:c>
      <x:c r="CC13" s="57" t="str">
        <x:f>IF('制度詳細'!$H$13="",IF('制度詳細'!$J$13="","",IF(AND('制度詳細'!$J$13&gt;=CC$5,'制度詳細'!$J$13&lt;=EOMONTH(CC$5,0)),"◆","")),IF(MAX('制度詳細'!$H$13,CC$5)&lt;=MIN(IF('制度詳細'!$I$13="",EOMONTH(CC$5,0),'制度詳細'!$I$13),EOMONTH(CC$5,0)),"■",IF(AND('制度詳細'!$J$13&lt;&gt;"",'制度詳細'!$J$13&gt;=CC$5,'制度詳細'!$J$13&lt;=EOMONTH(CC$5,0)),"◆","")))</x:f>
      </x:c>
      <x:c r="CD13" s="57" t="str">
        <x:f>IF('制度詳細'!$H$13="",IF('制度詳細'!$J$13="","",IF(AND('制度詳細'!$J$13&gt;=CD$5,'制度詳細'!$J$13&lt;=EOMONTH(CD$5,0)),"◆","")),IF(MAX('制度詳細'!$H$13,CD$5)&lt;=MIN(IF('制度詳細'!$I$13="",EOMONTH(CD$5,0),'制度詳細'!$I$13),EOMONTH(CD$5,0)),"■",IF(AND('制度詳細'!$J$13&lt;&gt;"",'制度詳細'!$J$13&gt;=CD$5,'制度詳細'!$J$13&lt;=EOMONTH(CD$5,0)),"◆","")))</x:f>
      </x:c>
      <x:c r="CE13" s="57" t="str">
        <x:f>IF('制度詳細'!$H$13="",IF('制度詳細'!$J$13="","",IF(AND('制度詳細'!$J$13&gt;=CE$5,'制度詳細'!$J$13&lt;=EOMONTH(CE$5,0)),"◆","")),IF(MAX('制度詳細'!$H$13,CE$5)&lt;=MIN(IF('制度詳細'!$I$13="",EOMONTH(CE$5,0),'制度詳細'!$I$13),EOMONTH(CE$5,0)),"■",IF(AND('制度詳細'!$J$13&lt;&gt;"",'制度詳細'!$J$13&gt;=CE$5,'制度詳細'!$J$13&lt;=EOMONTH(CE$5,0)),"◆","")))</x:f>
      </x:c>
      <x:c r="CF13" s="57" t="str">
        <x:f>IF('制度詳細'!$H$13="",IF('制度詳細'!$J$13="","",IF(AND('制度詳細'!$J$13&gt;=CF$5,'制度詳細'!$J$13&lt;=EOMONTH(CF$5,0)),"◆","")),IF(MAX('制度詳細'!$H$13,CF$5)&lt;=MIN(IF('制度詳細'!$I$13="",EOMONTH(CF$5,0),'制度詳細'!$I$13),EOMONTH(CF$5,0)),"■",IF(AND('制度詳細'!$J$13&lt;&gt;"",'制度詳細'!$J$13&gt;=CF$5,'制度詳細'!$J$13&lt;=EOMONTH(CF$5,0)),"◆","")))</x:f>
      </x:c>
      <x:c r="CG13" s="57" t="str">
        <x:f>IF('制度詳細'!$H$13="",IF('制度詳細'!$J$13="","",IF(AND('制度詳細'!$J$13&gt;=CG$5,'制度詳細'!$J$13&lt;=EOMONTH(CG$5,0)),"◆","")),IF(MAX('制度詳細'!$H$13,CG$5)&lt;=MIN(IF('制度詳細'!$I$13="",EOMONTH(CG$5,0),'制度詳細'!$I$13),EOMONTH(CG$5,0)),"■",IF(AND('制度詳細'!$J$13&lt;&gt;"",'制度詳細'!$J$13&gt;=CG$5,'制度詳細'!$J$13&lt;=EOMONTH(CG$5,0)),"◆","")))</x:f>
      </x:c>
      <x:c r="CH13" s="57" t="str">
        <x:f>IF('制度詳細'!$H$13="",IF('制度詳細'!$J$13="","",IF(AND('制度詳細'!$J$13&gt;=CH$5,'制度詳細'!$J$13&lt;=EOMONTH(CH$5,0)),"◆","")),IF(MAX('制度詳細'!$H$13,CH$5)&lt;=MIN(IF('制度詳細'!$I$13="",EOMONTH(CH$5,0),'制度詳細'!$I$13),EOMONTH(CH$5,0)),"■",IF(AND('制度詳細'!$J$13&lt;&gt;"",'制度詳細'!$J$13&gt;=CH$5,'制度詳細'!$J$13&lt;=EOMONTH(CH$5,0)),"◆","")))</x:f>
      </x:c>
      <x:c r="CI13" s="57" t="str">
        <x:f>IF('制度詳細'!$H$13="",IF('制度詳細'!$J$13="","",IF(AND('制度詳細'!$J$13&gt;=CI$5,'制度詳細'!$J$13&lt;=EOMONTH(CI$5,0)),"◆","")),IF(MAX('制度詳細'!$H$13,CI$5)&lt;=MIN(IF('制度詳細'!$I$13="",EOMONTH(CI$5,0),'制度詳細'!$I$13),EOMONTH(CI$5,0)),"■",IF(AND('制度詳細'!$J$13&lt;&gt;"",'制度詳細'!$J$13&gt;=CI$5,'制度詳細'!$J$13&lt;=EOMONTH(CI$5,0)),"◆","")))</x:f>
      </x:c>
      <x:c r="CJ13" s="57" t="str">
        <x:f>IF('制度詳細'!$H$13="",IF('制度詳細'!$J$13="","",IF(AND('制度詳細'!$J$13&gt;=CJ$5,'制度詳細'!$J$13&lt;=EOMONTH(CJ$5,0)),"◆","")),IF(MAX('制度詳細'!$H$13,CJ$5)&lt;=MIN(IF('制度詳細'!$I$13="",EOMONTH(CJ$5,0),'制度詳細'!$I$13),EOMONTH(CJ$5,0)),"■",IF(AND('制度詳細'!$J$13&lt;&gt;"",'制度詳細'!$J$13&gt;=CJ$5,'制度詳細'!$J$13&lt;=EOMONTH(CJ$5,0)),"◆","")))</x:f>
      </x:c>
      <x:c r="CK13" s="57" t="str">
        <x:f>IF('制度詳細'!$H$13="",IF('制度詳細'!$J$13="","",IF(AND('制度詳細'!$J$13&gt;=CK$5,'制度詳細'!$J$13&lt;=EOMONTH(CK$5,0)),"◆","")),IF(MAX('制度詳細'!$H$13,CK$5)&lt;=MIN(IF('制度詳細'!$I$13="",EOMONTH(CK$5,0),'制度詳細'!$I$13),EOMONTH(CK$5,0)),"■",IF(AND('制度詳細'!$J$13&lt;&gt;"",'制度詳細'!$J$13&gt;=CK$5,'制度詳細'!$J$13&lt;=EOMONTH(CK$5,0)),"◆","")))</x:f>
      </x:c>
      <x:c r="CL13" s="57" t="str">
        <x:f>IF('制度詳細'!$H$13="",IF('制度詳細'!$J$13="","",IF(AND('制度詳細'!$J$13&gt;=CL$5,'制度詳細'!$J$13&lt;=EOMONTH(CL$5,0)),"◆","")),IF(MAX('制度詳細'!$H$13,CL$5)&lt;=MIN(IF('制度詳細'!$I$13="",EOMONTH(CL$5,0),'制度詳細'!$I$13),EOMONTH(CL$5,0)),"■",IF(AND('制度詳細'!$J$13&lt;&gt;"",'制度詳細'!$J$13&gt;=CL$5,'制度詳細'!$J$13&lt;=EOMONTH(CL$5,0)),"◆","")))</x:f>
      </x:c>
      <x:c r="CM13" s="57" t="str">
        <x:f>IF('制度詳細'!$H$13="",IF('制度詳細'!$J$13="","",IF(AND('制度詳細'!$J$13&gt;=CM$5,'制度詳細'!$J$13&lt;=EOMONTH(CM$5,0)),"◆","")),IF(MAX('制度詳細'!$H$13,CM$5)&lt;=MIN(IF('制度詳細'!$I$13="",EOMONTH(CM$5,0),'制度詳細'!$I$13),EOMONTH(CM$5,0)),"■",IF(AND('制度詳細'!$J$13&lt;&gt;"",'制度詳細'!$J$13&gt;=CM$5,'制度詳細'!$J$13&lt;=EOMONTH(CM$5,0)),"◆","")))</x:f>
      </x:c>
      <x:c r="CN13" s="57" t="str">
        <x:f>IF('制度詳細'!$H$13="",IF('制度詳細'!$J$13="","",IF(AND('制度詳細'!$J$13&gt;=CN$5,'制度詳細'!$J$13&lt;=EOMONTH(CN$5,0)),"◆","")),IF(MAX('制度詳細'!$H$13,CN$5)&lt;=MIN(IF('制度詳細'!$I$13="",EOMONTH(CN$5,0),'制度詳細'!$I$13),EOMONTH(CN$5,0)),"■",IF(AND('制度詳細'!$J$13&lt;&gt;"",'制度詳細'!$J$13&gt;=CN$5,'制度詳細'!$J$13&lt;=EOMONTH(CN$5,0)),"◆","")))</x:f>
      </x:c>
      <x:c r="CO13" s="57" t="str">
        <x:f>IF('制度詳細'!$H$13="",IF('制度詳細'!$J$13="","",IF(AND('制度詳細'!$J$13&gt;=CO$5,'制度詳細'!$J$13&lt;=EOMONTH(CO$5,0)),"◆","")),IF(MAX('制度詳細'!$H$13,CO$5)&lt;=MIN(IF('制度詳細'!$I$13="",EOMONTH(CO$5,0),'制度詳細'!$I$13),EOMONTH(CO$5,0)),"■",IF(AND('制度詳細'!$J$13&lt;&gt;"",'制度詳細'!$J$13&gt;=CO$5,'制度詳細'!$J$13&lt;=EOMONTH(CO$5,0)),"◆","")))</x:f>
      </x:c>
      <x:c r="CP13" s="57" t="str">
        <x:f>IF('制度詳細'!$H$13="",IF('制度詳細'!$J$13="","",IF(AND('制度詳細'!$J$13&gt;=CP$5,'制度詳細'!$J$13&lt;=EOMONTH(CP$5,0)),"◆","")),IF(MAX('制度詳細'!$H$13,CP$5)&lt;=MIN(IF('制度詳細'!$I$13="",EOMONTH(CP$5,0),'制度詳細'!$I$13),EOMONTH(CP$5,0)),"■",IF(AND('制度詳細'!$J$13&lt;&gt;"",'制度詳細'!$J$13&gt;=CP$5,'制度詳細'!$J$13&lt;=EOMONTH(CP$5,0)),"◆","")))</x:f>
      </x:c>
      <x:c r="CQ13" s="57" t="str">
        <x:f>IF('制度詳細'!$H$13="",IF('制度詳細'!$J$13="","",IF(AND('制度詳細'!$J$13&gt;=CQ$5,'制度詳細'!$J$13&lt;=EOMONTH(CQ$5,0)),"◆","")),IF(MAX('制度詳細'!$H$13,CQ$5)&lt;=MIN(IF('制度詳細'!$I$13="",EOMONTH(CQ$5,0),'制度詳細'!$I$13),EOMONTH(CQ$5,0)),"■",IF(AND('制度詳細'!$J$13&lt;&gt;"",'制度詳細'!$J$13&gt;=CQ$5,'制度詳細'!$J$13&lt;=EOMONTH(CQ$5,0)),"◆","")))</x:f>
      </x:c>
      <x:c r="CR13" s="57" t="str">
        <x:f>IF('制度詳細'!$H$13="",IF('制度詳細'!$J$13="","",IF(AND('制度詳細'!$J$13&gt;=CR$5,'制度詳細'!$J$13&lt;=EOMONTH(CR$5,0)),"◆","")),IF(MAX('制度詳細'!$H$13,CR$5)&lt;=MIN(IF('制度詳細'!$I$13="",EOMONTH(CR$5,0),'制度詳細'!$I$13),EOMONTH(CR$5,0)),"■",IF(AND('制度詳細'!$J$13&lt;&gt;"",'制度詳細'!$J$13&gt;=CR$5,'制度詳細'!$J$13&lt;=EOMONTH(CR$5,0)),"◆","")))</x:f>
      </x:c>
      <x:c r="CS13" s="57" t="str">
        <x:f>IF('制度詳細'!$H$13="",IF('制度詳細'!$J$13="","",IF(AND('制度詳細'!$J$13&gt;=CS$5,'制度詳細'!$J$13&lt;=EOMONTH(CS$5,0)),"◆","")),IF(MAX('制度詳細'!$H$13,CS$5)&lt;=MIN(IF('制度詳細'!$I$13="",EOMONTH(CS$5,0),'制度詳細'!$I$13),EOMONTH(CS$5,0)),"■",IF(AND('制度詳細'!$J$13&lt;&gt;"",'制度詳細'!$J$13&gt;=CS$5,'制度詳細'!$J$13&lt;=EOMONTH(CS$5,0)),"◆","")))</x:f>
      </x:c>
      <x:c r="CT13" s="57" t="str">
        <x:f>IF('制度詳細'!$H$13="",IF('制度詳細'!$J$13="","",IF(AND('制度詳細'!$J$13&gt;=CT$5,'制度詳細'!$J$13&lt;=EOMONTH(CT$5,0)),"◆","")),IF(MAX('制度詳細'!$H$13,CT$5)&lt;=MIN(IF('制度詳細'!$I$13="",EOMONTH(CT$5,0),'制度詳細'!$I$13),EOMONTH(CT$5,0)),"■",IF(AND('制度詳細'!$J$13&lt;&gt;"",'制度詳細'!$J$13&gt;=CT$5,'制度詳細'!$J$13&lt;=EOMONTH(CT$5,0)),"◆","")))</x:f>
      </x:c>
      <x:c r="CU13" s="57" t="str">
        <x:f>IF('制度詳細'!$H$13="",IF('制度詳細'!$J$13="","",IF(AND('制度詳細'!$J$13&gt;=CU$5,'制度詳細'!$J$13&lt;=EOMONTH(CU$5,0)),"◆","")),IF(MAX('制度詳細'!$H$13,CU$5)&lt;=MIN(IF('制度詳細'!$I$13="",EOMONTH(CU$5,0),'制度詳細'!$I$13),EOMONTH(CU$5,0)),"■",IF(AND('制度詳細'!$J$13&lt;&gt;"",'制度詳細'!$J$13&gt;=CU$5,'制度詳細'!$J$13&lt;=EOMONTH(CU$5,0)),"◆","")))</x:f>
      </x:c>
      <x:c r="CV13" s="57" t="str">
        <x:f>IF('制度詳細'!$H$13="",IF('制度詳細'!$J$13="","",IF(AND('制度詳細'!$J$13&gt;=CV$5,'制度詳細'!$J$13&lt;=EOMONTH(CV$5,0)),"◆","")),IF(MAX('制度詳細'!$H$13,CV$5)&lt;=MIN(IF('制度詳細'!$I$13="",EOMONTH(CV$5,0),'制度詳細'!$I$13),EOMONTH(CV$5,0)),"■",IF(AND('制度詳細'!$J$13&lt;&gt;"",'制度詳細'!$J$13&gt;=CV$5,'制度詳細'!$J$13&lt;=EOMONTH(CV$5,0)),"◆","")))</x:f>
      </x:c>
      <x:c r="CW13" s="1"/>
      <x:c r="CX13" s="1"/>
      <x:c r="CY13" s="1"/>
      <x:c r="CZ13" s="1"/>
      <x:c r="DA13" s="1"/>
      <x:c r="DB13" s="1"/>
      <x:c r="DC13" s="1"/>
      <x:c r="DD13" s="1"/>
    </x:row>
    <x:row r="14" ht="27" customHeight="1">
      <x:c r="A14" s="53" t="str">
        <x:v>TH09</x:v>
      </x:c>
      <x:c r="B14" s="53" t="str">
        <x:v>タイ</x:v>
      </x:c>
      <x:c r="C14" s="53" t="str">
        <x:v>2026年物品税再編の原則合意</x:v>
      </x:c>
      <x:c r="D14" s="53" t="str">
        <x:v>複数動力</x:v>
      </x:c>
      <x:c r="E14" s="57" t="str">
        <x:f>IF('制度詳細'!$H$14="",IF('制度詳細'!$J$14="","",IF(AND('制度詳細'!$J$14&gt;=E$5,'制度詳細'!$J$14&lt;=EOMONTH(E$5,0)),"◆","")),IF(MAX('制度詳細'!$H$14,E$5)&lt;=MIN(IF('制度詳細'!$I$14="",EOMONTH(E$5,0),'制度詳細'!$I$14),EOMONTH(E$5,0)),"■",IF(AND('制度詳細'!$J$14&lt;&gt;"",'制度詳細'!$J$14&gt;=E$5,'制度詳細'!$J$14&lt;=EOMONTH(E$5,0)),"◆","")))</x:f>
      </x:c>
      <x:c r="F14" s="57" t="str">
        <x:f>IF('制度詳細'!$H$14="",IF('制度詳細'!$J$14="","",IF(AND('制度詳細'!$J$14&gt;=F$5,'制度詳細'!$J$14&lt;=EOMONTH(F$5,0)),"◆","")),IF(MAX('制度詳細'!$H$14,F$5)&lt;=MIN(IF('制度詳細'!$I$14="",EOMONTH(F$5,0),'制度詳細'!$I$14),EOMONTH(F$5,0)),"■",IF(AND('制度詳細'!$J$14&lt;&gt;"",'制度詳細'!$J$14&gt;=F$5,'制度詳細'!$J$14&lt;=EOMONTH(F$5,0)),"◆","")))</x:f>
      </x:c>
      <x:c r="G14" s="57" t="str">
        <x:f>IF('制度詳細'!$H$14="",IF('制度詳細'!$J$14="","",IF(AND('制度詳細'!$J$14&gt;=G$5,'制度詳細'!$J$14&lt;=EOMONTH(G$5,0)),"◆","")),IF(MAX('制度詳細'!$H$14,G$5)&lt;=MIN(IF('制度詳細'!$I$14="",EOMONTH(G$5,0),'制度詳細'!$I$14),EOMONTH(G$5,0)),"■",IF(AND('制度詳細'!$J$14&lt;&gt;"",'制度詳細'!$J$14&gt;=G$5,'制度詳細'!$J$14&lt;=EOMONTH(G$5,0)),"◆","")))</x:f>
      </x:c>
      <x:c r="H14" s="57" t="str">
        <x:f>IF('制度詳細'!$H$14="",IF('制度詳細'!$J$14="","",IF(AND('制度詳細'!$J$14&gt;=H$5,'制度詳細'!$J$14&lt;=EOMONTH(H$5,0)),"◆","")),IF(MAX('制度詳細'!$H$14,H$5)&lt;=MIN(IF('制度詳細'!$I$14="",EOMONTH(H$5,0),'制度詳細'!$I$14),EOMONTH(H$5,0)),"■",IF(AND('制度詳細'!$J$14&lt;&gt;"",'制度詳細'!$J$14&gt;=H$5,'制度詳細'!$J$14&lt;=EOMONTH(H$5,0)),"◆","")))</x:f>
      </x:c>
      <x:c r="I14" s="57" t="str">
        <x:f>IF('制度詳細'!$H$14="",IF('制度詳細'!$J$14="","",IF(AND('制度詳細'!$J$14&gt;=I$5,'制度詳細'!$J$14&lt;=EOMONTH(I$5,0)),"◆","")),IF(MAX('制度詳細'!$H$14,I$5)&lt;=MIN(IF('制度詳細'!$I$14="",EOMONTH(I$5,0),'制度詳細'!$I$14),EOMONTH(I$5,0)),"■",IF(AND('制度詳細'!$J$14&lt;&gt;"",'制度詳細'!$J$14&gt;=I$5,'制度詳細'!$J$14&lt;=EOMONTH(I$5,0)),"◆","")))</x:f>
      </x:c>
      <x:c r="J14" s="57" t="str">
        <x:f>IF('制度詳細'!$H$14="",IF('制度詳細'!$J$14="","",IF(AND('制度詳細'!$J$14&gt;=J$5,'制度詳細'!$J$14&lt;=EOMONTH(J$5,0)),"◆","")),IF(MAX('制度詳細'!$H$14,J$5)&lt;=MIN(IF('制度詳細'!$I$14="",EOMONTH(J$5,0),'制度詳細'!$I$14),EOMONTH(J$5,0)),"■",IF(AND('制度詳細'!$J$14&lt;&gt;"",'制度詳細'!$J$14&gt;=J$5,'制度詳細'!$J$14&lt;=EOMONTH(J$5,0)),"◆","")))</x:f>
      </x:c>
      <x:c r="K14" s="57" t="str">
        <x:f>IF('制度詳細'!$H$14="",IF('制度詳細'!$J$14="","",IF(AND('制度詳細'!$J$14&gt;=K$5,'制度詳細'!$J$14&lt;=EOMONTH(K$5,0)),"◆","")),IF(MAX('制度詳細'!$H$14,K$5)&lt;=MIN(IF('制度詳細'!$I$14="",EOMONTH(K$5,0),'制度詳細'!$I$14),EOMONTH(K$5,0)),"■",IF(AND('制度詳細'!$J$14&lt;&gt;"",'制度詳細'!$J$14&gt;=K$5,'制度詳細'!$J$14&lt;=EOMONTH(K$5,0)),"◆","")))</x:f>
      </x:c>
      <x:c r="L14" s="57" t="str">
        <x:f>IF('制度詳細'!$H$14="",IF('制度詳細'!$J$14="","",IF(AND('制度詳細'!$J$14&gt;=L$5,'制度詳細'!$J$14&lt;=EOMONTH(L$5,0)),"◆","")),IF(MAX('制度詳細'!$H$14,L$5)&lt;=MIN(IF('制度詳細'!$I$14="",EOMONTH(L$5,0),'制度詳細'!$I$14),EOMONTH(L$5,0)),"■",IF(AND('制度詳細'!$J$14&lt;&gt;"",'制度詳細'!$J$14&gt;=L$5,'制度詳細'!$J$14&lt;=EOMONTH(L$5,0)),"◆","")))</x:f>
      </x:c>
      <x:c r="M14" s="57" t="str">
        <x:f>IF('制度詳細'!$H$14="",IF('制度詳細'!$J$14="","",IF(AND('制度詳細'!$J$14&gt;=M$5,'制度詳細'!$J$14&lt;=EOMONTH(M$5,0)),"◆","")),IF(MAX('制度詳細'!$H$14,M$5)&lt;=MIN(IF('制度詳細'!$I$14="",EOMONTH(M$5,0),'制度詳細'!$I$14),EOMONTH(M$5,0)),"■",IF(AND('制度詳細'!$J$14&lt;&gt;"",'制度詳細'!$J$14&gt;=M$5,'制度詳細'!$J$14&lt;=EOMONTH(M$5,0)),"◆","")))</x:f>
      </x:c>
      <x:c r="N14" s="57" t="str">
        <x:f>IF('制度詳細'!$H$14="",IF('制度詳細'!$J$14="","",IF(AND('制度詳細'!$J$14&gt;=N$5,'制度詳細'!$J$14&lt;=EOMONTH(N$5,0)),"◆","")),IF(MAX('制度詳細'!$H$14,N$5)&lt;=MIN(IF('制度詳細'!$I$14="",EOMONTH(N$5,0),'制度詳細'!$I$14),EOMONTH(N$5,0)),"■",IF(AND('制度詳細'!$J$14&lt;&gt;"",'制度詳細'!$J$14&gt;=N$5,'制度詳細'!$J$14&lt;=EOMONTH(N$5,0)),"◆","")))</x:f>
      </x:c>
      <x:c r="O14" s="57" t="str">
        <x:f>IF('制度詳細'!$H$14="",IF('制度詳細'!$J$14="","",IF(AND('制度詳細'!$J$14&gt;=O$5,'制度詳細'!$J$14&lt;=EOMONTH(O$5,0)),"◆","")),IF(MAX('制度詳細'!$H$14,O$5)&lt;=MIN(IF('制度詳細'!$I$14="",EOMONTH(O$5,0),'制度詳細'!$I$14),EOMONTH(O$5,0)),"■",IF(AND('制度詳細'!$J$14&lt;&gt;"",'制度詳細'!$J$14&gt;=O$5,'制度詳細'!$J$14&lt;=EOMONTH(O$5,0)),"◆","")))</x:f>
      </x:c>
      <x:c r="P14" s="57" t="str">
        <x:f>IF('制度詳細'!$H$14="",IF('制度詳細'!$J$14="","",IF(AND('制度詳細'!$J$14&gt;=P$5,'制度詳細'!$J$14&lt;=EOMONTH(P$5,0)),"◆","")),IF(MAX('制度詳細'!$H$14,P$5)&lt;=MIN(IF('制度詳細'!$I$14="",EOMONTH(P$5,0),'制度詳細'!$I$14),EOMONTH(P$5,0)),"■",IF(AND('制度詳細'!$J$14&lt;&gt;"",'制度詳細'!$J$14&gt;=P$5,'制度詳細'!$J$14&lt;=EOMONTH(P$5,0)),"◆","")))</x:f>
      </x:c>
      <x:c r="Q14" s="57" t="str">
        <x:f>IF('制度詳細'!$H$14="",IF('制度詳細'!$J$14="","",IF(AND('制度詳細'!$J$14&gt;=Q$5,'制度詳細'!$J$14&lt;=EOMONTH(Q$5,0)),"◆","")),IF(MAX('制度詳細'!$H$14,Q$5)&lt;=MIN(IF('制度詳細'!$I$14="",EOMONTH(Q$5,0),'制度詳細'!$I$14),EOMONTH(Q$5,0)),"■",IF(AND('制度詳細'!$J$14&lt;&gt;"",'制度詳細'!$J$14&gt;=Q$5,'制度詳細'!$J$14&lt;=EOMONTH(Q$5,0)),"◆","")))</x:f>
      </x:c>
      <x:c r="R14" s="57" t="str">
        <x:f>IF('制度詳細'!$H$14="",IF('制度詳細'!$J$14="","",IF(AND('制度詳細'!$J$14&gt;=R$5,'制度詳細'!$J$14&lt;=EOMONTH(R$5,0)),"◆","")),IF(MAX('制度詳細'!$H$14,R$5)&lt;=MIN(IF('制度詳細'!$I$14="",EOMONTH(R$5,0),'制度詳細'!$I$14),EOMONTH(R$5,0)),"■",IF(AND('制度詳細'!$J$14&lt;&gt;"",'制度詳細'!$J$14&gt;=R$5,'制度詳細'!$J$14&lt;=EOMONTH(R$5,0)),"◆","")))</x:f>
      </x:c>
      <x:c r="S14" s="57" t="str">
        <x:f>IF('制度詳細'!$H$14="",IF('制度詳細'!$J$14="","",IF(AND('制度詳細'!$J$14&gt;=S$5,'制度詳細'!$J$14&lt;=EOMONTH(S$5,0)),"◆","")),IF(MAX('制度詳細'!$H$14,S$5)&lt;=MIN(IF('制度詳細'!$I$14="",EOMONTH(S$5,0),'制度詳細'!$I$14),EOMONTH(S$5,0)),"■",IF(AND('制度詳細'!$J$14&lt;&gt;"",'制度詳細'!$J$14&gt;=S$5,'制度詳細'!$J$14&lt;=EOMONTH(S$5,0)),"◆","")))</x:f>
      </x:c>
      <x:c r="T14" s="57" t="str">
        <x:f>IF('制度詳細'!$H$14="",IF('制度詳細'!$J$14="","",IF(AND('制度詳細'!$J$14&gt;=T$5,'制度詳細'!$J$14&lt;=EOMONTH(T$5,0)),"◆","")),IF(MAX('制度詳細'!$H$14,T$5)&lt;=MIN(IF('制度詳細'!$I$14="",EOMONTH(T$5,0),'制度詳細'!$I$14),EOMONTH(T$5,0)),"■",IF(AND('制度詳細'!$J$14&lt;&gt;"",'制度詳細'!$J$14&gt;=T$5,'制度詳細'!$J$14&lt;=EOMONTH(T$5,0)),"◆","")))</x:f>
      </x:c>
      <x:c r="U14" s="57" t="str">
        <x:f>IF('制度詳細'!$H$14="",IF('制度詳細'!$J$14="","",IF(AND('制度詳細'!$J$14&gt;=U$5,'制度詳細'!$J$14&lt;=EOMONTH(U$5,0)),"◆","")),IF(MAX('制度詳細'!$H$14,U$5)&lt;=MIN(IF('制度詳細'!$I$14="",EOMONTH(U$5,0),'制度詳細'!$I$14),EOMONTH(U$5,0)),"■",IF(AND('制度詳細'!$J$14&lt;&gt;"",'制度詳細'!$J$14&gt;=U$5,'制度詳細'!$J$14&lt;=EOMONTH(U$5,0)),"◆","")))</x:f>
      </x:c>
      <x:c r="V14" s="57" t="str">
        <x:f>IF('制度詳細'!$H$14="",IF('制度詳細'!$J$14="","",IF(AND('制度詳細'!$J$14&gt;=V$5,'制度詳細'!$J$14&lt;=EOMONTH(V$5,0)),"◆","")),IF(MAX('制度詳細'!$H$14,V$5)&lt;=MIN(IF('制度詳細'!$I$14="",EOMONTH(V$5,0),'制度詳細'!$I$14),EOMONTH(V$5,0)),"■",IF(AND('制度詳細'!$J$14&lt;&gt;"",'制度詳細'!$J$14&gt;=V$5,'制度詳細'!$J$14&lt;=EOMONTH(V$5,0)),"◆","")))</x:f>
      </x:c>
      <x:c r="W14" s="57" t="str">
        <x:f>IF('制度詳細'!$H$14="",IF('制度詳細'!$J$14="","",IF(AND('制度詳細'!$J$14&gt;=W$5,'制度詳細'!$J$14&lt;=EOMONTH(W$5,0)),"◆","")),IF(MAX('制度詳細'!$H$14,W$5)&lt;=MIN(IF('制度詳細'!$I$14="",EOMONTH(W$5,0),'制度詳細'!$I$14),EOMONTH(W$5,0)),"■",IF(AND('制度詳細'!$J$14&lt;&gt;"",'制度詳細'!$J$14&gt;=W$5,'制度詳細'!$J$14&lt;=EOMONTH(W$5,0)),"◆","")))</x:f>
      </x:c>
      <x:c r="X14" s="57" t="str">
        <x:f>IF('制度詳細'!$H$14="",IF('制度詳細'!$J$14="","",IF(AND('制度詳細'!$J$14&gt;=X$5,'制度詳細'!$J$14&lt;=EOMONTH(X$5,0)),"◆","")),IF(MAX('制度詳細'!$H$14,X$5)&lt;=MIN(IF('制度詳細'!$I$14="",EOMONTH(X$5,0),'制度詳細'!$I$14),EOMONTH(X$5,0)),"■",IF(AND('制度詳細'!$J$14&lt;&gt;"",'制度詳細'!$J$14&gt;=X$5,'制度詳細'!$J$14&lt;=EOMONTH(X$5,0)),"◆","")))</x:f>
      </x:c>
      <x:c r="Y14" s="57" t="str">
        <x:f>IF('制度詳細'!$H$14="",IF('制度詳細'!$J$14="","",IF(AND('制度詳細'!$J$14&gt;=Y$5,'制度詳細'!$J$14&lt;=EOMONTH(Y$5,0)),"◆","")),IF(MAX('制度詳細'!$H$14,Y$5)&lt;=MIN(IF('制度詳細'!$I$14="",EOMONTH(Y$5,0),'制度詳細'!$I$14),EOMONTH(Y$5,0)),"■",IF(AND('制度詳細'!$J$14&lt;&gt;"",'制度詳細'!$J$14&gt;=Y$5,'制度詳細'!$J$14&lt;=EOMONTH(Y$5,0)),"◆","")))</x:f>
      </x:c>
      <x:c r="Z14" s="57" t="str">
        <x:f>IF('制度詳細'!$H$14="",IF('制度詳細'!$J$14="","",IF(AND('制度詳細'!$J$14&gt;=Z$5,'制度詳細'!$J$14&lt;=EOMONTH(Z$5,0)),"◆","")),IF(MAX('制度詳細'!$H$14,Z$5)&lt;=MIN(IF('制度詳細'!$I$14="",EOMONTH(Z$5,0),'制度詳細'!$I$14),EOMONTH(Z$5,0)),"■",IF(AND('制度詳細'!$J$14&lt;&gt;"",'制度詳細'!$J$14&gt;=Z$5,'制度詳細'!$J$14&lt;=EOMONTH(Z$5,0)),"◆","")))</x:f>
      </x:c>
      <x:c r="AA14" s="57" t="str">
        <x:f>IF('制度詳細'!$H$14="",IF('制度詳細'!$J$14="","",IF(AND('制度詳細'!$J$14&gt;=AA$5,'制度詳細'!$J$14&lt;=EOMONTH(AA$5,0)),"◆","")),IF(MAX('制度詳細'!$H$14,AA$5)&lt;=MIN(IF('制度詳細'!$I$14="",EOMONTH(AA$5,0),'制度詳細'!$I$14),EOMONTH(AA$5,0)),"■",IF(AND('制度詳細'!$J$14&lt;&gt;"",'制度詳細'!$J$14&gt;=AA$5,'制度詳細'!$J$14&lt;=EOMONTH(AA$5,0)),"◆","")))</x:f>
      </x:c>
      <x:c r="AB14" s="57" t="str">
        <x:f>IF('制度詳細'!$H$14="",IF('制度詳細'!$J$14="","",IF(AND('制度詳細'!$J$14&gt;=AB$5,'制度詳細'!$J$14&lt;=EOMONTH(AB$5,0)),"◆","")),IF(MAX('制度詳細'!$H$14,AB$5)&lt;=MIN(IF('制度詳細'!$I$14="",EOMONTH(AB$5,0),'制度詳細'!$I$14),EOMONTH(AB$5,0)),"■",IF(AND('制度詳細'!$J$14&lt;&gt;"",'制度詳細'!$J$14&gt;=AB$5,'制度詳細'!$J$14&lt;=EOMONTH(AB$5,0)),"◆","")))</x:f>
      </x:c>
      <x:c r="AC14" s="57" t="str">
        <x:f>IF('制度詳細'!$H$14="",IF('制度詳細'!$J$14="","",IF(AND('制度詳細'!$J$14&gt;=AC$5,'制度詳細'!$J$14&lt;=EOMONTH(AC$5,0)),"◆","")),IF(MAX('制度詳細'!$H$14,AC$5)&lt;=MIN(IF('制度詳細'!$I$14="",EOMONTH(AC$5,0),'制度詳細'!$I$14),EOMONTH(AC$5,0)),"■",IF(AND('制度詳細'!$J$14&lt;&gt;"",'制度詳細'!$J$14&gt;=AC$5,'制度詳細'!$J$14&lt;=EOMONTH(AC$5,0)),"◆","")))</x:f>
      </x:c>
      <x:c r="AD14" s="57" t="str">
        <x:f>IF('制度詳細'!$H$14="",IF('制度詳細'!$J$14="","",IF(AND('制度詳細'!$J$14&gt;=AD$5,'制度詳細'!$J$14&lt;=EOMONTH(AD$5,0)),"◆","")),IF(MAX('制度詳細'!$H$14,AD$5)&lt;=MIN(IF('制度詳細'!$I$14="",EOMONTH(AD$5,0),'制度詳細'!$I$14),EOMONTH(AD$5,0)),"■",IF(AND('制度詳細'!$J$14&lt;&gt;"",'制度詳細'!$J$14&gt;=AD$5,'制度詳細'!$J$14&lt;=EOMONTH(AD$5,0)),"◆","")))</x:f>
      </x:c>
      <x:c r="AE14" s="57" t="str">
        <x:f>IF('制度詳細'!$H$14="",IF('制度詳細'!$J$14="","",IF(AND('制度詳細'!$J$14&gt;=AE$5,'制度詳細'!$J$14&lt;=EOMONTH(AE$5,0)),"◆","")),IF(MAX('制度詳細'!$H$14,AE$5)&lt;=MIN(IF('制度詳細'!$I$14="",EOMONTH(AE$5,0),'制度詳細'!$I$14),EOMONTH(AE$5,0)),"■",IF(AND('制度詳細'!$J$14&lt;&gt;"",'制度詳細'!$J$14&gt;=AE$5,'制度詳細'!$J$14&lt;=EOMONTH(AE$5,0)),"◆","")))</x:f>
      </x:c>
      <x:c r="AF14" s="57" t="str">
        <x:f>IF('制度詳細'!$H$14="",IF('制度詳細'!$J$14="","",IF(AND('制度詳細'!$J$14&gt;=AF$5,'制度詳細'!$J$14&lt;=EOMONTH(AF$5,0)),"◆","")),IF(MAX('制度詳細'!$H$14,AF$5)&lt;=MIN(IF('制度詳細'!$I$14="",EOMONTH(AF$5,0),'制度詳細'!$I$14),EOMONTH(AF$5,0)),"■",IF(AND('制度詳細'!$J$14&lt;&gt;"",'制度詳細'!$J$14&gt;=AF$5,'制度詳細'!$J$14&lt;=EOMONTH(AF$5,0)),"◆","")))</x:f>
      </x:c>
      <x:c r="AG14" s="57" t="str">
        <x:f>IF('制度詳細'!$H$14="",IF('制度詳細'!$J$14="","",IF(AND('制度詳細'!$J$14&gt;=AG$5,'制度詳細'!$J$14&lt;=EOMONTH(AG$5,0)),"◆","")),IF(MAX('制度詳細'!$H$14,AG$5)&lt;=MIN(IF('制度詳細'!$I$14="",EOMONTH(AG$5,0),'制度詳細'!$I$14),EOMONTH(AG$5,0)),"■",IF(AND('制度詳細'!$J$14&lt;&gt;"",'制度詳細'!$J$14&gt;=AG$5,'制度詳細'!$J$14&lt;=EOMONTH(AG$5,0)),"◆","")))</x:f>
      </x:c>
      <x:c r="AH14" s="57" t="str">
        <x:f>IF('制度詳細'!$H$14="",IF('制度詳細'!$J$14="","",IF(AND('制度詳細'!$J$14&gt;=AH$5,'制度詳細'!$J$14&lt;=EOMONTH(AH$5,0)),"◆","")),IF(MAX('制度詳細'!$H$14,AH$5)&lt;=MIN(IF('制度詳細'!$I$14="",EOMONTH(AH$5,0),'制度詳細'!$I$14),EOMONTH(AH$5,0)),"■",IF(AND('制度詳細'!$J$14&lt;&gt;"",'制度詳細'!$J$14&gt;=AH$5,'制度詳細'!$J$14&lt;=EOMONTH(AH$5,0)),"◆","")))</x:f>
      </x:c>
      <x:c r="AI14" s="57" t="str">
        <x:f>IF('制度詳細'!$H$14="",IF('制度詳細'!$J$14="","",IF(AND('制度詳細'!$J$14&gt;=AI$5,'制度詳細'!$J$14&lt;=EOMONTH(AI$5,0)),"◆","")),IF(MAX('制度詳細'!$H$14,AI$5)&lt;=MIN(IF('制度詳細'!$I$14="",EOMONTH(AI$5,0),'制度詳細'!$I$14),EOMONTH(AI$5,0)),"■",IF(AND('制度詳細'!$J$14&lt;&gt;"",'制度詳細'!$J$14&gt;=AI$5,'制度詳細'!$J$14&lt;=EOMONTH(AI$5,0)),"◆","")))</x:f>
      </x:c>
      <x:c r="AJ14" s="57" t="str">
        <x:f>IF('制度詳細'!$H$14="",IF('制度詳細'!$J$14="","",IF(AND('制度詳細'!$J$14&gt;=AJ$5,'制度詳細'!$J$14&lt;=EOMONTH(AJ$5,0)),"◆","")),IF(MAX('制度詳細'!$H$14,AJ$5)&lt;=MIN(IF('制度詳細'!$I$14="",EOMONTH(AJ$5,0),'制度詳細'!$I$14),EOMONTH(AJ$5,0)),"■",IF(AND('制度詳細'!$J$14&lt;&gt;"",'制度詳細'!$J$14&gt;=AJ$5,'制度詳細'!$J$14&lt;=EOMONTH(AJ$5,0)),"◆","")))</x:f>
      </x:c>
      <x:c r="AK14" s="57" t="str">
        <x:f>IF('制度詳細'!$H$14="",IF('制度詳細'!$J$14="","",IF(AND('制度詳細'!$J$14&gt;=AK$5,'制度詳細'!$J$14&lt;=EOMONTH(AK$5,0)),"◆","")),IF(MAX('制度詳細'!$H$14,AK$5)&lt;=MIN(IF('制度詳細'!$I$14="",EOMONTH(AK$5,0),'制度詳細'!$I$14),EOMONTH(AK$5,0)),"■",IF(AND('制度詳細'!$J$14&lt;&gt;"",'制度詳細'!$J$14&gt;=AK$5,'制度詳細'!$J$14&lt;=EOMONTH(AK$5,0)),"◆","")))</x:f>
      </x:c>
      <x:c r="AL14" s="57" t="str">
        <x:f>IF('制度詳細'!$H$14="",IF('制度詳細'!$J$14="","",IF(AND('制度詳細'!$J$14&gt;=AL$5,'制度詳細'!$J$14&lt;=EOMONTH(AL$5,0)),"◆","")),IF(MAX('制度詳細'!$H$14,AL$5)&lt;=MIN(IF('制度詳細'!$I$14="",EOMONTH(AL$5,0),'制度詳細'!$I$14),EOMONTH(AL$5,0)),"■",IF(AND('制度詳細'!$J$14&lt;&gt;"",'制度詳細'!$J$14&gt;=AL$5,'制度詳細'!$J$14&lt;=EOMONTH(AL$5,0)),"◆","")))</x:f>
      </x:c>
      <x:c r="AM14" s="57" t="str">
        <x:f>IF('制度詳細'!$H$14="",IF('制度詳細'!$J$14="","",IF(AND('制度詳細'!$J$14&gt;=AM$5,'制度詳細'!$J$14&lt;=EOMONTH(AM$5,0)),"◆","")),IF(MAX('制度詳細'!$H$14,AM$5)&lt;=MIN(IF('制度詳細'!$I$14="",EOMONTH(AM$5,0),'制度詳細'!$I$14),EOMONTH(AM$5,0)),"■",IF(AND('制度詳細'!$J$14&lt;&gt;"",'制度詳細'!$J$14&gt;=AM$5,'制度詳細'!$J$14&lt;=EOMONTH(AM$5,0)),"◆","")))</x:f>
      </x:c>
      <x:c r="AN14" s="57" t="str">
        <x:f>IF('制度詳細'!$H$14="",IF('制度詳細'!$J$14="","",IF(AND('制度詳細'!$J$14&gt;=AN$5,'制度詳細'!$J$14&lt;=EOMONTH(AN$5,0)),"◆","")),IF(MAX('制度詳細'!$H$14,AN$5)&lt;=MIN(IF('制度詳細'!$I$14="",EOMONTH(AN$5,0),'制度詳細'!$I$14),EOMONTH(AN$5,0)),"■",IF(AND('制度詳細'!$J$14&lt;&gt;"",'制度詳細'!$J$14&gt;=AN$5,'制度詳細'!$J$14&lt;=EOMONTH(AN$5,0)),"◆","")))</x:f>
      </x:c>
      <x:c r="AO14" s="57" t="str">
        <x:f>IF('制度詳細'!$H$14="",IF('制度詳細'!$J$14="","",IF(AND('制度詳細'!$J$14&gt;=AO$5,'制度詳細'!$J$14&lt;=EOMONTH(AO$5,0)),"◆","")),IF(MAX('制度詳細'!$H$14,AO$5)&lt;=MIN(IF('制度詳細'!$I$14="",EOMONTH(AO$5,0),'制度詳細'!$I$14),EOMONTH(AO$5,0)),"■",IF(AND('制度詳細'!$J$14&lt;&gt;"",'制度詳細'!$J$14&gt;=AO$5,'制度詳細'!$J$14&lt;=EOMONTH(AO$5,0)),"◆","")))</x:f>
      </x:c>
      <x:c r="AP14" s="57" t="str">
        <x:f>IF('制度詳細'!$H$14="",IF('制度詳細'!$J$14="","",IF(AND('制度詳細'!$J$14&gt;=AP$5,'制度詳細'!$J$14&lt;=EOMONTH(AP$5,0)),"◆","")),IF(MAX('制度詳細'!$H$14,AP$5)&lt;=MIN(IF('制度詳細'!$I$14="",EOMONTH(AP$5,0),'制度詳細'!$I$14),EOMONTH(AP$5,0)),"■",IF(AND('制度詳細'!$J$14&lt;&gt;"",'制度詳細'!$J$14&gt;=AP$5,'制度詳細'!$J$14&lt;=EOMONTH(AP$5,0)),"◆","")))</x:f>
      </x:c>
      <x:c r="AQ14" s="57" t="str">
        <x:f>IF('制度詳細'!$H$14="",IF('制度詳細'!$J$14="","",IF(AND('制度詳細'!$J$14&gt;=AQ$5,'制度詳細'!$J$14&lt;=EOMONTH(AQ$5,0)),"◆","")),IF(MAX('制度詳細'!$H$14,AQ$5)&lt;=MIN(IF('制度詳細'!$I$14="",EOMONTH(AQ$5,0),'制度詳細'!$I$14),EOMONTH(AQ$5,0)),"■",IF(AND('制度詳細'!$J$14&lt;&gt;"",'制度詳細'!$J$14&gt;=AQ$5,'制度詳細'!$J$14&lt;=EOMONTH(AQ$5,0)),"◆","")))</x:f>
      </x:c>
      <x:c r="AR14" s="57" t="str">
        <x:f>IF('制度詳細'!$H$14="",IF('制度詳細'!$J$14="","",IF(AND('制度詳細'!$J$14&gt;=AR$5,'制度詳細'!$J$14&lt;=EOMONTH(AR$5,0)),"◆","")),IF(MAX('制度詳細'!$H$14,AR$5)&lt;=MIN(IF('制度詳細'!$I$14="",EOMONTH(AR$5,0),'制度詳細'!$I$14),EOMONTH(AR$5,0)),"■",IF(AND('制度詳細'!$J$14&lt;&gt;"",'制度詳細'!$J$14&gt;=AR$5,'制度詳細'!$J$14&lt;=EOMONTH(AR$5,0)),"◆","")))</x:f>
      </x:c>
      <x:c r="AS14" s="57" t="str">
        <x:f>IF('制度詳細'!$H$14="",IF('制度詳細'!$J$14="","",IF(AND('制度詳細'!$J$14&gt;=AS$5,'制度詳細'!$J$14&lt;=EOMONTH(AS$5,0)),"◆","")),IF(MAX('制度詳細'!$H$14,AS$5)&lt;=MIN(IF('制度詳細'!$I$14="",EOMONTH(AS$5,0),'制度詳細'!$I$14),EOMONTH(AS$5,0)),"■",IF(AND('制度詳細'!$J$14&lt;&gt;"",'制度詳細'!$J$14&gt;=AS$5,'制度詳細'!$J$14&lt;=EOMONTH(AS$5,0)),"◆","")))</x:f>
      </x:c>
      <x:c r="AT14" s="57" t="str">
        <x:f>IF('制度詳細'!$H$14="",IF('制度詳細'!$J$14="","",IF(AND('制度詳細'!$J$14&gt;=AT$5,'制度詳細'!$J$14&lt;=EOMONTH(AT$5,0)),"◆","")),IF(MAX('制度詳細'!$H$14,AT$5)&lt;=MIN(IF('制度詳細'!$I$14="",EOMONTH(AT$5,0),'制度詳細'!$I$14),EOMONTH(AT$5,0)),"■",IF(AND('制度詳細'!$J$14&lt;&gt;"",'制度詳細'!$J$14&gt;=AT$5,'制度詳細'!$J$14&lt;=EOMONTH(AT$5,0)),"◆","")))</x:f>
      </x:c>
      <x:c r="AU14" s="57" t="str">
        <x:f>IF('制度詳細'!$H$14="",IF('制度詳細'!$J$14="","",IF(AND('制度詳細'!$J$14&gt;=AU$5,'制度詳細'!$J$14&lt;=EOMONTH(AU$5,0)),"◆","")),IF(MAX('制度詳細'!$H$14,AU$5)&lt;=MIN(IF('制度詳細'!$I$14="",EOMONTH(AU$5,0),'制度詳細'!$I$14),EOMONTH(AU$5,0)),"■",IF(AND('制度詳細'!$J$14&lt;&gt;"",'制度詳細'!$J$14&gt;=AU$5,'制度詳細'!$J$14&lt;=EOMONTH(AU$5,0)),"◆","")))</x:f>
      </x:c>
      <x:c r="AV14" s="57" t="str">
        <x:f>IF('制度詳細'!$H$14="",IF('制度詳細'!$J$14="","",IF(AND('制度詳細'!$J$14&gt;=AV$5,'制度詳細'!$J$14&lt;=EOMONTH(AV$5,0)),"◆","")),IF(MAX('制度詳細'!$H$14,AV$5)&lt;=MIN(IF('制度詳細'!$I$14="",EOMONTH(AV$5,0),'制度詳細'!$I$14),EOMONTH(AV$5,0)),"■",IF(AND('制度詳細'!$J$14&lt;&gt;"",'制度詳細'!$J$14&gt;=AV$5,'制度詳細'!$J$14&lt;=EOMONTH(AV$5,0)),"◆","")))</x:f>
      </x:c>
      <x:c r="AW14" s="57" t="str">
        <x:f>IF('制度詳細'!$H$14="",IF('制度詳細'!$J$14="","",IF(AND('制度詳細'!$J$14&gt;=AW$5,'制度詳細'!$J$14&lt;=EOMONTH(AW$5,0)),"◆","")),IF(MAX('制度詳細'!$H$14,AW$5)&lt;=MIN(IF('制度詳細'!$I$14="",EOMONTH(AW$5,0),'制度詳細'!$I$14),EOMONTH(AW$5,0)),"■",IF(AND('制度詳細'!$J$14&lt;&gt;"",'制度詳細'!$J$14&gt;=AW$5,'制度詳細'!$J$14&lt;=EOMONTH(AW$5,0)),"◆","")))</x:f>
      </x:c>
      <x:c r="AX14" s="57" t="str">
        <x:f>IF('制度詳細'!$H$14="",IF('制度詳細'!$J$14="","",IF(AND('制度詳細'!$J$14&gt;=AX$5,'制度詳細'!$J$14&lt;=EOMONTH(AX$5,0)),"◆","")),IF(MAX('制度詳細'!$H$14,AX$5)&lt;=MIN(IF('制度詳細'!$I$14="",EOMONTH(AX$5,0),'制度詳細'!$I$14),EOMONTH(AX$5,0)),"■",IF(AND('制度詳細'!$J$14&lt;&gt;"",'制度詳細'!$J$14&gt;=AX$5,'制度詳細'!$J$14&lt;=EOMONTH(AX$5,0)),"◆","")))</x:f>
      </x:c>
      <x:c r="AY14" s="57" t="str">
        <x:f>IF('制度詳細'!$H$14="",IF('制度詳細'!$J$14="","",IF(AND('制度詳細'!$J$14&gt;=AY$5,'制度詳細'!$J$14&lt;=EOMONTH(AY$5,0)),"◆","")),IF(MAX('制度詳細'!$H$14,AY$5)&lt;=MIN(IF('制度詳細'!$I$14="",EOMONTH(AY$5,0),'制度詳細'!$I$14),EOMONTH(AY$5,0)),"■",IF(AND('制度詳細'!$J$14&lt;&gt;"",'制度詳細'!$J$14&gt;=AY$5,'制度詳細'!$J$14&lt;=EOMONTH(AY$5,0)),"◆","")))</x:f>
      </x:c>
      <x:c r="AZ14" s="57" t="str">
        <x:f>IF('制度詳細'!$H$14="",IF('制度詳細'!$J$14="","",IF(AND('制度詳細'!$J$14&gt;=AZ$5,'制度詳細'!$J$14&lt;=EOMONTH(AZ$5,0)),"◆","")),IF(MAX('制度詳細'!$H$14,AZ$5)&lt;=MIN(IF('制度詳細'!$I$14="",EOMONTH(AZ$5,0),'制度詳細'!$I$14),EOMONTH(AZ$5,0)),"■",IF(AND('制度詳細'!$J$14&lt;&gt;"",'制度詳細'!$J$14&gt;=AZ$5,'制度詳細'!$J$14&lt;=EOMONTH(AZ$5,0)),"◆","")))</x:f>
      </x:c>
      <x:c r="BA14" s="57" t="str">
        <x:f>IF('制度詳細'!$H$14="",IF('制度詳細'!$J$14="","",IF(AND('制度詳細'!$J$14&gt;=BA$5,'制度詳細'!$J$14&lt;=EOMONTH(BA$5,0)),"◆","")),IF(MAX('制度詳細'!$H$14,BA$5)&lt;=MIN(IF('制度詳細'!$I$14="",EOMONTH(BA$5,0),'制度詳細'!$I$14),EOMONTH(BA$5,0)),"■",IF(AND('制度詳細'!$J$14&lt;&gt;"",'制度詳細'!$J$14&gt;=BA$5,'制度詳細'!$J$14&lt;=EOMONTH(BA$5,0)),"◆","")))</x:f>
      </x:c>
      <x:c r="BB14" s="57" t="str">
        <x:f>IF('制度詳細'!$H$14="",IF('制度詳細'!$J$14="","",IF(AND('制度詳細'!$J$14&gt;=BB$5,'制度詳細'!$J$14&lt;=EOMONTH(BB$5,0)),"◆","")),IF(MAX('制度詳細'!$H$14,BB$5)&lt;=MIN(IF('制度詳細'!$I$14="",EOMONTH(BB$5,0),'制度詳細'!$I$14),EOMONTH(BB$5,0)),"■",IF(AND('制度詳細'!$J$14&lt;&gt;"",'制度詳細'!$J$14&gt;=BB$5,'制度詳細'!$J$14&lt;=EOMONTH(BB$5,0)),"◆","")))</x:f>
      </x:c>
      <x:c r="BC14" s="57" t="str">
        <x:f>IF('制度詳細'!$H$14="",IF('制度詳細'!$J$14="","",IF(AND('制度詳細'!$J$14&gt;=BC$5,'制度詳細'!$J$14&lt;=EOMONTH(BC$5,0)),"◆","")),IF(MAX('制度詳細'!$H$14,BC$5)&lt;=MIN(IF('制度詳細'!$I$14="",EOMONTH(BC$5,0),'制度詳細'!$I$14),EOMONTH(BC$5,0)),"■",IF(AND('制度詳細'!$J$14&lt;&gt;"",'制度詳細'!$J$14&gt;=BC$5,'制度詳細'!$J$14&lt;=EOMONTH(BC$5,0)),"◆","")))</x:f>
      </x:c>
      <x:c r="BD14" s="57" t="str">
        <x:f>IF('制度詳細'!$H$14="",IF('制度詳細'!$J$14="","",IF(AND('制度詳細'!$J$14&gt;=BD$5,'制度詳細'!$J$14&lt;=EOMONTH(BD$5,0)),"◆","")),IF(MAX('制度詳細'!$H$14,BD$5)&lt;=MIN(IF('制度詳細'!$I$14="",EOMONTH(BD$5,0),'制度詳細'!$I$14),EOMONTH(BD$5,0)),"■",IF(AND('制度詳細'!$J$14&lt;&gt;"",'制度詳細'!$J$14&gt;=BD$5,'制度詳細'!$J$14&lt;=EOMONTH(BD$5,0)),"◆","")))</x:f>
      </x:c>
      <x:c r="BE14" s="57" t="str">
        <x:f>IF('制度詳細'!$H$14="",IF('制度詳細'!$J$14="","",IF(AND('制度詳細'!$J$14&gt;=BE$5,'制度詳細'!$J$14&lt;=EOMONTH(BE$5,0)),"◆","")),IF(MAX('制度詳細'!$H$14,BE$5)&lt;=MIN(IF('制度詳細'!$I$14="",EOMONTH(BE$5,0),'制度詳細'!$I$14),EOMONTH(BE$5,0)),"■",IF(AND('制度詳細'!$J$14&lt;&gt;"",'制度詳細'!$J$14&gt;=BE$5,'制度詳細'!$J$14&lt;=EOMONTH(BE$5,0)),"◆","")))</x:f>
      </x:c>
      <x:c r="BF14" s="57" t="str">
        <x:f>IF('制度詳細'!$H$14="",IF('制度詳細'!$J$14="","",IF(AND('制度詳細'!$J$14&gt;=BF$5,'制度詳細'!$J$14&lt;=EOMONTH(BF$5,0)),"◆","")),IF(MAX('制度詳細'!$H$14,BF$5)&lt;=MIN(IF('制度詳細'!$I$14="",EOMONTH(BF$5,0),'制度詳細'!$I$14),EOMONTH(BF$5,0)),"■",IF(AND('制度詳細'!$J$14&lt;&gt;"",'制度詳細'!$J$14&gt;=BF$5,'制度詳細'!$J$14&lt;=EOMONTH(BF$5,0)),"◆","")))</x:f>
      </x:c>
      <x:c r="BG14" s="57" t="str">
        <x:f>IF('制度詳細'!$H$14="",IF('制度詳細'!$J$14="","",IF(AND('制度詳細'!$J$14&gt;=BG$5,'制度詳細'!$J$14&lt;=EOMONTH(BG$5,0)),"◆","")),IF(MAX('制度詳細'!$H$14,BG$5)&lt;=MIN(IF('制度詳細'!$I$14="",EOMONTH(BG$5,0),'制度詳細'!$I$14),EOMONTH(BG$5,0)),"■",IF(AND('制度詳細'!$J$14&lt;&gt;"",'制度詳細'!$J$14&gt;=BG$5,'制度詳細'!$J$14&lt;=EOMONTH(BG$5,0)),"◆","")))</x:f>
      </x:c>
      <x:c r="BH14" s="57" t="str">
        <x:f>IF('制度詳細'!$H$14="",IF('制度詳細'!$J$14="","",IF(AND('制度詳細'!$J$14&gt;=BH$5,'制度詳細'!$J$14&lt;=EOMONTH(BH$5,0)),"◆","")),IF(MAX('制度詳細'!$H$14,BH$5)&lt;=MIN(IF('制度詳細'!$I$14="",EOMONTH(BH$5,0),'制度詳細'!$I$14),EOMONTH(BH$5,0)),"■",IF(AND('制度詳細'!$J$14&lt;&gt;"",'制度詳細'!$J$14&gt;=BH$5,'制度詳細'!$J$14&lt;=EOMONTH(BH$5,0)),"◆","")))</x:f>
      </x:c>
      <x:c r="BI14" s="57" t="str">
        <x:f>IF('制度詳細'!$H$14="",IF('制度詳細'!$J$14="","",IF(AND('制度詳細'!$J$14&gt;=BI$5,'制度詳細'!$J$14&lt;=EOMONTH(BI$5,0)),"◆","")),IF(MAX('制度詳細'!$H$14,BI$5)&lt;=MIN(IF('制度詳細'!$I$14="",EOMONTH(BI$5,0),'制度詳細'!$I$14),EOMONTH(BI$5,0)),"■",IF(AND('制度詳細'!$J$14&lt;&gt;"",'制度詳細'!$J$14&gt;=BI$5,'制度詳細'!$J$14&lt;=EOMONTH(BI$5,0)),"◆","")))</x:f>
      </x:c>
      <x:c r="BJ14" s="57" t="str">
        <x:f>IF('制度詳細'!$H$14="",IF('制度詳細'!$J$14="","",IF(AND('制度詳細'!$J$14&gt;=BJ$5,'制度詳細'!$J$14&lt;=EOMONTH(BJ$5,0)),"◆","")),IF(MAX('制度詳細'!$H$14,BJ$5)&lt;=MIN(IF('制度詳細'!$I$14="",EOMONTH(BJ$5,0),'制度詳細'!$I$14),EOMONTH(BJ$5,0)),"■",IF(AND('制度詳細'!$J$14&lt;&gt;"",'制度詳細'!$J$14&gt;=BJ$5,'制度詳細'!$J$14&lt;=EOMONTH(BJ$5,0)),"◆","")))</x:f>
      </x:c>
      <x:c r="BK14" s="57" t="str">
        <x:f>IF('制度詳細'!$H$14="",IF('制度詳細'!$J$14="","",IF(AND('制度詳細'!$J$14&gt;=BK$5,'制度詳細'!$J$14&lt;=EOMONTH(BK$5,0)),"◆","")),IF(MAX('制度詳細'!$H$14,BK$5)&lt;=MIN(IF('制度詳細'!$I$14="",EOMONTH(BK$5,0),'制度詳細'!$I$14),EOMONTH(BK$5,0)),"■",IF(AND('制度詳細'!$J$14&lt;&gt;"",'制度詳細'!$J$14&gt;=BK$5,'制度詳細'!$J$14&lt;=EOMONTH(BK$5,0)),"◆","")))</x:f>
      </x:c>
      <x:c r="BL14" s="57" t="str">
        <x:f>IF('制度詳細'!$H$14="",IF('制度詳細'!$J$14="","",IF(AND('制度詳細'!$J$14&gt;=BL$5,'制度詳細'!$J$14&lt;=EOMONTH(BL$5,0)),"◆","")),IF(MAX('制度詳細'!$H$14,BL$5)&lt;=MIN(IF('制度詳細'!$I$14="",EOMONTH(BL$5,0),'制度詳細'!$I$14),EOMONTH(BL$5,0)),"■",IF(AND('制度詳細'!$J$14&lt;&gt;"",'制度詳細'!$J$14&gt;=BL$5,'制度詳細'!$J$14&lt;=EOMONTH(BL$5,0)),"◆","")))</x:f>
      </x:c>
      <x:c r="BM14" s="57" t="str">
        <x:f>IF('制度詳細'!$H$14="",IF('制度詳細'!$J$14="","",IF(AND('制度詳細'!$J$14&gt;=BM$5,'制度詳細'!$J$14&lt;=EOMONTH(BM$5,0)),"◆","")),IF(MAX('制度詳細'!$H$14,BM$5)&lt;=MIN(IF('制度詳細'!$I$14="",EOMONTH(BM$5,0),'制度詳細'!$I$14),EOMONTH(BM$5,0)),"■",IF(AND('制度詳細'!$J$14&lt;&gt;"",'制度詳細'!$J$14&gt;=BM$5,'制度詳細'!$J$14&lt;=EOMONTH(BM$5,0)),"◆","")))</x:f>
      </x:c>
      <x:c r="BN14" s="57" t="str">
        <x:f>IF('制度詳細'!$H$14="",IF('制度詳細'!$J$14="","",IF(AND('制度詳細'!$J$14&gt;=BN$5,'制度詳細'!$J$14&lt;=EOMONTH(BN$5,0)),"◆","")),IF(MAX('制度詳細'!$H$14,BN$5)&lt;=MIN(IF('制度詳細'!$I$14="",EOMONTH(BN$5,0),'制度詳細'!$I$14),EOMONTH(BN$5,0)),"■",IF(AND('制度詳細'!$J$14&lt;&gt;"",'制度詳細'!$J$14&gt;=BN$5,'制度詳細'!$J$14&lt;=EOMONTH(BN$5,0)),"◆","")))</x:f>
      </x:c>
      <x:c r="BO14" s="57" t="str">
        <x:f>IF('制度詳細'!$H$14="",IF('制度詳細'!$J$14="","",IF(AND('制度詳細'!$J$14&gt;=BO$5,'制度詳細'!$J$14&lt;=EOMONTH(BO$5,0)),"◆","")),IF(MAX('制度詳細'!$H$14,BO$5)&lt;=MIN(IF('制度詳細'!$I$14="",EOMONTH(BO$5,0),'制度詳細'!$I$14),EOMONTH(BO$5,0)),"■",IF(AND('制度詳細'!$J$14&lt;&gt;"",'制度詳細'!$J$14&gt;=BO$5,'制度詳細'!$J$14&lt;=EOMONTH(BO$5,0)),"◆","")))</x:f>
      </x:c>
      <x:c r="BP14" s="57" t="str">
        <x:f>IF('制度詳細'!$H$14="",IF('制度詳細'!$J$14="","",IF(AND('制度詳細'!$J$14&gt;=BP$5,'制度詳細'!$J$14&lt;=EOMONTH(BP$5,0)),"◆","")),IF(MAX('制度詳細'!$H$14,BP$5)&lt;=MIN(IF('制度詳細'!$I$14="",EOMONTH(BP$5,0),'制度詳細'!$I$14),EOMONTH(BP$5,0)),"■",IF(AND('制度詳細'!$J$14&lt;&gt;"",'制度詳細'!$J$14&gt;=BP$5,'制度詳細'!$J$14&lt;=EOMONTH(BP$5,0)),"◆","")))</x:f>
      </x:c>
      <x:c r="BQ14" s="57" t="str">
        <x:f>IF('制度詳細'!$H$14="",IF('制度詳細'!$J$14="","",IF(AND('制度詳細'!$J$14&gt;=BQ$5,'制度詳細'!$J$14&lt;=EOMONTH(BQ$5,0)),"◆","")),IF(MAX('制度詳細'!$H$14,BQ$5)&lt;=MIN(IF('制度詳細'!$I$14="",EOMONTH(BQ$5,0),'制度詳細'!$I$14),EOMONTH(BQ$5,0)),"■",IF(AND('制度詳細'!$J$14&lt;&gt;"",'制度詳細'!$J$14&gt;=BQ$5,'制度詳細'!$J$14&lt;=EOMONTH(BQ$5,0)),"◆","")))</x:f>
      </x:c>
      <x:c r="BR14" s="57" t="str">
        <x:f>IF('制度詳細'!$H$14="",IF('制度詳細'!$J$14="","",IF(AND('制度詳細'!$J$14&gt;=BR$5,'制度詳細'!$J$14&lt;=EOMONTH(BR$5,0)),"◆","")),IF(MAX('制度詳細'!$H$14,BR$5)&lt;=MIN(IF('制度詳細'!$I$14="",EOMONTH(BR$5,0),'制度詳細'!$I$14),EOMONTH(BR$5,0)),"■",IF(AND('制度詳細'!$J$14&lt;&gt;"",'制度詳細'!$J$14&gt;=BR$5,'制度詳細'!$J$14&lt;=EOMONTH(BR$5,0)),"◆","")))</x:f>
      </x:c>
      <x:c r="BS14" s="57" t="str">
        <x:f>IF('制度詳細'!$H$14="",IF('制度詳細'!$J$14="","",IF(AND('制度詳細'!$J$14&gt;=BS$5,'制度詳細'!$J$14&lt;=EOMONTH(BS$5,0)),"◆","")),IF(MAX('制度詳細'!$H$14,BS$5)&lt;=MIN(IF('制度詳細'!$I$14="",EOMONTH(BS$5,0),'制度詳細'!$I$14),EOMONTH(BS$5,0)),"■",IF(AND('制度詳細'!$J$14&lt;&gt;"",'制度詳細'!$J$14&gt;=BS$5,'制度詳細'!$J$14&lt;=EOMONTH(BS$5,0)),"◆","")))</x:f>
      </x:c>
      <x:c r="BT14" s="57" t="str">
        <x:f>IF('制度詳細'!$H$14="",IF('制度詳細'!$J$14="","",IF(AND('制度詳細'!$J$14&gt;=BT$5,'制度詳細'!$J$14&lt;=EOMONTH(BT$5,0)),"◆","")),IF(MAX('制度詳細'!$H$14,BT$5)&lt;=MIN(IF('制度詳細'!$I$14="",EOMONTH(BT$5,0),'制度詳細'!$I$14),EOMONTH(BT$5,0)),"■",IF(AND('制度詳細'!$J$14&lt;&gt;"",'制度詳細'!$J$14&gt;=BT$5,'制度詳細'!$J$14&lt;=EOMONTH(BT$5,0)),"◆","")))</x:f>
      </x:c>
      <x:c r="BU14" s="57" t="str">
        <x:f>IF('制度詳細'!$H$14="",IF('制度詳細'!$J$14="","",IF(AND('制度詳細'!$J$14&gt;=BU$5,'制度詳細'!$J$14&lt;=EOMONTH(BU$5,0)),"◆","")),IF(MAX('制度詳細'!$H$14,BU$5)&lt;=MIN(IF('制度詳細'!$I$14="",EOMONTH(BU$5,0),'制度詳細'!$I$14),EOMONTH(BU$5,0)),"■",IF(AND('制度詳細'!$J$14&lt;&gt;"",'制度詳細'!$J$14&gt;=BU$5,'制度詳細'!$J$14&lt;=EOMONTH(BU$5,0)),"◆","")))</x:f>
      </x:c>
      <x:c r="BV14" s="57" t="str">
        <x:f>IF('制度詳細'!$H$14="",IF('制度詳細'!$J$14="","",IF(AND('制度詳細'!$J$14&gt;=BV$5,'制度詳細'!$J$14&lt;=EOMONTH(BV$5,0)),"◆","")),IF(MAX('制度詳細'!$H$14,BV$5)&lt;=MIN(IF('制度詳細'!$I$14="",EOMONTH(BV$5,0),'制度詳細'!$I$14),EOMONTH(BV$5,0)),"■",IF(AND('制度詳細'!$J$14&lt;&gt;"",'制度詳細'!$J$14&gt;=BV$5,'制度詳細'!$J$14&lt;=EOMONTH(BV$5,0)),"◆","")))</x:f>
      </x:c>
      <x:c r="BW14" s="57" t="str">
        <x:f>IF('制度詳細'!$H$14="",IF('制度詳細'!$J$14="","",IF(AND('制度詳細'!$J$14&gt;=BW$5,'制度詳細'!$J$14&lt;=EOMONTH(BW$5,0)),"◆","")),IF(MAX('制度詳細'!$H$14,BW$5)&lt;=MIN(IF('制度詳細'!$I$14="",EOMONTH(BW$5,0),'制度詳細'!$I$14),EOMONTH(BW$5,0)),"■",IF(AND('制度詳細'!$J$14&lt;&gt;"",'制度詳細'!$J$14&gt;=BW$5,'制度詳細'!$J$14&lt;=EOMONTH(BW$5,0)),"◆","")))</x:f>
      </x:c>
      <x:c r="BX14" s="57" t="str">
        <x:f>IF('制度詳細'!$H$14="",IF('制度詳細'!$J$14="","",IF(AND('制度詳細'!$J$14&gt;=BX$5,'制度詳細'!$J$14&lt;=EOMONTH(BX$5,0)),"◆","")),IF(MAX('制度詳細'!$H$14,BX$5)&lt;=MIN(IF('制度詳細'!$I$14="",EOMONTH(BX$5,0),'制度詳細'!$I$14),EOMONTH(BX$5,0)),"■",IF(AND('制度詳細'!$J$14&lt;&gt;"",'制度詳細'!$J$14&gt;=BX$5,'制度詳細'!$J$14&lt;=EOMONTH(BX$5,0)),"◆","")))</x:f>
      </x:c>
      <x:c r="BY14" s="57" t="str">
        <x:f>IF('制度詳細'!$H$14="",IF('制度詳細'!$J$14="","",IF(AND('制度詳細'!$J$14&gt;=BY$5,'制度詳細'!$J$14&lt;=EOMONTH(BY$5,0)),"◆","")),IF(MAX('制度詳細'!$H$14,BY$5)&lt;=MIN(IF('制度詳細'!$I$14="",EOMONTH(BY$5,0),'制度詳細'!$I$14),EOMONTH(BY$5,0)),"■",IF(AND('制度詳細'!$J$14&lt;&gt;"",'制度詳細'!$J$14&gt;=BY$5,'制度詳細'!$J$14&lt;=EOMONTH(BY$5,0)),"◆","")))</x:f>
      </x:c>
      <x:c r="BZ14" s="57" t="str">
        <x:f>IF('制度詳細'!$H$14="",IF('制度詳細'!$J$14="","",IF(AND('制度詳細'!$J$14&gt;=BZ$5,'制度詳細'!$J$14&lt;=EOMONTH(BZ$5,0)),"◆","")),IF(MAX('制度詳細'!$H$14,BZ$5)&lt;=MIN(IF('制度詳細'!$I$14="",EOMONTH(BZ$5,0),'制度詳細'!$I$14),EOMONTH(BZ$5,0)),"■",IF(AND('制度詳細'!$J$14&lt;&gt;"",'制度詳細'!$J$14&gt;=BZ$5,'制度詳細'!$J$14&lt;=EOMONTH(BZ$5,0)),"◆","")))</x:f>
      </x:c>
      <x:c r="CA14" s="57" t="str">
        <x:f>IF('制度詳細'!$H$14="",IF('制度詳細'!$J$14="","",IF(AND('制度詳細'!$J$14&gt;=CA$5,'制度詳細'!$J$14&lt;=EOMONTH(CA$5,0)),"◆","")),IF(MAX('制度詳細'!$H$14,CA$5)&lt;=MIN(IF('制度詳細'!$I$14="",EOMONTH(CA$5,0),'制度詳細'!$I$14),EOMONTH(CA$5,0)),"■",IF(AND('制度詳細'!$J$14&lt;&gt;"",'制度詳細'!$J$14&gt;=CA$5,'制度詳細'!$J$14&lt;=EOMONTH(CA$5,0)),"◆","")))</x:f>
      </x:c>
      <x:c r="CB14" s="57" t="str">
        <x:f>IF('制度詳細'!$H$14="",IF('制度詳細'!$J$14="","",IF(AND('制度詳細'!$J$14&gt;=CB$5,'制度詳細'!$J$14&lt;=EOMONTH(CB$5,0)),"◆","")),IF(MAX('制度詳細'!$H$14,CB$5)&lt;=MIN(IF('制度詳細'!$I$14="",EOMONTH(CB$5,0),'制度詳細'!$I$14),EOMONTH(CB$5,0)),"■",IF(AND('制度詳細'!$J$14&lt;&gt;"",'制度詳細'!$J$14&gt;=CB$5,'制度詳細'!$J$14&lt;=EOMONTH(CB$5,0)),"◆","")))</x:f>
      </x:c>
      <x:c r="CC14" s="57" t="str">
        <x:f>IF('制度詳細'!$H$14="",IF('制度詳細'!$J$14="","",IF(AND('制度詳細'!$J$14&gt;=CC$5,'制度詳細'!$J$14&lt;=EOMONTH(CC$5,0)),"◆","")),IF(MAX('制度詳細'!$H$14,CC$5)&lt;=MIN(IF('制度詳細'!$I$14="",EOMONTH(CC$5,0),'制度詳細'!$I$14),EOMONTH(CC$5,0)),"■",IF(AND('制度詳細'!$J$14&lt;&gt;"",'制度詳細'!$J$14&gt;=CC$5,'制度詳細'!$J$14&lt;=EOMONTH(CC$5,0)),"◆","")))</x:f>
      </x:c>
      <x:c r="CD14" s="57" t="str">
        <x:f>IF('制度詳細'!$H$14="",IF('制度詳細'!$J$14="","",IF(AND('制度詳細'!$J$14&gt;=CD$5,'制度詳細'!$J$14&lt;=EOMONTH(CD$5,0)),"◆","")),IF(MAX('制度詳細'!$H$14,CD$5)&lt;=MIN(IF('制度詳細'!$I$14="",EOMONTH(CD$5,0),'制度詳細'!$I$14),EOMONTH(CD$5,0)),"■",IF(AND('制度詳細'!$J$14&lt;&gt;"",'制度詳細'!$J$14&gt;=CD$5,'制度詳細'!$J$14&lt;=EOMONTH(CD$5,0)),"◆","")))</x:f>
      </x:c>
      <x:c r="CE14" s="57" t="str">
        <x:f>IF('制度詳細'!$H$14="",IF('制度詳細'!$J$14="","",IF(AND('制度詳細'!$J$14&gt;=CE$5,'制度詳細'!$J$14&lt;=EOMONTH(CE$5,0)),"◆","")),IF(MAX('制度詳細'!$H$14,CE$5)&lt;=MIN(IF('制度詳細'!$I$14="",EOMONTH(CE$5,0),'制度詳細'!$I$14),EOMONTH(CE$5,0)),"■",IF(AND('制度詳細'!$J$14&lt;&gt;"",'制度詳細'!$J$14&gt;=CE$5,'制度詳細'!$J$14&lt;=EOMONTH(CE$5,0)),"◆","")))</x:f>
      </x:c>
      <x:c r="CF14" s="57" t="str">
        <x:f>IF('制度詳細'!$H$14="",IF('制度詳細'!$J$14="","",IF(AND('制度詳細'!$J$14&gt;=CF$5,'制度詳細'!$J$14&lt;=EOMONTH(CF$5,0)),"◆","")),IF(MAX('制度詳細'!$H$14,CF$5)&lt;=MIN(IF('制度詳細'!$I$14="",EOMONTH(CF$5,0),'制度詳細'!$I$14),EOMONTH(CF$5,0)),"■",IF(AND('制度詳細'!$J$14&lt;&gt;"",'制度詳細'!$J$14&gt;=CF$5,'制度詳細'!$J$14&lt;=EOMONTH(CF$5,0)),"◆","")))</x:f>
      </x:c>
      <x:c r="CG14" s="57" t="str">
        <x:f>IF('制度詳細'!$H$14="",IF('制度詳細'!$J$14="","",IF(AND('制度詳細'!$J$14&gt;=CG$5,'制度詳細'!$J$14&lt;=EOMONTH(CG$5,0)),"◆","")),IF(MAX('制度詳細'!$H$14,CG$5)&lt;=MIN(IF('制度詳細'!$I$14="",EOMONTH(CG$5,0),'制度詳細'!$I$14),EOMONTH(CG$5,0)),"■",IF(AND('制度詳細'!$J$14&lt;&gt;"",'制度詳細'!$J$14&gt;=CG$5,'制度詳細'!$J$14&lt;=EOMONTH(CG$5,0)),"◆","")))</x:f>
        <x:v>◆</x:v>
      </x:c>
      <x:c r="CH14" s="57" t="str">
        <x:f>IF('制度詳細'!$H$14="",IF('制度詳細'!$J$14="","",IF(AND('制度詳細'!$J$14&gt;=CH$5,'制度詳細'!$J$14&lt;=EOMONTH(CH$5,0)),"◆","")),IF(MAX('制度詳細'!$H$14,CH$5)&lt;=MIN(IF('制度詳細'!$I$14="",EOMONTH(CH$5,0),'制度詳細'!$I$14),EOMONTH(CH$5,0)),"■",IF(AND('制度詳細'!$J$14&lt;&gt;"",'制度詳細'!$J$14&gt;=CH$5,'制度詳細'!$J$14&lt;=EOMONTH(CH$5,0)),"◆","")))</x:f>
      </x:c>
      <x:c r="CI14" s="57" t="str">
        <x:f>IF('制度詳細'!$H$14="",IF('制度詳細'!$J$14="","",IF(AND('制度詳細'!$J$14&gt;=CI$5,'制度詳細'!$J$14&lt;=EOMONTH(CI$5,0)),"◆","")),IF(MAX('制度詳細'!$H$14,CI$5)&lt;=MIN(IF('制度詳細'!$I$14="",EOMONTH(CI$5,0),'制度詳細'!$I$14),EOMONTH(CI$5,0)),"■",IF(AND('制度詳細'!$J$14&lt;&gt;"",'制度詳細'!$J$14&gt;=CI$5,'制度詳細'!$J$14&lt;=EOMONTH(CI$5,0)),"◆","")))</x:f>
      </x:c>
      <x:c r="CJ14" s="57" t="str">
        <x:f>IF('制度詳細'!$H$14="",IF('制度詳細'!$J$14="","",IF(AND('制度詳細'!$J$14&gt;=CJ$5,'制度詳細'!$J$14&lt;=EOMONTH(CJ$5,0)),"◆","")),IF(MAX('制度詳細'!$H$14,CJ$5)&lt;=MIN(IF('制度詳細'!$I$14="",EOMONTH(CJ$5,0),'制度詳細'!$I$14),EOMONTH(CJ$5,0)),"■",IF(AND('制度詳細'!$J$14&lt;&gt;"",'制度詳細'!$J$14&gt;=CJ$5,'制度詳細'!$J$14&lt;=EOMONTH(CJ$5,0)),"◆","")))</x:f>
      </x:c>
      <x:c r="CK14" s="57" t="str">
        <x:f>IF('制度詳細'!$H$14="",IF('制度詳細'!$J$14="","",IF(AND('制度詳細'!$J$14&gt;=CK$5,'制度詳細'!$J$14&lt;=EOMONTH(CK$5,0)),"◆","")),IF(MAX('制度詳細'!$H$14,CK$5)&lt;=MIN(IF('制度詳細'!$I$14="",EOMONTH(CK$5,0),'制度詳細'!$I$14),EOMONTH(CK$5,0)),"■",IF(AND('制度詳細'!$J$14&lt;&gt;"",'制度詳細'!$J$14&gt;=CK$5,'制度詳細'!$J$14&lt;=EOMONTH(CK$5,0)),"◆","")))</x:f>
      </x:c>
      <x:c r="CL14" s="57" t="str">
        <x:f>IF('制度詳細'!$H$14="",IF('制度詳細'!$J$14="","",IF(AND('制度詳細'!$J$14&gt;=CL$5,'制度詳細'!$J$14&lt;=EOMONTH(CL$5,0)),"◆","")),IF(MAX('制度詳細'!$H$14,CL$5)&lt;=MIN(IF('制度詳細'!$I$14="",EOMONTH(CL$5,0),'制度詳細'!$I$14),EOMONTH(CL$5,0)),"■",IF(AND('制度詳細'!$J$14&lt;&gt;"",'制度詳細'!$J$14&gt;=CL$5,'制度詳細'!$J$14&lt;=EOMONTH(CL$5,0)),"◆","")))</x:f>
      </x:c>
      <x:c r="CM14" s="57" t="str">
        <x:f>IF('制度詳細'!$H$14="",IF('制度詳細'!$J$14="","",IF(AND('制度詳細'!$J$14&gt;=CM$5,'制度詳細'!$J$14&lt;=EOMONTH(CM$5,0)),"◆","")),IF(MAX('制度詳細'!$H$14,CM$5)&lt;=MIN(IF('制度詳細'!$I$14="",EOMONTH(CM$5,0),'制度詳細'!$I$14),EOMONTH(CM$5,0)),"■",IF(AND('制度詳細'!$J$14&lt;&gt;"",'制度詳細'!$J$14&gt;=CM$5,'制度詳細'!$J$14&lt;=EOMONTH(CM$5,0)),"◆","")))</x:f>
      </x:c>
      <x:c r="CN14" s="57" t="str">
        <x:f>IF('制度詳細'!$H$14="",IF('制度詳細'!$J$14="","",IF(AND('制度詳細'!$J$14&gt;=CN$5,'制度詳細'!$J$14&lt;=EOMONTH(CN$5,0)),"◆","")),IF(MAX('制度詳細'!$H$14,CN$5)&lt;=MIN(IF('制度詳細'!$I$14="",EOMONTH(CN$5,0),'制度詳細'!$I$14),EOMONTH(CN$5,0)),"■",IF(AND('制度詳細'!$J$14&lt;&gt;"",'制度詳細'!$J$14&gt;=CN$5,'制度詳細'!$J$14&lt;=EOMONTH(CN$5,0)),"◆","")))</x:f>
      </x:c>
      <x:c r="CO14" s="57" t="str">
        <x:f>IF('制度詳細'!$H$14="",IF('制度詳細'!$J$14="","",IF(AND('制度詳細'!$J$14&gt;=CO$5,'制度詳細'!$J$14&lt;=EOMONTH(CO$5,0)),"◆","")),IF(MAX('制度詳細'!$H$14,CO$5)&lt;=MIN(IF('制度詳細'!$I$14="",EOMONTH(CO$5,0),'制度詳細'!$I$14),EOMONTH(CO$5,0)),"■",IF(AND('制度詳細'!$J$14&lt;&gt;"",'制度詳細'!$J$14&gt;=CO$5,'制度詳細'!$J$14&lt;=EOMONTH(CO$5,0)),"◆","")))</x:f>
      </x:c>
      <x:c r="CP14" s="57" t="str">
        <x:f>IF('制度詳細'!$H$14="",IF('制度詳細'!$J$14="","",IF(AND('制度詳細'!$J$14&gt;=CP$5,'制度詳細'!$J$14&lt;=EOMONTH(CP$5,0)),"◆","")),IF(MAX('制度詳細'!$H$14,CP$5)&lt;=MIN(IF('制度詳細'!$I$14="",EOMONTH(CP$5,0),'制度詳細'!$I$14),EOMONTH(CP$5,0)),"■",IF(AND('制度詳細'!$J$14&lt;&gt;"",'制度詳細'!$J$14&gt;=CP$5,'制度詳細'!$J$14&lt;=EOMONTH(CP$5,0)),"◆","")))</x:f>
      </x:c>
      <x:c r="CQ14" s="57" t="str">
        <x:f>IF('制度詳細'!$H$14="",IF('制度詳細'!$J$14="","",IF(AND('制度詳細'!$J$14&gt;=CQ$5,'制度詳細'!$J$14&lt;=EOMONTH(CQ$5,0)),"◆","")),IF(MAX('制度詳細'!$H$14,CQ$5)&lt;=MIN(IF('制度詳細'!$I$14="",EOMONTH(CQ$5,0),'制度詳細'!$I$14),EOMONTH(CQ$5,0)),"■",IF(AND('制度詳細'!$J$14&lt;&gt;"",'制度詳細'!$J$14&gt;=CQ$5,'制度詳細'!$J$14&lt;=EOMONTH(CQ$5,0)),"◆","")))</x:f>
      </x:c>
      <x:c r="CR14" s="57" t="str">
        <x:f>IF('制度詳細'!$H$14="",IF('制度詳細'!$J$14="","",IF(AND('制度詳細'!$J$14&gt;=CR$5,'制度詳細'!$J$14&lt;=EOMONTH(CR$5,0)),"◆","")),IF(MAX('制度詳細'!$H$14,CR$5)&lt;=MIN(IF('制度詳細'!$I$14="",EOMONTH(CR$5,0),'制度詳細'!$I$14),EOMONTH(CR$5,0)),"■",IF(AND('制度詳細'!$J$14&lt;&gt;"",'制度詳細'!$J$14&gt;=CR$5,'制度詳細'!$J$14&lt;=EOMONTH(CR$5,0)),"◆","")))</x:f>
      </x:c>
      <x:c r="CS14" s="57" t="str">
        <x:f>IF('制度詳細'!$H$14="",IF('制度詳細'!$J$14="","",IF(AND('制度詳細'!$J$14&gt;=CS$5,'制度詳細'!$J$14&lt;=EOMONTH(CS$5,0)),"◆","")),IF(MAX('制度詳細'!$H$14,CS$5)&lt;=MIN(IF('制度詳細'!$I$14="",EOMONTH(CS$5,0),'制度詳細'!$I$14),EOMONTH(CS$5,0)),"■",IF(AND('制度詳細'!$J$14&lt;&gt;"",'制度詳細'!$J$14&gt;=CS$5,'制度詳細'!$J$14&lt;=EOMONTH(CS$5,0)),"◆","")))</x:f>
      </x:c>
      <x:c r="CT14" s="57" t="str">
        <x:f>IF('制度詳細'!$H$14="",IF('制度詳細'!$J$14="","",IF(AND('制度詳細'!$J$14&gt;=CT$5,'制度詳細'!$J$14&lt;=EOMONTH(CT$5,0)),"◆","")),IF(MAX('制度詳細'!$H$14,CT$5)&lt;=MIN(IF('制度詳細'!$I$14="",EOMONTH(CT$5,0),'制度詳細'!$I$14),EOMONTH(CT$5,0)),"■",IF(AND('制度詳細'!$J$14&lt;&gt;"",'制度詳細'!$J$14&gt;=CT$5,'制度詳細'!$J$14&lt;=EOMONTH(CT$5,0)),"◆","")))</x:f>
      </x:c>
      <x:c r="CU14" s="57" t="str">
        <x:f>IF('制度詳細'!$H$14="",IF('制度詳細'!$J$14="","",IF(AND('制度詳細'!$J$14&gt;=CU$5,'制度詳細'!$J$14&lt;=EOMONTH(CU$5,0)),"◆","")),IF(MAX('制度詳細'!$H$14,CU$5)&lt;=MIN(IF('制度詳細'!$I$14="",EOMONTH(CU$5,0),'制度詳細'!$I$14),EOMONTH(CU$5,0)),"■",IF(AND('制度詳細'!$J$14&lt;&gt;"",'制度詳細'!$J$14&gt;=CU$5,'制度詳細'!$J$14&lt;=EOMONTH(CU$5,0)),"◆","")))</x:f>
      </x:c>
      <x:c r="CV14" s="57" t="str">
        <x:f>IF('制度詳細'!$H$14="",IF('制度詳細'!$J$14="","",IF(AND('制度詳細'!$J$14&gt;=CV$5,'制度詳細'!$J$14&lt;=EOMONTH(CV$5,0)),"◆","")),IF(MAX('制度詳細'!$H$14,CV$5)&lt;=MIN(IF('制度詳細'!$I$14="",EOMONTH(CV$5,0),'制度詳細'!$I$14),EOMONTH(CV$5,0)),"■",IF(AND('制度詳細'!$J$14&lt;&gt;"",'制度詳細'!$J$14&gt;=CV$5,'制度詳細'!$J$14&lt;=EOMONTH(CV$5,0)),"◆","")))</x:f>
      </x:c>
      <x:c r="CW14" s="1"/>
      <x:c r="CX14" s="1"/>
      <x:c r="CY14" s="1"/>
      <x:c r="CZ14" s="1"/>
      <x:c r="DA14" s="1"/>
      <x:c r="DB14" s="1"/>
      <x:c r="DC14" s="1"/>
      <x:c r="DD14" s="1"/>
    </x:row>
    <x:row r="15" ht="27" customHeight="1">
      <x:c r="A15" s="58" t="str">
        <x:v>ID01</x:v>
      </x:c>
      <x:c r="B15" s="58" t="str">
        <x:v>インドネシア</x:v>
      </x:c>
      <x:c r="C15" s="58" t="str">
        <x:v>BEV：VAT政府負担2023</x:v>
      </x:c>
      <x:c r="D15" s="58" t="str">
        <x:v>BEV</x:v>
      </x:c>
      <x:c r="E15" s="57" t="str">
        <x:f>IF('制度詳細'!$H$15="",IF('制度詳細'!$J$15="","",IF(AND('制度詳細'!$J$15&gt;=E$5,'制度詳細'!$J$15&lt;=EOMONTH(E$5,0)),"◆","")),IF(MAX('制度詳細'!$H$15,E$5)&lt;=MIN(IF('制度詳細'!$I$15="",EOMONTH(E$5,0),'制度詳細'!$I$15),EOMONTH(E$5,0)),"■",IF(AND('制度詳細'!$J$15&lt;&gt;"",'制度詳細'!$J$15&gt;=E$5,'制度詳細'!$J$15&lt;=EOMONTH(E$5,0)),"◆","")))</x:f>
      </x:c>
      <x:c r="F15" s="57" t="str">
        <x:f>IF('制度詳細'!$H$15="",IF('制度詳細'!$J$15="","",IF(AND('制度詳細'!$J$15&gt;=F$5,'制度詳細'!$J$15&lt;=EOMONTH(F$5,0)),"◆","")),IF(MAX('制度詳細'!$H$15,F$5)&lt;=MIN(IF('制度詳細'!$I$15="",EOMONTH(F$5,0),'制度詳細'!$I$15),EOMONTH(F$5,0)),"■",IF(AND('制度詳細'!$J$15&lt;&gt;"",'制度詳細'!$J$15&gt;=F$5,'制度詳細'!$J$15&lt;=EOMONTH(F$5,0)),"◆","")))</x:f>
      </x:c>
      <x:c r="G15" s="57" t="str">
        <x:f>IF('制度詳細'!$H$15="",IF('制度詳細'!$J$15="","",IF(AND('制度詳細'!$J$15&gt;=G$5,'制度詳細'!$J$15&lt;=EOMONTH(G$5,0)),"◆","")),IF(MAX('制度詳細'!$H$15,G$5)&lt;=MIN(IF('制度詳細'!$I$15="",EOMONTH(G$5,0),'制度詳細'!$I$15),EOMONTH(G$5,0)),"■",IF(AND('制度詳細'!$J$15&lt;&gt;"",'制度詳細'!$J$15&gt;=G$5,'制度詳細'!$J$15&lt;=EOMONTH(G$5,0)),"◆","")))</x:f>
      </x:c>
      <x:c r="H15" s="57" t="str">
        <x:f>IF('制度詳細'!$H$15="",IF('制度詳細'!$J$15="","",IF(AND('制度詳細'!$J$15&gt;=H$5,'制度詳細'!$J$15&lt;=EOMONTH(H$5,0)),"◆","")),IF(MAX('制度詳細'!$H$15,H$5)&lt;=MIN(IF('制度詳細'!$I$15="",EOMONTH(H$5,0),'制度詳細'!$I$15),EOMONTH(H$5,0)),"■",IF(AND('制度詳細'!$J$15&lt;&gt;"",'制度詳細'!$J$15&gt;=H$5,'制度詳細'!$J$15&lt;=EOMONTH(H$5,0)),"◆","")))</x:f>
      </x:c>
      <x:c r="I15" s="57" t="str">
        <x:f>IF('制度詳細'!$H$15="",IF('制度詳細'!$J$15="","",IF(AND('制度詳細'!$J$15&gt;=I$5,'制度詳細'!$J$15&lt;=EOMONTH(I$5,0)),"◆","")),IF(MAX('制度詳細'!$H$15,I$5)&lt;=MIN(IF('制度詳細'!$I$15="",EOMONTH(I$5,0),'制度詳細'!$I$15),EOMONTH(I$5,0)),"■",IF(AND('制度詳細'!$J$15&lt;&gt;"",'制度詳細'!$J$15&gt;=I$5,'制度詳細'!$J$15&lt;=EOMONTH(I$5,0)),"◆","")))</x:f>
      </x:c>
      <x:c r="J15" s="57" t="str">
        <x:f>IF('制度詳細'!$H$15="",IF('制度詳細'!$J$15="","",IF(AND('制度詳細'!$J$15&gt;=J$5,'制度詳細'!$J$15&lt;=EOMONTH(J$5,0)),"◆","")),IF(MAX('制度詳細'!$H$15,J$5)&lt;=MIN(IF('制度詳細'!$I$15="",EOMONTH(J$5,0),'制度詳細'!$I$15),EOMONTH(J$5,0)),"■",IF(AND('制度詳細'!$J$15&lt;&gt;"",'制度詳細'!$J$15&gt;=J$5,'制度詳細'!$J$15&lt;=EOMONTH(J$5,0)),"◆","")))</x:f>
      </x:c>
      <x:c r="K15" s="57" t="str">
        <x:f>IF('制度詳細'!$H$15="",IF('制度詳細'!$J$15="","",IF(AND('制度詳細'!$J$15&gt;=K$5,'制度詳細'!$J$15&lt;=EOMONTH(K$5,0)),"◆","")),IF(MAX('制度詳細'!$H$15,K$5)&lt;=MIN(IF('制度詳細'!$I$15="",EOMONTH(K$5,0),'制度詳細'!$I$15),EOMONTH(K$5,0)),"■",IF(AND('制度詳細'!$J$15&lt;&gt;"",'制度詳細'!$J$15&gt;=K$5,'制度詳細'!$J$15&lt;=EOMONTH(K$5,0)),"◆","")))</x:f>
      </x:c>
      <x:c r="L15" s="57" t="str">
        <x:f>IF('制度詳細'!$H$15="",IF('制度詳細'!$J$15="","",IF(AND('制度詳細'!$J$15&gt;=L$5,'制度詳細'!$J$15&lt;=EOMONTH(L$5,0)),"◆","")),IF(MAX('制度詳細'!$H$15,L$5)&lt;=MIN(IF('制度詳細'!$I$15="",EOMONTH(L$5,0),'制度詳細'!$I$15),EOMONTH(L$5,0)),"■",IF(AND('制度詳細'!$J$15&lt;&gt;"",'制度詳細'!$J$15&gt;=L$5,'制度詳細'!$J$15&lt;=EOMONTH(L$5,0)),"◆","")))</x:f>
      </x:c>
      <x:c r="M15" s="57" t="str">
        <x:f>IF('制度詳細'!$H$15="",IF('制度詳細'!$J$15="","",IF(AND('制度詳細'!$J$15&gt;=M$5,'制度詳細'!$J$15&lt;=EOMONTH(M$5,0)),"◆","")),IF(MAX('制度詳細'!$H$15,M$5)&lt;=MIN(IF('制度詳細'!$I$15="",EOMONTH(M$5,0),'制度詳細'!$I$15),EOMONTH(M$5,0)),"■",IF(AND('制度詳細'!$J$15&lt;&gt;"",'制度詳細'!$J$15&gt;=M$5,'制度詳細'!$J$15&lt;=EOMONTH(M$5,0)),"◆","")))</x:f>
      </x:c>
      <x:c r="N15" s="57" t="str">
        <x:f>IF('制度詳細'!$H$15="",IF('制度詳細'!$J$15="","",IF(AND('制度詳細'!$J$15&gt;=N$5,'制度詳細'!$J$15&lt;=EOMONTH(N$5,0)),"◆","")),IF(MAX('制度詳細'!$H$15,N$5)&lt;=MIN(IF('制度詳細'!$I$15="",EOMONTH(N$5,0),'制度詳細'!$I$15),EOMONTH(N$5,0)),"■",IF(AND('制度詳細'!$J$15&lt;&gt;"",'制度詳細'!$J$15&gt;=N$5,'制度詳細'!$J$15&lt;=EOMONTH(N$5,0)),"◆","")))</x:f>
      </x:c>
      <x:c r="O15" s="57" t="str">
        <x:f>IF('制度詳細'!$H$15="",IF('制度詳細'!$J$15="","",IF(AND('制度詳細'!$J$15&gt;=O$5,'制度詳細'!$J$15&lt;=EOMONTH(O$5,0)),"◆","")),IF(MAX('制度詳細'!$H$15,O$5)&lt;=MIN(IF('制度詳細'!$I$15="",EOMONTH(O$5,0),'制度詳細'!$I$15),EOMONTH(O$5,0)),"■",IF(AND('制度詳細'!$J$15&lt;&gt;"",'制度詳細'!$J$15&gt;=O$5,'制度詳細'!$J$15&lt;=EOMONTH(O$5,0)),"◆","")))</x:f>
      </x:c>
      <x:c r="P15" s="57" t="str">
        <x:f>IF('制度詳細'!$H$15="",IF('制度詳細'!$J$15="","",IF(AND('制度詳細'!$J$15&gt;=P$5,'制度詳細'!$J$15&lt;=EOMONTH(P$5,0)),"◆","")),IF(MAX('制度詳細'!$H$15,P$5)&lt;=MIN(IF('制度詳細'!$I$15="",EOMONTH(P$5,0),'制度詳細'!$I$15),EOMONTH(P$5,0)),"■",IF(AND('制度詳細'!$J$15&lt;&gt;"",'制度詳細'!$J$15&gt;=P$5,'制度詳細'!$J$15&lt;=EOMONTH(P$5,0)),"◆","")))</x:f>
      </x:c>
      <x:c r="Q15" s="57" t="str">
        <x:f>IF('制度詳細'!$H$15="",IF('制度詳細'!$J$15="","",IF(AND('制度詳細'!$J$15&gt;=Q$5,'制度詳細'!$J$15&lt;=EOMONTH(Q$5,0)),"◆","")),IF(MAX('制度詳細'!$H$15,Q$5)&lt;=MIN(IF('制度詳細'!$I$15="",EOMONTH(Q$5,0),'制度詳細'!$I$15),EOMONTH(Q$5,0)),"■",IF(AND('制度詳細'!$J$15&lt;&gt;"",'制度詳細'!$J$15&gt;=Q$5,'制度詳細'!$J$15&lt;=EOMONTH(Q$5,0)),"◆","")))</x:f>
      </x:c>
      <x:c r="R15" s="57" t="str">
        <x:f>IF('制度詳細'!$H$15="",IF('制度詳細'!$J$15="","",IF(AND('制度詳細'!$J$15&gt;=R$5,'制度詳細'!$J$15&lt;=EOMONTH(R$5,0)),"◆","")),IF(MAX('制度詳細'!$H$15,R$5)&lt;=MIN(IF('制度詳細'!$I$15="",EOMONTH(R$5,0),'制度詳細'!$I$15),EOMONTH(R$5,0)),"■",IF(AND('制度詳細'!$J$15&lt;&gt;"",'制度詳細'!$J$15&gt;=R$5,'制度詳細'!$J$15&lt;=EOMONTH(R$5,0)),"◆","")))</x:f>
      </x:c>
      <x:c r="S15" s="57" t="str">
        <x:f>IF('制度詳細'!$H$15="",IF('制度詳細'!$J$15="","",IF(AND('制度詳細'!$J$15&gt;=S$5,'制度詳細'!$J$15&lt;=EOMONTH(S$5,0)),"◆","")),IF(MAX('制度詳細'!$H$15,S$5)&lt;=MIN(IF('制度詳細'!$I$15="",EOMONTH(S$5,0),'制度詳細'!$I$15),EOMONTH(S$5,0)),"■",IF(AND('制度詳細'!$J$15&lt;&gt;"",'制度詳細'!$J$15&gt;=S$5,'制度詳細'!$J$15&lt;=EOMONTH(S$5,0)),"◆","")))</x:f>
      </x:c>
      <x:c r="T15" s="57" t="str">
        <x:f>IF('制度詳細'!$H$15="",IF('制度詳細'!$J$15="","",IF(AND('制度詳細'!$J$15&gt;=T$5,'制度詳細'!$J$15&lt;=EOMONTH(T$5,0)),"◆","")),IF(MAX('制度詳細'!$H$15,T$5)&lt;=MIN(IF('制度詳細'!$I$15="",EOMONTH(T$5,0),'制度詳細'!$I$15),EOMONTH(T$5,0)),"■",IF(AND('制度詳細'!$J$15&lt;&gt;"",'制度詳細'!$J$15&gt;=T$5,'制度詳細'!$J$15&lt;=EOMONTH(T$5,0)),"◆","")))</x:f>
      </x:c>
      <x:c r="U15" s="57" t="str">
        <x:f>IF('制度詳細'!$H$15="",IF('制度詳細'!$J$15="","",IF(AND('制度詳細'!$J$15&gt;=U$5,'制度詳細'!$J$15&lt;=EOMONTH(U$5,0)),"◆","")),IF(MAX('制度詳細'!$H$15,U$5)&lt;=MIN(IF('制度詳細'!$I$15="",EOMONTH(U$5,0),'制度詳細'!$I$15),EOMONTH(U$5,0)),"■",IF(AND('制度詳細'!$J$15&lt;&gt;"",'制度詳細'!$J$15&gt;=U$5,'制度詳細'!$J$15&lt;=EOMONTH(U$5,0)),"◆","")))</x:f>
      </x:c>
      <x:c r="V15" s="57" t="str">
        <x:f>IF('制度詳細'!$H$15="",IF('制度詳細'!$J$15="","",IF(AND('制度詳細'!$J$15&gt;=V$5,'制度詳細'!$J$15&lt;=EOMONTH(V$5,0)),"◆","")),IF(MAX('制度詳細'!$H$15,V$5)&lt;=MIN(IF('制度詳細'!$I$15="",EOMONTH(V$5,0),'制度詳細'!$I$15),EOMONTH(V$5,0)),"■",IF(AND('制度詳細'!$J$15&lt;&gt;"",'制度詳細'!$J$15&gt;=V$5,'制度詳細'!$J$15&lt;=EOMONTH(V$5,0)),"◆","")))</x:f>
      </x:c>
      <x:c r="W15" s="57" t="str">
        <x:f>IF('制度詳細'!$H$15="",IF('制度詳細'!$J$15="","",IF(AND('制度詳細'!$J$15&gt;=W$5,'制度詳細'!$J$15&lt;=EOMONTH(W$5,0)),"◆","")),IF(MAX('制度詳細'!$H$15,W$5)&lt;=MIN(IF('制度詳細'!$I$15="",EOMONTH(W$5,0),'制度詳細'!$I$15),EOMONTH(W$5,0)),"■",IF(AND('制度詳細'!$J$15&lt;&gt;"",'制度詳細'!$J$15&gt;=W$5,'制度詳細'!$J$15&lt;=EOMONTH(W$5,0)),"◆","")))</x:f>
      </x:c>
      <x:c r="X15" s="57" t="str">
        <x:f>IF('制度詳細'!$H$15="",IF('制度詳細'!$J$15="","",IF(AND('制度詳細'!$J$15&gt;=X$5,'制度詳細'!$J$15&lt;=EOMONTH(X$5,0)),"◆","")),IF(MAX('制度詳細'!$H$15,X$5)&lt;=MIN(IF('制度詳細'!$I$15="",EOMONTH(X$5,0),'制度詳細'!$I$15),EOMONTH(X$5,0)),"■",IF(AND('制度詳細'!$J$15&lt;&gt;"",'制度詳細'!$J$15&gt;=X$5,'制度詳細'!$J$15&lt;=EOMONTH(X$5,0)),"◆","")))</x:f>
      </x:c>
      <x:c r="Y15" s="57" t="str">
        <x:f>IF('制度詳細'!$H$15="",IF('制度詳細'!$J$15="","",IF(AND('制度詳細'!$J$15&gt;=Y$5,'制度詳細'!$J$15&lt;=EOMONTH(Y$5,0)),"◆","")),IF(MAX('制度詳細'!$H$15,Y$5)&lt;=MIN(IF('制度詳細'!$I$15="",EOMONTH(Y$5,0),'制度詳細'!$I$15),EOMONTH(Y$5,0)),"■",IF(AND('制度詳細'!$J$15&lt;&gt;"",'制度詳細'!$J$15&gt;=Y$5,'制度詳細'!$J$15&lt;=EOMONTH(Y$5,0)),"◆","")))</x:f>
      </x:c>
      <x:c r="Z15" s="57" t="str">
        <x:f>IF('制度詳細'!$H$15="",IF('制度詳細'!$J$15="","",IF(AND('制度詳細'!$J$15&gt;=Z$5,'制度詳細'!$J$15&lt;=EOMONTH(Z$5,0)),"◆","")),IF(MAX('制度詳細'!$H$15,Z$5)&lt;=MIN(IF('制度詳細'!$I$15="",EOMONTH(Z$5,0),'制度詳細'!$I$15),EOMONTH(Z$5,0)),"■",IF(AND('制度詳細'!$J$15&lt;&gt;"",'制度詳細'!$J$15&gt;=Z$5,'制度詳細'!$J$15&lt;=EOMONTH(Z$5,0)),"◆","")))</x:f>
      </x:c>
      <x:c r="AA15" s="57" t="str">
        <x:f>IF('制度詳細'!$H$15="",IF('制度詳細'!$J$15="","",IF(AND('制度詳細'!$J$15&gt;=AA$5,'制度詳細'!$J$15&lt;=EOMONTH(AA$5,0)),"◆","")),IF(MAX('制度詳細'!$H$15,AA$5)&lt;=MIN(IF('制度詳細'!$I$15="",EOMONTH(AA$5,0),'制度詳細'!$I$15),EOMONTH(AA$5,0)),"■",IF(AND('制度詳細'!$J$15&lt;&gt;"",'制度詳細'!$J$15&gt;=AA$5,'制度詳細'!$J$15&lt;=EOMONTH(AA$5,0)),"◆","")))</x:f>
      </x:c>
      <x:c r="AB15" s="57" t="str">
        <x:f>IF('制度詳細'!$H$15="",IF('制度詳細'!$J$15="","",IF(AND('制度詳細'!$J$15&gt;=AB$5,'制度詳細'!$J$15&lt;=EOMONTH(AB$5,0)),"◆","")),IF(MAX('制度詳細'!$H$15,AB$5)&lt;=MIN(IF('制度詳細'!$I$15="",EOMONTH(AB$5,0),'制度詳細'!$I$15),EOMONTH(AB$5,0)),"■",IF(AND('制度詳細'!$J$15&lt;&gt;"",'制度詳細'!$J$15&gt;=AB$5,'制度詳細'!$J$15&lt;=EOMONTH(AB$5,0)),"◆","")))</x:f>
      </x:c>
      <x:c r="AC15" s="57" t="str">
        <x:f>IF('制度詳細'!$H$15="",IF('制度詳細'!$J$15="","",IF(AND('制度詳細'!$J$15&gt;=AC$5,'制度詳細'!$J$15&lt;=EOMONTH(AC$5,0)),"◆","")),IF(MAX('制度詳細'!$H$15,AC$5)&lt;=MIN(IF('制度詳細'!$I$15="",EOMONTH(AC$5,0),'制度詳細'!$I$15),EOMONTH(AC$5,0)),"■",IF(AND('制度詳細'!$J$15&lt;&gt;"",'制度詳細'!$J$15&gt;=AC$5,'制度詳細'!$J$15&lt;=EOMONTH(AC$5,0)),"◆","")))</x:f>
      </x:c>
      <x:c r="AD15" s="57" t="str">
        <x:f>IF('制度詳細'!$H$15="",IF('制度詳細'!$J$15="","",IF(AND('制度詳細'!$J$15&gt;=AD$5,'制度詳細'!$J$15&lt;=EOMONTH(AD$5,0)),"◆","")),IF(MAX('制度詳細'!$H$15,AD$5)&lt;=MIN(IF('制度詳細'!$I$15="",EOMONTH(AD$5,0),'制度詳細'!$I$15),EOMONTH(AD$5,0)),"■",IF(AND('制度詳細'!$J$15&lt;&gt;"",'制度詳細'!$J$15&gt;=AD$5,'制度詳細'!$J$15&lt;=EOMONTH(AD$5,0)),"◆","")))</x:f>
      </x:c>
      <x:c r="AE15" s="57" t="str">
        <x:f>IF('制度詳細'!$H$15="",IF('制度詳細'!$J$15="","",IF(AND('制度詳細'!$J$15&gt;=AE$5,'制度詳細'!$J$15&lt;=EOMONTH(AE$5,0)),"◆","")),IF(MAX('制度詳細'!$H$15,AE$5)&lt;=MIN(IF('制度詳細'!$I$15="",EOMONTH(AE$5,0),'制度詳細'!$I$15),EOMONTH(AE$5,0)),"■",IF(AND('制度詳細'!$J$15&lt;&gt;"",'制度詳細'!$J$15&gt;=AE$5,'制度詳細'!$J$15&lt;=EOMONTH(AE$5,0)),"◆","")))</x:f>
      </x:c>
      <x:c r="AF15" s="57" t="str">
        <x:f>IF('制度詳細'!$H$15="",IF('制度詳細'!$J$15="","",IF(AND('制度詳細'!$J$15&gt;=AF$5,'制度詳細'!$J$15&lt;=EOMONTH(AF$5,0)),"◆","")),IF(MAX('制度詳細'!$H$15,AF$5)&lt;=MIN(IF('制度詳細'!$I$15="",EOMONTH(AF$5,0),'制度詳細'!$I$15),EOMONTH(AF$5,0)),"■",IF(AND('制度詳細'!$J$15&lt;&gt;"",'制度詳細'!$J$15&gt;=AF$5,'制度詳細'!$J$15&lt;=EOMONTH(AF$5,0)),"◆","")))</x:f>
      </x:c>
      <x:c r="AG15" s="57" t="str">
        <x:f>IF('制度詳細'!$H$15="",IF('制度詳細'!$J$15="","",IF(AND('制度詳細'!$J$15&gt;=AG$5,'制度詳細'!$J$15&lt;=EOMONTH(AG$5,0)),"◆","")),IF(MAX('制度詳細'!$H$15,AG$5)&lt;=MIN(IF('制度詳細'!$I$15="",EOMONTH(AG$5,0),'制度詳細'!$I$15),EOMONTH(AG$5,0)),"■",IF(AND('制度詳細'!$J$15&lt;&gt;"",'制度詳細'!$J$15&gt;=AG$5,'制度詳細'!$J$15&lt;=EOMONTH(AG$5,0)),"◆","")))</x:f>
      </x:c>
      <x:c r="AH15" s="57" t="str">
        <x:f>IF('制度詳細'!$H$15="",IF('制度詳細'!$J$15="","",IF(AND('制度詳細'!$J$15&gt;=AH$5,'制度詳細'!$J$15&lt;=EOMONTH(AH$5,0)),"◆","")),IF(MAX('制度詳細'!$H$15,AH$5)&lt;=MIN(IF('制度詳細'!$I$15="",EOMONTH(AH$5,0),'制度詳細'!$I$15),EOMONTH(AH$5,0)),"■",IF(AND('制度詳細'!$J$15&lt;&gt;"",'制度詳細'!$J$15&gt;=AH$5,'制度詳細'!$J$15&lt;=EOMONTH(AH$5,0)),"◆","")))</x:f>
      </x:c>
      <x:c r="AI15" s="57" t="str">
        <x:f>IF('制度詳細'!$H$15="",IF('制度詳細'!$J$15="","",IF(AND('制度詳細'!$J$15&gt;=AI$5,'制度詳細'!$J$15&lt;=EOMONTH(AI$5,0)),"◆","")),IF(MAX('制度詳細'!$H$15,AI$5)&lt;=MIN(IF('制度詳細'!$I$15="",EOMONTH(AI$5,0),'制度詳細'!$I$15),EOMONTH(AI$5,0)),"■",IF(AND('制度詳細'!$J$15&lt;&gt;"",'制度詳細'!$J$15&gt;=AI$5,'制度詳細'!$J$15&lt;=EOMONTH(AI$5,0)),"◆","")))</x:f>
      </x:c>
      <x:c r="AJ15" s="57" t="str">
        <x:f>IF('制度詳細'!$H$15="",IF('制度詳細'!$J$15="","",IF(AND('制度詳細'!$J$15&gt;=AJ$5,'制度詳細'!$J$15&lt;=EOMONTH(AJ$5,0)),"◆","")),IF(MAX('制度詳細'!$H$15,AJ$5)&lt;=MIN(IF('制度詳細'!$I$15="",EOMONTH(AJ$5,0),'制度詳細'!$I$15),EOMONTH(AJ$5,0)),"■",IF(AND('制度詳細'!$J$15&lt;&gt;"",'制度詳細'!$J$15&gt;=AJ$5,'制度詳細'!$J$15&lt;=EOMONTH(AJ$5,0)),"◆","")))</x:f>
      </x:c>
      <x:c r="AK15" s="57" t="str">
        <x:f>IF('制度詳細'!$H$15="",IF('制度詳細'!$J$15="","",IF(AND('制度詳細'!$J$15&gt;=AK$5,'制度詳細'!$J$15&lt;=EOMONTH(AK$5,0)),"◆","")),IF(MAX('制度詳細'!$H$15,AK$5)&lt;=MIN(IF('制度詳細'!$I$15="",EOMONTH(AK$5,0),'制度詳細'!$I$15),EOMONTH(AK$5,0)),"■",IF(AND('制度詳細'!$J$15&lt;&gt;"",'制度詳細'!$J$15&gt;=AK$5,'制度詳細'!$J$15&lt;=EOMONTH(AK$5,0)),"◆","")))</x:f>
      </x:c>
      <x:c r="AL15" s="57" t="str">
        <x:f>IF('制度詳細'!$H$15="",IF('制度詳細'!$J$15="","",IF(AND('制度詳細'!$J$15&gt;=AL$5,'制度詳細'!$J$15&lt;=EOMONTH(AL$5,0)),"◆","")),IF(MAX('制度詳細'!$H$15,AL$5)&lt;=MIN(IF('制度詳細'!$I$15="",EOMONTH(AL$5,0),'制度詳細'!$I$15),EOMONTH(AL$5,0)),"■",IF(AND('制度詳細'!$J$15&lt;&gt;"",'制度詳細'!$J$15&gt;=AL$5,'制度詳細'!$J$15&lt;=EOMONTH(AL$5,0)),"◆","")))</x:f>
      </x:c>
      <x:c r="AM15" s="57" t="str">
        <x:f>IF('制度詳細'!$H$15="",IF('制度詳細'!$J$15="","",IF(AND('制度詳細'!$J$15&gt;=AM$5,'制度詳細'!$J$15&lt;=EOMONTH(AM$5,0)),"◆","")),IF(MAX('制度詳細'!$H$15,AM$5)&lt;=MIN(IF('制度詳細'!$I$15="",EOMONTH(AM$5,0),'制度詳細'!$I$15),EOMONTH(AM$5,0)),"■",IF(AND('制度詳細'!$J$15&lt;&gt;"",'制度詳細'!$J$15&gt;=AM$5,'制度詳細'!$J$15&lt;=EOMONTH(AM$5,0)),"◆","")))</x:f>
      </x:c>
      <x:c r="AN15" s="57" t="str">
        <x:f>IF('制度詳細'!$H$15="",IF('制度詳細'!$J$15="","",IF(AND('制度詳細'!$J$15&gt;=AN$5,'制度詳細'!$J$15&lt;=EOMONTH(AN$5,0)),"◆","")),IF(MAX('制度詳細'!$H$15,AN$5)&lt;=MIN(IF('制度詳細'!$I$15="",EOMONTH(AN$5,0),'制度詳細'!$I$15),EOMONTH(AN$5,0)),"■",IF(AND('制度詳細'!$J$15&lt;&gt;"",'制度詳細'!$J$15&gt;=AN$5,'制度詳細'!$J$15&lt;=EOMONTH(AN$5,0)),"◆","")))</x:f>
      </x:c>
      <x:c r="AO15" s="57" t="str">
        <x:f>IF('制度詳細'!$H$15="",IF('制度詳細'!$J$15="","",IF(AND('制度詳細'!$J$15&gt;=AO$5,'制度詳細'!$J$15&lt;=EOMONTH(AO$5,0)),"◆","")),IF(MAX('制度詳細'!$H$15,AO$5)&lt;=MIN(IF('制度詳細'!$I$15="",EOMONTH(AO$5,0),'制度詳細'!$I$15),EOMONTH(AO$5,0)),"■",IF(AND('制度詳細'!$J$15&lt;&gt;"",'制度詳細'!$J$15&gt;=AO$5,'制度詳細'!$J$15&lt;=EOMONTH(AO$5,0)),"◆","")))</x:f>
      </x:c>
      <x:c r="AP15" s="57" t="str">
        <x:f>IF('制度詳細'!$H$15="",IF('制度詳細'!$J$15="","",IF(AND('制度詳細'!$J$15&gt;=AP$5,'制度詳細'!$J$15&lt;=EOMONTH(AP$5,0)),"◆","")),IF(MAX('制度詳細'!$H$15,AP$5)&lt;=MIN(IF('制度詳細'!$I$15="",EOMONTH(AP$5,0),'制度詳細'!$I$15),EOMONTH(AP$5,0)),"■",IF(AND('制度詳細'!$J$15&lt;&gt;"",'制度詳細'!$J$15&gt;=AP$5,'制度詳細'!$J$15&lt;=EOMONTH(AP$5,0)),"◆","")))</x:f>
      </x:c>
      <x:c r="AQ15" s="57" t="str">
        <x:f>IF('制度詳細'!$H$15="",IF('制度詳細'!$J$15="","",IF(AND('制度詳細'!$J$15&gt;=AQ$5,'制度詳細'!$J$15&lt;=EOMONTH(AQ$5,0)),"◆","")),IF(MAX('制度詳細'!$H$15,AQ$5)&lt;=MIN(IF('制度詳細'!$I$15="",EOMONTH(AQ$5,0),'制度詳細'!$I$15),EOMONTH(AQ$5,0)),"■",IF(AND('制度詳細'!$J$15&lt;&gt;"",'制度詳細'!$J$15&gt;=AQ$5,'制度詳細'!$J$15&lt;=EOMONTH(AQ$5,0)),"◆","")))</x:f>
      </x:c>
      <x:c r="AR15" s="57" t="str">
        <x:f>IF('制度詳細'!$H$15="",IF('制度詳細'!$J$15="","",IF(AND('制度詳細'!$J$15&gt;=AR$5,'制度詳細'!$J$15&lt;=EOMONTH(AR$5,0)),"◆","")),IF(MAX('制度詳細'!$H$15,AR$5)&lt;=MIN(IF('制度詳細'!$I$15="",EOMONTH(AR$5,0),'制度詳細'!$I$15),EOMONTH(AR$5,0)),"■",IF(AND('制度詳細'!$J$15&lt;&gt;"",'制度詳細'!$J$15&gt;=AR$5,'制度詳細'!$J$15&lt;=EOMONTH(AR$5,0)),"◆","")))</x:f>
        <x:v>■</x:v>
      </x:c>
      <x:c r="AS15" s="57" t="str">
        <x:f>IF('制度詳細'!$H$15="",IF('制度詳細'!$J$15="","",IF(AND('制度詳細'!$J$15&gt;=AS$5,'制度詳細'!$J$15&lt;=EOMONTH(AS$5,0)),"◆","")),IF(MAX('制度詳細'!$H$15,AS$5)&lt;=MIN(IF('制度詳細'!$I$15="",EOMONTH(AS$5,0),'制度詳細'!$I$15),EOMONTH(AS$5,0)),"■",IF(AND('制度詳細'!$J$15&lt;&gt;"",'制度詳細'!$J$15&gt;=AS$5,'制度詳細'!$J$15&lt;=EOMONTH(AS$5,0)),"◆","")))</x:f>
        <x:v>■</x:v>
      </x:c>
      <x:c r="AT15" s="57" t="str">
        <x:f>IF('制度詳細'!$H$15="",IF('制度詳細'!$J$15="","",IF(AND('制度詳細'!$J$15&gt;=AT$5,'制度詳細'!$J$15&lt;=EOMONTH(AT$5,0)),"◆","")),IF(MAX('制度詳細'!$H$15,AT$5)&lt;=MIN(IF('制度詳細'!$I$15="",EOMONTH(AT$5,0),'制度詳細'!$I$15),EOMONTH(AT$5,0)),"■",IF(AND('制度詳細'!$J$15&lt;&gt;"",'制度詳細'!$J$15&gt;=AT$5,'制度詳細'!$J$15&lt;=EOMONTH(AT$5,0)),"◆","")))</x:f>
        <x:v>■</x:v>
      </x:c>
      <x:c r="AU15" s="57" t="str">
        <x:f>IF('制度詳細'!$H$15="",IF('制度詳細'!$J$15="","",IF(AND('制度詳細'!$J$15&gt;=AU$5,'制度詳細'!$J$15&lt;=EOMONTH(AU$5,0)),"◆","")),IF(MAX('制度詳細'!$H$15,AU$5)&lt;=MIN(IF('制度詳細'!$I$15="",EOMONTH(AU$5,0),'制度詳細'!$I$15),EOMONTH(AU$5,0)),"■",IF(AND('制度詳細'!$J$15&lt;&gt;"",'制度詳細'!$J$15&gt;=AU$5,'制度詳細'!$J$15&lt;=EOMONTH(AU$5,0)),"◆","")))</x:f>
        <x:v>■</x:v>
      </x:c>
      <x:c r="AV15" s="57" t="str">
        <x:f>IF('制度詳細'!$H$15="",IF('制度詳細'!$J$15="","",IF(AND('制度詳細'!$J$15&gt;=AV$5,'制度詳細'!$J$15&lt;=EOMONTH(AV$5,0)),"◆","")),IF(MAX('制度詳細'!$H$15,AV$5)&lt;=MIN(IF('制度詳細'!$I$15="",EOMONTH(AV$5,0),'制度詳細'!$I$15),EOMONTH(AV$5,0)),"■",IF(AND('制度詳細'!$J$15&lt;&gt;"",'制度詳細'!$J$15&gt;=AV$5,'制度詳細'!$J$15&lt;=EOMONTH(AV$5,0)),"◆","")))</x:f>
        <x:v>■</x:v>
      </x:c>
      <x:c r="AW15" s="57" t="str">
        <x:f>IF('制度詳細'!$H$15="",IF('制度詳細'!$J$15="","",IF(AND('制度詳細'!$J$15&gt;=AW$5,'制度詳細'!$J$15&lt;=EOMONTH(AW$5,0)),"◆","")),IF(MAX('制度詳細'!$H$15,AW$5)&lt;=MIN(IF('制度詳細'!$I$15="",EOMONTH(AW$5,0),'制度詳細'!$I$15),EOMONTH(AW$5,0)),"■",IF(AND('制度詳細'!$J$15&lt;&gt;"",'制度詳細'!$J$15&gt;=AW$5,'制度詳細'!$J$15&lt;=EOMONTH(AW$5,0)),"◆","")))</x:f>
        <x:v>■</x:v>
      </x:c>
      <x:c r="AX15" s="57" t="str">
        <x:f>IF('制度詳細'!$H$15="",IF('制度詳細'!$J$15="","",IF(AND('制度詳細'!$J$15&gt;=AX$5,'制度詳細'!$J$15&lt;=EOMONTH(AX$5,0)),"◆","")),IF(MAX('制度詳細'!$H$15,AX$5)&lt;=MIN(IF('制度詳細'!$I$15="",EOMONTH(AX$5,0),'制度詳細'!$I$15),EOMONTH(AX$5,0)),"■",IF(AND('制度詳細'!$J$15&lt;&gt;"",'制度詳細'!$J$15&gt;=AX$5,'制度詳細'!$J$15&lt;=EOMONTH(AX$5,0)),"◆","")))</x:f>
        <x:v>■</x:v>
      </x:c>
      <x:c r="AY15" s="57" t="str">
        <x:f>IF('制度詳細'!$H$15="",IF('制度詳細'!$J$15="","",IF(AND('制度詳細'!$J$15&gt;=AY$5,'制度詳細'!$J$15&lt;=EOMONTH(AY$5,0)),"◆","")),IF(MAX('制度詳細'!$H$15,AY$5)&lt;=MIN(IF('制度詳細'!$I$15="",EOMONTH(AY$5,0),'制度詳細'!$I$15),EOMONTH(AY$5,0)),"■",IF(AND('制度詳細'!$J$15&lt;&gt;"",'制度詳細'!$J$15&gt;=AY$5,'制度詳細'!$J$15&lt;=EOMONTH(AY$5,0)),"◆","")))</x:f>
        <x:v>■</x:v>
      </x:c>
      <x:c r="AZ15" s="57" t="str">
        <x:f>IF('制度詳細'!$H$15="",IF('制度詳細'!$J$15="","",IF(AND('制度詳細'!$J$15&gt;=AZ$5,'制度詳細'!$J$15&lt;=EOMONTH(AZ$5,0)),"◆","")),IF(MAX('制度詳細'!$H$15,AZ$5)&lt;=MIN(IF('制度詳細'!$I$15="",EOMONTH(AZ$5,0),'制度詳細'!$I$15),EOMONTH(AZ$5,0)),"■",IF(AND('制度詳細'!$J$15&lt;&gt;"",'制度詳細'!$J$15&gt;=AZ$5,'制度詳細'!$J$15&lt;=EOMONTH(AZ$5,0)),"◆","")))</x:f>
        <x:v>■</x:v>
      </x:c>
      <x:c r="BA15" s="57" t="str">
        <x:f>IF('制度詳細'!$H$15="",IF('制度詳細'!$J$15="","",IF(AND('制度詳細'!$J$15&gt;=BA$5,'制度詳細'!$J$15&lt;=EOMONTH(BA$5,0)),"◆","")),IF(MAX('制度詳細'!$H$15,BA$5)&lt;=MIN(IF('制度詳細'!$I$15="",EOMONTH(BA$5,0),'制度詳細'!$I$15),EOMONTH(BA$5,0)),"■",IF(AND('制度詳細'!$J$15&lt;&gt;"",'制度詳細'!$J$15&gt;=BA$5,'制度詳細'!$J$15&lt;=EOMONTH(BA$5,0)),"◆","")))</x:f>
      </x:c>
      <x:c r="BB15" s="57" t="str">
        <x:f>IF('制度詳細'!$H$15="",IF('制度詳細'!$J$15="","",IF(AND('制度詳細'!$J$15&gt;=BB$5,'制度詳細'!$J$15&lt;=EOMONTH(BB$5,0)),"◆","")),IF(MAX('制度詳細'!$H$15,BB$5)&lt;=MIN(IF('制度詳細'!$I$15="",EOMONTH(BB$5,0),'制度詳細'!$I$15),EOMONTH(BB$5,0)),"■",IF(AND('制度詳細'!$J$15&lt;&gt;"",'制度詳細'!$J$15&gt;=BB$5,'制度詳細'!$J$15&lt;=EOMONTH(BB$5,0)),"◆","")))</x:f>
      </x:c>
      <x:c r="BC15" s="57" t="str">
        <x:f>IF('制度詳細'!$H$15="",IF('制度詳細'!$J$15="","",IF(AND('制度詳細'!$J$15&gt;=BC$5,'制度詳細'!$J$15&lt;=EOMONTH(BC$5,0)),"◆","")),IF(MAX('制度詳細'!$H$15,BC$5)&lt;=MIN(IF('制度詳細'!$I$15="",EOMONTH(BC$5,0),'制度詳細'!$I$15),EOMONTH(BC$5,0)),"■",IF(AND('制度詳細'!$J$15&lt;&gt;"",'制度詳細'!$J$15&gt;=BC$5,'制度詳細'!$J$15&lt;=EOMONTH(BC$5,0)),"◆","")))</x:f>
      </x:c>
      <x:c r="BD15" s="57" t="str">
        <x:f>IF('制度詳細'!$H$15="",IF('制度詳細'!$J$15="","",IF(AND('制度詳細'!$J$15&gt;=BD$5,'制度詳細'!$J$15&lt;=EOMONTH(BD$5,0)),"◆","")),IF(MAX('制度詳細'!$H$15,BD$5)&lt;=MIN(IF('制度詳細'!$I$15="",EOMONTH(BD$5,0),'制度詳細'!$I$15),EOMONTH(BD$5,0)),"■",IF(AND('制度詳細'!$J$15&lt;&gt;"",'制度詳細'!$J$15&gt;=BD$5,'制度詳細'!$J$15&lt;=EOMONTH(BD$5,0)),"◆","")))</x:f>
      </x:c>
      <x:c r="BE15" s="57" t="str">
        <x:f>IF('制度詳細'!$H$15="",IF('制度詳細'!$J$15="","",IF(AND('制度詳細'!$J$15&gt;=BE$5,'制度詳細'!$J$15&lt;=EOMONTH(BE$5,0)),"◆","")),IF(MAX('制度詳細'!$H$15,BE$5)&lt;=MIN(IF('制度詳細'!$I$15="",EOMONTH(BE$5,0),'制度詳細'!$I$15),EOMONTH(BE$5,0)),"■",IF(AND('制度詳細'!$J$15&lt;&gt;"",'制度詳細'!$J$15&gt;=BE$5,'制度詳細'!$J$15&lt;=EOMONTH(BE$5,0)),"◆","")))</x:f>
      </x:c>
      <x:c r="BF15" s="57" t="str">
        <x:f>IF('制度詳細'!$H$15="",IF('制度詳細'!$J$15="","",IF(AND('制度詳細'!$J$15&gt;=BF$5,'制度詳細'!$J$15&lt;=EOMONTH(BF$5,0)),"◆","")),IF(MAX('制度詳細'!$H$15,BF$5)&lt;=MIN(IF('制度詳細'!$I$15="",EOMONTH(BF$5,0),'制度詳細'!$I$15),EOMONTH(BF$5,0)),"■",IF(AND('制度詳細'!$J$15&lt;&gt;"",'制度詳細'!$J$15&gt;=BF$5,'制度詳細'!$J$15&lt;=EOMONTH(BF$5,0)),"◆","")))</x:f>
      </x:c>
      <x:c r="BG15" s="57" t="str">
        <x:f>IF('制度詳細'!$H$15="",IF('制度詳細'!$J$15="","",IF(AND('制度詳細'!$J$15&gt;=BG$5,'制度詳細'!$J$15&lt;=EOMONTH(BG$5,0)),"◆","")),IF(MAX('制度詳細'!$H$15,BG$5)&lt;=MIN(IF('制度詳細'!$I$15="",EOMONTH(BG$5,0),'制度詳細'!$I$15),EOMONTH(BG$5,0)),"■",IF(AND('制度詳細'!$J$15&lt;&gt;"",'制度詳細'!$J$15&gt;=BG$5,'制度詳細'!$J$15&lt;=EOMONTH(BG$5,0)),"◆","")))</x:f>
      </x:c>
      <x:c r="BH15" s="57" t="str">
        <x:f>IF('制度詳細'!$H$15="",IF('制度詳細'!$J$15="","",IF(AND('制度詳細'!$J$15&gt;=BH$5,'制度詳細'!$J$15&lt;=EOMONTH(BH$5,0)),"◆","")),IF(MAX('制度詳細'!$H$15,BH$5)&lt;=MIN(IF('制度詳細'!$I$15="",EOMONTH(BH$5,0),'制度詳細'!$I$15),EOMONTH(BH$5,0)),"■",IF(AND('制度詳細'!$J$15&lt;&gt;"",'制度詳細'!$J$15&gt;=BH$5,'制度詳細'!$J$15&lt;=EOMONTH(BH$5,0)),"◆","")))</x:f>
      </x:c>
      <x:c r="BI15" s="57" t="str">
        <x:f>IF('制度詳細'!$H$15="",IF('制度詳細'!$J$15="","",IF(AND('制度詳細'!$J$15&gt;=BI$5,'制度詳細'!$J$15&lt;=EOMONTH(BI$5,0)),"◆","")),IF(MAX('制度詳細'!$H$15,BI$5)&lt;=MIN(IF('制度詳細'!$I$15="",EOMONTH(BI$5,0),'制度詳細'!$I$15),EOMONTH(BI$5,0)),"■",IF(AND('制度詳細'!$J$15&lt;&gt;"",'制度詳細'!$J$15&gt;=BI$5,'制度詳細'!$J$15&lt;=EOMONTH(BI$5,0)),"◆","")))</x:f>
      </x:c>
      <x:c r="BJ15" s="57" t="str">
        <x:f>IF('制度詳細'!$H$15="",IF('制度詳細'!$J$15="","",IF(AND('制度詳細'!$J$15&gt;=BJ$5,'制度詳細'!$J$15&lt;=EOMONTH(BJ$5,0)),"◆","")),IF(MAX('制度詳細'!$H$15,BJ$5)&lt;=MIN(IF('制度詳細'!$I$15="",EOMONTH(BJ$5,0),'制度詳細'!$I$15),EOMONTH(BJ$5,0)),"■",IF(AND('制度詳細'!$J$15&lt;&gt;"",'制度詳細'!$J$15&gt;=BJ$5,'制度詳細'!$J$15&lt;=EOMONTH(BJ$5,0)),"◆","")))</x:f>
      </x:c>
      <x:c r="BK15" s="57" t="str">
        <x:f>IF('制度詳細'!$H$15="",IF('制度詳細'!$J$15="","",IF(AND('制度詳細'!$J$15&gt;=BK$5,'制度詳細'!$J$15&lt;=EOMONTH(BK$5,0)),"◆","")),IF(MAX('制度詳細'!$H$15,BK$5)&lt;=MIN(IF('制度詳細'!$I$15="",EOMONTH(BK$5,0),'制度詳細'!$I$15),EOMONTH(BK$5,0)),"■",IF(AND('制度詳細'!$J$15&lt;&gt;"",'制度詳細'!$J$15&gt;=BK$5,'制度詳細'!$J$15&lt;=EOMONTH(BK$5,0)),"◆","")))</x:f>
      </x:c>
      <x:c r="BL15" s="57" t="str">
        <x:f>IF('制度詳細'!$H$15="",IF('制度詳細'!$J$15="","",IF(AND('制度詳細'!$J$15&gt;=BL$5,'制度詳細'!$J$15&lt;=EOMONTH(BL$5,0)),"◆","")),IF(MAX('制度詳細'!$H$15,BL$5)&lt;=MIN(IF('制度詳細'!$I$15="",EOMONTH(BL$5,0),'制度詳細'!$I$15),EOMONTH(BL$5,0)),"■",IF(AND('制度詳細'!$J$15&lt;&gt;"",'制度詳細'!$J$15&gt;=BL$5,'制度詳細'!$J$15&lt;=EOMONTH(BL$5,0)),"◆","")))</x:f>
      </x:c>
      <x:c r="BM15" s="57" t="str">
        <x:f>IF('制度詳細'!$H$15="",IF('制度詳細'!$J$15="","",IF(AND('制度詳細'!$J$15&gt;=BM$5,'制度詳細'!$J$15&lt;=EOMONTH(BM$5,0)),"◆","")),IF(MAX('制度詳細'!$H$15,BM$5)&lt;=MIN(IF('制度詳細'!$I$15="",EOMONTH(BM$5,0),'制度詳細'!$I$15),EOMONTH(BM$5,0)),"■",IF(AND('制度詳細'!$J$15&lt;&gt;"",'制度詳細'!$J$15&gt;=BM$5,'制度詳細'!$J$15&lt;=EOMONTH(BM$5,0)),"◆","")))</x:f>
      </x:c>
      <x:c r="BN15" s="57" t="str">
        <x:f>IF('制度詳細'!$H$15="",IF('制度詳細'!$J$15="","",IF(AND('制度詳細'!$J$15&gt;=BN$5,'制度詳細'!$J$15&lt;=EOMONTH(BN$5,0)),"◆","")),IF(MAX('制度詳細'!$H$15,BN$5)&lt;=MIN(IF('制度詳細'!$I$15="",EOMONTH(BN$5,0),'制度詳細'!$I$15),EOMONTH(BN$5,0)),"■",IF(AND('制度詳細'!$J$15&lt;&gt;"",'制度詳細'!$J$15&gt;=BN$5,'制度詳細'!$J$15&lt;=EOMONTH(BN$5,0)),"◆","")))</x:f>
      </x:c>
      <x:c r="BO15" s="57" t="str">
        <x:f>IF('制度詳細'!$H$15="",IF('制度詳細'!$J$15="","",IF(AND('制度詳細'!$J$15&gt;=BO$5,'制度詳細'!$J$15&lt;=EOMONTH(BO$5,0)),"◆","")),IF(MAX('制度詳細'!$H$15,BO$5)&lt;=MIN(IF('制度詳細'!$I$15="",EOMONTH(BO$5,0),'制度詳細'!$I$15),EOMONTH(BO$5,0)),"■",IF(AND('制度詳細'!$J$15&lt;&gt;"",'制度詳細'!$J$15&gt;=BO$5,'制度詳細'!$J$15&lt;=EOMONTH(BO$5,0)),"◆","")))</x:f>
      </x:c>
      <x:c r="BP15" s="57" t="str">
        <x:f>IF('制度詳細'!$H$15="",IF('制度詳細'!$J$15="","",IF(AND('制度詳細'!$J$15&gt;=BP$5,'制度詳細'!$J$15&lt;=EOMONTH(BP$5,0)),"◆","")),IF(MAX('制度詳細'!$H$15,BP$5)&lt;=MIN(IF('制度詳細'!$I$15="",EOMONTH(BP$5,0),'制度詳細'!$I$15),EOMONTH(BP$5,0)),"■",IF(AND('制度詳細'!$J$15&lt;&gt;"",'制度詳細'!$J$15&gt;=BP$5,'制度詳細'!$J$15&lt;=EOMONTH(BP$5,0)),"◆","")))</x:f>
      </x:c>
      <x:c r="BQ15" s="57" t="str">
        <x:f>IF('制度詳細'!$H$15="",IF('制度詳細'!$J$15="","",IF(AND('制度詳細'!$J$15&gt;=BQ$5,'制度詳細'!$J$15&lt;=EOMONTH(BQ$5,0)),"◆","")),IF(MAX('制度詳細'!$H$15,BQ$5)&lt;=MIN(IF('制度詳細'!$I$15="",EOMONTH(BQ$5,0),'制度詳細'!$I$15),EOMONTH(BQ$5,0)),"■",IF(AND('制度詳細'!$J$15&lt;&gt;"",'制度詳細'!$J$15&gt;=BQ$5,'制度詳細'!$J$15&lt;=EOMONTH(BQ$5,0)),"◆","")))</x:f>
      </x:c>
      <x:c r="BR15" s="57" t="str">
        <x:f>IF('制度詳細'!$H$15="",IF('制度詳細'!$J$15="","",IF(AND('制度詳細'!$J$15&gt;=BR$5,'制度詳細'!$J$15&lt;=EOMONTH(BR$5,0)),"◆","")),IF(MAX('制度詳細'!$H$15,BR$5)&lt;=MIN(IF('制度詳細'!$I$15="",EOMONTH(BR$5,0),'制度詳細'!$I$15),EOMONTH(BR$5,0)),"■",IF(AND('制度詳細'!$J$15&lt;&gt;"",'制度詳細'!$J$15&gt;=BR$5,'制度詳細'!$J$15&lt;=EOMONTH(BR$5,0)),"◆","")))</x:f>
      </x:c>
      <x:c r="BS15" s="57" t="str">
        <x:f>IF('制度詳細'!$H$15="",IF('制度詳細'!$J$15="","",IF(AND('制度詳細'!$J$15&gt;=BS$5,'制度詳細'!$J$15&lt;=EOMONTH(BS$5,0)),"◆","")),IF(MAX('制度詳細'!$H$15,BS$5)&lt;=MIN(IF('制度詳細'!$I$15="",EOMONTH(BS$5,0),'制度詳細'!$I$15),EOMONTH(BS$5,0)),"■",IF(AND('制度詳細'!$J$15&lt;&gt;"",'制度詳細'!$J$15&gt;=BS$5,'制度詳細'!$J$15&lt;=EOMONTH(BS$5,0)),"◆","")))</x:f>
      </x:c>
      <x:c r="BT15" s="57" t="str">
        <x:f>IF('制度詳細'!$H$15="",IF('制度詳細'!$J$15="","",IF(AND('制度詳細'!$J$15&gt;=BT$5,'制度詳細'!$J$15&lt;=EOMONTH(BT$5,0)),"◆","")),IF(MAX('制度詳細'!$H$15,BT$5)&lt;=MIN(IF('制度詳細'!$I$15="",EOMONTH(BT$5,0),'制度詳細'!$I$15),EOMONTH(BT$5,0)),"■",IF(AND('制度詳細'!$J$15&lt;&gt;"",'制度詳細'!$J$15&gt;=BT$5,'制度詳細'!$J$15&lt;=EOMONTH(BT$5,0)),"◆","")))</x:f>
      </x:c>
      <x:c r="BU15" s="57" t="str">
        <x:f>IF('制度詳細'!$H$15="",IF('制度詳細'!$J$15="","",IF(AND('制度詳細'!$J$15&gt;=BU$5,'制度詳細'!$J$15&lt;=EOMONTH(BU$5,0)),"◆","")),IF(MAX('制度詳細'!$H$15,BU$5)&lt;=MIN(IF('制度詳細'!$I$15="",EOMONTH(BU$5,0),'制度詳細'!$I$15),EOMONTH(BU$5,0)),"■",IF(AND('制度詳細'!$J$15&lt;&gt;"",'制度詳細'!$J$15&gt;=BU$5,'制度詳細'!$J$15&lt;=EOMONTH(BU$5,0)),"◆","")))</x:f>
      </x:c>
      <x:c r="BV15" s="57" t="str">
        <x:f>IF('制度詳細'!$H$15="",IF('制度詳細'!$J$15="","",IF(AND('制度詳細'!$J$15&gt;=BV$5,'制度詳細'!$J$15&lt;=EOMONTH(BV$5,0)),"◆","")),IF(MAX('制度詳細'!$H$15,BV$5)&lt;=MIN(IF('制度詳細'!$I$15="",EOMONTH(BV$5,0),'制度詳細'!$I$15),EOMONTH(BV$5,0)),"■",IF(AND('制度詳細'!$J$15&lt;&gt;"",'制度詳細'!$J$15&gt;=BV$5,'制度詳細'!$J$15&lt;=EOMONTH(BV$5,0)),"◆","")))</x:f>
      </x:c>
      <x:c r="BW15" s="57" t="str">
        <x:f>IF('制度詳細'!$H$15="",IF('制度詳細'!$J$15="","",IF(AND('制度詳細'!$J$15&gt;=BW$5,'制度詳細'!$J$15&lt;=EOMONTH(BW$5,0)),"◆","")),IF(MAX('制度詳細'!$H$15,BW$5)&lt;=MIN(IF('制度詳細'!$I$15="",EOMONTH(BW$5,0),'制度詳細'!$I$15),EOMONTH(BW$5,0)),"■",IF(AND('制度詳細'!$J$15&lt;&gt;"",'制度詳細'!$J$15&gt;=BW$5,'制度詳細'!$J$15&lt;=EOMONTH(BW$5,0)),"◆","")))</x:f>
      </x:c>
      <x:c r="BX15" s="57" t="str">
        <x:f>IF('制度詳細'!$H$15="",IF('制度詳細'!$J$15="","",IF(AND('制度詳細'!$J$15&gt;=BX$5,'制度詳細'!$J$15&lt;=EOMONTH(BX$5,0)),"◆","")),IF(MAX('制度詳細'!$H$15,BX$5)&lt;=MIN(IF('制度詳細'!$I$15="",EOMONTH(BX$5,0),'制度詳細'!$I$15),EOMONTH(BX$5,0)),"■",IF(AND('制度詳細'!$J$15&lt;&gt;"",'制度詳細'!$J$15&gt;=BX$5,'制度詳細'!$J$15&lt;=EOMONTH(BX$5,0)),"◆","")))</x:f>
      </x:c>
      <x:c r="BY15" s="57" t="str">
        <x:f>IF('制度詳細'!$H$15="",IF('制度詳細'!$J$15="","",IF(AND('制度詳細'!$J$15&gt;=BY$5,'制度詳細'!$J$15&lt;=EOMONTH(BY$5,0)),"◆","")),IF(MAX('制度詳細'!$H$15,BY$5)&lt;=MIN(IF('制度詳細'!$I$15="",EOMONTH(BY$5,0),'制度詳細'!$I$15),EOMONTH(BY$5,0)),"■",IF(AND('制度詳細'!$J$15&lt;&gt;"",'制度詳細'!$J$15&gt;=BY$5,'制度詳細'!$J$15&lt;=EOMONTH(BY$5,0)),"◆","")))</x:f>
      </x:c>
      <x:c r="BZ15" s="57" t="str">
        <x:f>IF('制度詳細'!$H$15="",IF('制度詳細'!$J$15="","",IF(AND('制度詳細'!$J$15&gt;=BZ$5,'制度詳細'!$J$15&lt;=EOMONTH(BZ$5,0)),"◆","")),IF(MAX('制度詳細'!$H$15,BZ$5)&lt;=MIN(IF('制度詳細'!$I$15="",EOMONTH(BZ$5,0),'制度詳細'!$I$15),EOMONTH(BZ$5,0)),"■",IF(AND('制度詳細'!$J$15&lt;&gt;"",'制度詳細'!$J$15&gt;=BZ$5,'制度詳細'!$J$15&lt;=EOMONTH(BZ$5,0)),"◆","")))</x:f>
      </x:c>
      <x:c r="CA15" s="57" t="str">
        <x:f>IF('制度詳細'!$H$15="",IF('制度詳細'!$J$15="","",IF(AND('制度詳細'!$J$15&gt;=CA$5,'制度詳細'!$J$15&lt;=EOMONTH(CA$5,0)),"◆","")),IF(MAX('制度詳細'!$H$15,CA$5)&lt;=MIN(IF('制度詳細'!$I$15="",EOMONTH(CA$5,0),'制度詳細'!$I$15),EOMONTH(CA$5,0)),"■",IF(AND('制度詳細'!$J$15&lt;&gt;"",'制度詳細'!$J$15&gt;=CA$5,'制度詳細'!$J$15&lt;=EOMONTH(CA$5,0)),"◆","")))</x:f>
      </x:c>
      <x:c r="CB15" s="57" t="str">
        <x:f>IF('制度詳細'!$H$15="",IF('制度詳細'!$J$15="","",IF(AND('制度詳細'!$J$15&gt;=CB$5,'制度詳細'!$J$15&lt;=EOMONTH(CB$5,0)),"◆","")),IF(MAX('制度詳細'!$H$15,CB$5)&lt;=MIN(IF('制度詳細'!$I$15="",EOMONTH(CB$5,0),'制度詳細'!$I$15),EOMONTH(CB$5,0)),"■",IF(AND('制度詳細'!$J$15&lt;&gt;"",'制度詳細'!$J$15&gt;=CB$5,'制度詳細'!$J$15&lt;=EOMONTH(CB$5,0)),"◆","")))</x:f>
      </x:c>
      <x:c r="CC15" s="57" t="str">
        <x:f>IF('制度詳細'!$H$15="",IF('制度詳細'!$J$15="","",IF(AND('制度詳細'!$J$15&gt;=CC$5,'制度詳細'!$J$15&lt;=EOMONTH(CC$5,0)),"◆","")),IF(MAX('制度詳細'!$H$15,CC$5)&lt;=MIN(IF('制度詳細'!$I$15="",EOMONTH(CC$5,0),'制度詳細'!$I$15),EOMONTH(CC$5,0)),"■",IF(AND('制度詳細'!$J$15&lt;&gt;"",'制度詳細'!$J$15&gt;=CC$5,'制度詳細'!$J$15&lt;=EOMONTH(CC$5,0)),"◆","")))</x:f>
      </x:c>
      <x:c r="CD15" s="57" t="str">
        <x:f>IF('制度詳細'!$H$15="",IF('制度詳細'!$J$15="","",IF(AND('制度詳細'!$J$15&gt;=CD$5,'制度詳細'!$J$15&lt;=EOMONTH(CD$5,0)),"◆","")),IF(MAX('制度詳細'!$H$15,CD$5)&lt;=MIN(IF('制度詳細'!$I$15="",EOMONTH(CD$5,0),'制度詳細'!$I$15),EOMONTH(CD$5,0)),"■",IF(AND('制度詳細'!$J$15&lt;&gt;"",'制度詳細'!$J$15&gt;=CD$5,'制度詳細'!$J$15&lt;=EOMONTH(CD$5,0)),"◆","")))</x:f>
      </x:c>
      <x:c r="CE15" s="57" t="str">
        <x:f>IF('制度詳細'!$H$15="",IF('制度詳細'!$J$15="","",IF(AND('制度詳細'!$J$15&gt;=CE$5,'制度詳細'!$J$15&lt;=EOMONTH(CE$5,0)),"◆","")),IF(MAX('制度詳細'!$H$15,CE$5)&lt;=MIN(IF('制度詳細'!$I$15="",EOMONTH(CE$5,0),'制度詳細'!$I$15),EOMONTH(CE$5,0)),"■",IF(AND('制度詳細'!$J$15&lt;&gt;"",'制度詳細'!$J$15&gt;=CE$5,'制度詳細'!$J$15&lt;=EOMONTH(CE$5,0)),"◆","")))</x:f>
      </x:c>
      <x:c r="CF15" s="57" t="str">
        <x:f>IF('制度詳細'!$H$15="",IF('制度詳細'!$J$15="","",IF(AND('制度詳細'!$J$15&gt;=CF$5,'制度詳細'!$J$15&lt;=EOMONTH(CF$5,0)),"◆","")),IF(MAX('制度詳細'!$H$15,CF$5)&lt;=MIN(IF('制度詳細'!$I$15="",EOMONTH(CF$5,0),'制度詳細'!$I$15),EOMONTH(CF$5,0)),"■",IF(AND('制度詳細'!$J$15&lt;&gt;"",'制度詳細'!$J$15&gt;=CF$5,'制度詳細'!$J$15&lt;=EOMONTH(CF$5,0)),"◆","")))</x:f>
      </x:c>
      <x:c r="CG15" s="57" t="str">
        <x:f>IF('制度詳細'!$H$15="",IF('制度詳細'!$J$15="","",IF(AND('制度詳細'!$J$15&gt;=CG$5,'制度詳細'!$J$15&lt;=EOMONTH(CG$5,0)),"◆","")),IF(MAX('制度詳細'!$H$15,CG$5)&lt;=MIN(IF('制度詳細'!$I$15="",EOMONTH(CG$5,0),'制度詳細'!$I$15),EOMONTH(CG$5,0)),"■",IF(AND('制度詳細'!$J$15&lt;&gt;"",'制度詳細'!$J$15&gt;=CG$5,'制度詳細'!$J$15&lt;=EOMONTH(CG$5,0)),"◆","")))</x:f>
      </x:c>
      <x:c r="CH15" s="57" t="str">
        <x:f>IF('制度詳細'!$H$15="",IF('制度詳細'!$J$15="","",IF(AND('制度詳細'!$J$15&gt;=CH$5,'制度詳細'!$J$15&lt;=EOMONTH(CH$5,0)),"◆","")),IF(MAX('制度詳細'!$H$15,CH$5)&lt;=MIN(IF('制度詳細'!$I$15="",EOMONTH(CH$5,0),'制度詳細'!$I$15),EOMONTH(CH$5,0)),"■",IF(AND('制度詳細'!$J$15&lt;&gt;"",'制度詳細'!$J$15&gt;=CH$5,'制度詳細'!$J$15&lt;=EOMONTH(CH$5,0)),"◆","")))</x:f>
      </x:c>
      <x:c r="CI15" s="57" t="str">
        <x:f>IF('制度詳細'!$H$15="",IF('制度詳細'!$J$15="","",IF(AND('制度詳細'!$J$15&gt;=CI$5,'制度詳細'!$J$15&lt;=EOMONTH(CI$5,0)),"◆","")),IF(MAX('制度詳細'!$H$15,CI$5)&lt;=MIN(IF('制度詳細'!$I$15="",EOMONTH(CI$5,0),'制度詳細'!$I$15),EOMONTH(CI$5,0)),"■",IF(AND('制度詳細'!$J$15&lt;&gt;"",'制度詳細'!$J$15&gt;=CI$5,'制度詳細'!$J$15&lt;=EOMONTH(CI$5,0)),"◆","")))</x:f>
      </x:c>
      <x:c r="CJ15" s="57" t="str">
        <x:f>IF('制度詳細'!$H$15="",IF('制度詳細'!$J$15="","",IF(AND('制度詳細'!$J$15&gt;=CJ$5,'制度詳細'!$J$15&lt;=EOMONTH(CJ$5,0)),"◆","")),IF(MAX('制度詳細'!$H$15,CJ$5)&lt;=MIN(IF('制度詳細'!$I$15="",EOMONTH(CJ$5,0),'制度詳細'!$I$15),EOMONTH(CJ$5,0)),"■",IF(AND('制度詳細'!$J$15&lt;&gt;"",'制度詳細'!$J$15&gt;=CJ$5,'制度詳細'!$J$15&lt;=EOMONTH(CJ$5,0)),"◆","")))</x:f>
      </x:c>
      <x:c r="CK15" s="57" t="str">
        <x:f>IF('制度詳細'!$H$15="",IF('制度詳細'!$J$15="","",IF(AND('制度詳細'!$J$15&gt;=CK$5,'制度詳細'!$J$15&lt;=EOMONTH(CK$5,0)),"◆","")),IF(MAX('制度詳細'!$H$15,CK$5)&lt;=MIN(IF('制度詳細'!$I$15="",EOMONTH(CK$5,0),'制度詳細'!$I$15),EOMONTH(CK$5,0)),"■",IF(AND('制度詳細'!$J$15&lt;&gt;"",'制度詳細'!$J$15&gt;=CK$5,'制度詳細'!$J$15&lt;=EOMONTH(CK$5,0)),"◆","")))</x:f>
      </x:c>
      <x:c r="CL15" s="57" t="str">
        <x:f>IF('制度詳細'!$H$15="",IF('制度詳細'!$J$15="","",IF(AND('制度詳細'!$J$15&gt;=CL$5,'制度詳細'!$J$15&lt;=EOMONTH(CL$5,0)),"◆","")),IF(MAX('制度詳細'!$H$15,CL$5)&lt;=MIN(IF('制度詳細'!$I$15="",EOMONTH(CL$5,0),'制度詳細'!$I$15),EOMONTH(CL$5,0)),"■",IF(AND('制度詳細'!$J$15&lt;&gt;"",'制度詳細'!$J$15&gt;=CL$5,'制度詳細'!$J$15&lt;=EOMONTH(CL$5,0)),"◆","")))</x:f>
      </x:c>
      <x:c r="CM15" s="57" t="str">
        <x:f>IF('制度詳細'!$H$15="",IF('制度詳細'!$J$15="","",IF(AND('制度詳細'!$J$15&gt;=CM$5,'制度詳細'!$J$15&lt;=EOMONTH(CM$5,0)),"◆","")),IF(MAX('制度詳細'!$H$15,CM$5)&lt;=MIN(IF('制度詳細'!$I$15="",EOMONTH(CM$5,0),'制度詳細'!$I$15),EOMONTH(CM$5,0)),"■",IF(AND('制度詳細'!$J$15&lt;&gt;"",'制度詳細'!$J$15&gt;=CM$5,'制度詳細'!$J$15&lt;=EOMONTH(CM$5,0)),"◆","")))</x:f>
      </x:c>
      <x:c r="CN15" s="57" t="str">
        <x:f>IF('制度詳細'!$H$15="",IF('制度詳細'!$J$15="","",IF(AND('制度詳細'!$J$15&gt;=CN$5,'制度詳細'!$J$15&lt;=EOMONTH(CN$5,0)),"◆","")),IF(MAX('制度詳細'!$H$15,CN$5)&lt;=MIN(IF('制度詳細'!$I$15="",EOMONTH(CN$5,0),'制度詳細'!$I$15),EOMONTH(CN$5,0)),"■",IF(AND('制度詳細'!$J$15&lt;&gt;"",'制度詳細'!$J$15&gt;=CN$5,'制度詳細'!$J$15&lt;=EOMONTH(CN$5,0)),"◆","")))</x:f>
      </x:c>
      <x:c r="CO15" s="57" t="str">
        <x:f>IF('制度詳細'!$H$15="",IF('制度詳細'!$J$15="","",IF(AND('制度詳細'!$J$15&gt;=CO$5,'制度詳細'!$J$15&lt;=EOMONTH(CO$5,0)),"◆","")),IF(MAX('制度詳細'!$H$15,CO$5)&lt;=MIN(IF('制度詳細'!$I$15="",EOMONTH(CO$5,0),'制度詳細'!$I$15),EOMONTH(CO$5,0)),"■",IF(AND('制度詳細'!$J$15&lt;&gt;"",'制度詳細'!$J$15&gt;=CO$5,'制度詳細'!$J$15&lt;=EOMONTH(CO$5,0)),"◆","")))</x:f>
      </x:c>
      <x:c r="CP15" s="57" t="str">
        <x:f>IF('制度詳細'!$H$15="",IF('制度詳細'!$J$15="","",IF(AND('制度詳細'!$J$15&gt;=CP$5,'制度詳細'!$J$15&lt;=EOMONTH(CP$5,0)),"◆","")),IF(MAX('制度詳細'!$H$15,CP$5)&lt;=MIN(IF('制度詳細'!$I$15="",EOMONTH(CP$5,0),'制度詳細'!$I$15),EOMONTH(CP$5,0)),"■",IF(AND('制度詳細'!$J$15&lt;&gt;"",'制度詳細'!$J$15&gt;=CP$5,'制度詳細'!$J$15&lt;=EOMONTH(CP$5,0)),"◆","")))</x:f>
      </x:c>
      <x:c r="CQ15" s="57" t="str">
        <x:f>IF('制度詳細'!$H$15="",IF('制度詳細'!$J$15="","",IF(AND('制度詳細'!$J$15&gt;=CQ$5,'制度詳細'!$J$15&lt;=EOMONTH(CQ$5,0)),"◆","")),IF(MAX('制度詳細'!$H$15,CQ$5)&lt;=MIN(IF('制度詳細'!$I$15="",EOMONTH(CQ$5,0),'制度詳細'!$I$15),EOMONTH(CQ$5,0)),"■",IF(AND('制度詳細'!$J$15&lt;&gt;"",'制度詳細'!$J$15&gt;=CQ$5,'制度詳細'!$J$15&lt;=EOMONTH(CQ$5,0)),"◆","")))</x:f>
      </x:c>
      <x:c r="CR15" s="57" t="str">
        <x:f>IF('制度詳細'!$H$15="",IF('制度詳細'!$J$15="","",IF(AND('制度詳細'!$J$15&gt;=CR$5,'制度詳細'!$J$15&lt;=EOMONTH(CR$5,0)),"◆","")),IF(MAX('制度詳細'!$H$15,CR$5)&lt;=MIN(IF('制度詳細'!$I$15="",EOMONTH(CR$5,0),'制度詳細'!$I$15),EOMONTH(CR$5,0)),"■",IF(AND('制度詳細'!$J$15&lt;&gt;"",'制度詳細'!$J$15&gt;=CR$5,'制度詳細'!$J$15&lt;=EOMONTH(CR$5,0)),"◆","")))</x:f>
      </x:c>
      <x:c r="CS15" s="57" t="str">
        <x:f>IF('制度詳細'!$H$15="",IF('制度詳細'!$J$15="","",IF(AND('制度詳細'!$J$15&gt;=CS$5,'制度詳細'!$J$15&lt;=EOMONTH(CS$5,0)),"◆","")),IF(MAX('制度詳細'!$H$15,CS$5)&lt;=MIN(IF('制度詳細'!$I$15="",EOMONTH(CS$5,0),'制度詳細'!$I$15),EOMONTH(CS$5,0)),"■",IF(AND('制度詳細'!$J$15&lt;&gt;"",'制度詳細'!$J$15&gt;=CS$5,'制度詳細'!$J$15&lt;=EOMONTH(CS$5,0)),"◆","")))</x:f>
      </x:c>
      <x:c r="CT15" s="57" t="str">
        <x:f>IF('制度詳細'!$H$15="",IF('制度詳細'!$J$15="","",IF(AND('制度詳細'!$J$15&gt;=CT$5,'制度詳細'!$J$15&lt;=EOMONTH(CT$5,0)),"◆","")),IF(MAX('制度詳細'!$H$15,CT$5)&lt;=MIN(IF('制度詳細'!$I$15="",EOMONTH(CT$5,0),'制度詳細'!$I$15),EOMONTH(CT$5,0)),"■",IF(AND('制度詳細'!$J$15&lt;&gt;"",'制度詳細'!$J$15&gt;=CT$5,'制度詳細'!$J$15&lt;=EOMONTH(CT$5,0)),"◆","")))</x:f>
      </x:c>
      <x:c r="CU15" s="57" t="str">
        <x:f>IF('制度詳細'!$H$15="",IF('制度詳細'!$J$15="","",IF(AND('制度詳細'!$J$15&gt;=CU$5,'制度詳細'!$J$15&lt;=EOMONTH(CU$5,0)),"◆","")),IF(MAX('制度詳細'!$H$15,CU$5)&lt;=MIN(IF('制度詳細'!$I$15="",EOMONTH(CU$5,0),'制度詳細'!$I$15),EOMONTH(CU$5,0)),"■",IF(AND('制度詳細'!$J$15&lt;&gt;"",'制度詳細'!$J$15&gt;=CU$5,'制度詳細'!$J$15&lt;=EOMONTH(CU$5,0)),"◆","")))</x:f>
      </x:c>
      <x:c r="CV15" s="57" t="str">
        <x:f>IF('制度詳細'!$H$15="",IF('制度詳細'!$J$15="","",IF(AND('制度詳細'!$J$15&gt;=CV$5,'制度詳細'!$J$15&lt;=EOMONTH(CV$5,0)),"◆","")),IF(MAX('制度詳細'!$H$15,CV$5)&lt;=MIN(IF('制度詳細'!$I$15="",EOMONTH(CV$5,0),'制度詳細'!$I$15),EOMONTH(CV$5,0)),"■",IF(AND('制度詳細'!$J$15&lt;&gt;"",'制度詳細'!$J$15&gt;=CV$5,'制度詳細'!$J$15&lt;=EOMONTH(CV$5,0)),"◆","")))</x:f>
      </x:c>
      <x:c r="CW15" s="1"/>
      <x:c r="CX15" s="1"/>
      <x:c r="CY15" s="1"/>
      <x:c r="CZ15" s="1"/>
      <x:c r="DA15" s="1"/>
      <x:c r="DB15" s="1"/>
      <x:c r="DC15" s="1"/>
      <x:c r="DD15" s="1"/>
    </x:row>
    <x:row r="16" ht="27" customHeight="1">
      <x:c r="A16" s="53" t="str">
        <x:v>ID02</x:v>
      </x:c>
      <x:c r="B16" s="53" t="str">
        <x:v>インドネシア</x:v>
      </x:c>
      <x:c r="C16" s="53" t="str">
        <x:v>BEV：VAT政府負担2024</x:v>
      </x:c>
      <x:c r="D16" s="53" t="str">
        <x:v>BEV</x:v>
      </x:c>
      <x:c r="E16" s="57" t="str">
        <x:f>IF('制度詳細'!$H$16="",IF('制度詳細'!$J$16="","",IF(AND('制度詳細'!$J$16&gt;=E$5,'制度詳細'!$J$16&lt;=EOMONTH(E$5,0)),"◆","")),IF(MAX('制度詳細'!$H$16,E$5)&lt;=MIN(IF('制度詳細'!$I$16="",EOMONTH(E$5,0),'制度詳細'!$I$16),EOMONTH(E$5,0)),"■",IF(AND('制度詳細'!$J$16&lt;&gt;"",'制度詳細'!$J$16&gt;=E$5,'制度詳細'!$J$16&lt;=EOMONTH(E$5,0)),"◆","")))</x:f>
      </x:c>
      <x:c r="F16" s="57" t="str">
        <x:f>IF('制度詳細'!$H$16="",IF('制度詳細'!$J$16="","",IF(AND('制度詳細'!$J$16&gt;=F$5,'制度詳細'!$J$16&lt;=EOMONTH(F$5,0)),"◆","")),IF(MAX('制度詳細'!$H$16,F$5)&lt;=MIN(IF('制度詳細'!$I$16="",EOMONTH(F$5,0),'制度詳細'!$I$16),EOMONTH(F$5,0)),"■",IF(AND('制度詳細'!$J$16&lt;&gt;"",'制度詳細'!$J$16&gt;=F$5,'制度詳細'!$J$16&lt;=EOMONTH(F$5,0)),"◆","")))</x:f>
      </x:c>
      <x:c r="G16" s="57" t="str">
        <x:f>IF('制度詳細'!$H$16="",IF('制度詳細'!$J$16="","",IF(AND('制度詳細'!$J$16&gt;=G$5,'制度詳細'!$J$16&lt;=EOMONTH(G$5,0)),"◆","")),IF(MAX('制度詳細'!$H$16,G$5)&lt;=MIN(IF('制度詳細'!$I$16="",EOMONTH(G$5,0),'制度詳細'!$I$16),EOMONTH(G$5,0)),"■",IF(AND('制度詳細'!$J$16&lt;&gt;"",'制度詳細'!$J$16&gt;=G$5,'制度詳細'!$J$16&lt;=EOMONTH(G$5,0)),"◆","")))</x:f>
      </x:c>
      <x:c r="H16" s="57" t="str">
        <x:f>IF('制度詳細'!$H$16="",IF('制度詳細'!$J$16="","",IF(AND('制度詳細'!$J$16&gt;=H$5,'制度詳細'!$J$16&lt;=EOMONTH(H$5,0)),"◆","")),IF(MAX('制度詳細'!$H$16,H$5)&lt;=MIN(IF('制度詳細'!$I$16="",EOMONTH(H$5,0),'制度詳細'!$I$16),EOMONTH(H$5,0)),"■",IF(AND('制度詳細'!$J$16&lt;&gt;"",'制度詳細'!$J$16&gt;=H$5,'制度詳細'!$J$16&lt;=EOMONTH(H$5,0)),"◆","")))</x:f>
      </x:c>
      <x:c r="I16" s="57" t="str">
        <x:f>IF('制度詳細'!$H$16="",IF('制度詳細'!$J$16="","",IF(AND('制度詳細'!$J$16&gt;=I$5,'制度詳細'!$J$16&lt;=EOMONTH(I$5,0)),"◆","")),IF(MAX('制度詳細'!$H$16,I$5)&lt;=MIN(IF('制度詳細'!$I$16="",EOMONTH(I$5,0),'制度詳細'!$I$16),EOMONTH(I$5,0)),"■",IF(AND('制度詳細'!$J$16&lt;&gt;"",'制度詳細'!$J$16&gt;=I$5,'制度詳細'!$J$16&lt;=EOMONTH(I$5,0)),"◆","")))</x:f>
      </x:c>
      <x:c r="J16" s="57" t="str">
        <x:f>IF('制度詳細'!$H$16="",IF('制度詳細'!$J$16="","",IF(AND('制度詳細'!$J$16&gt;=J$5,'制度詳細'!$J$16&lt;=EOMONTH(J$5,0)),"◆","")),IF(MAX('制度詳細'!$H$16,J$5)&lt;=MIN(IF('制度詳細'!$I$16="",EOMONTH(J$5,0),'制度詳細'!$I$16),EOMONTH(J$5,0)),"■",IF(AND('制度詳細'!$J$16&lt;&gt;"",'制度詳細'!$J$16&gt;=J$5,'制度詳細'!$J$16&lt;=EOMONTH(J$5,0)),"◆","")))</x:f>
      </x:c>
      <x:c r="K16" s="57" t="str">
        <x:f>IF('制度詳細'!$H$16="",IF('制度詳細'!$J$16="","",IF(AND('制度詳細'!$J$16&gt;=K$5,'制度詳細'!$J$16&lt;=EOMONTH(K$5,0)),"◆","")),IF(MAX('制度詳細'!$H$16,K$5)&lt;=MIN(IF('制度詳細'!$I$16="",EOMONTH(K$5,0),'制度詳細'!$I$16),EOMONTH(K$5,0)),"■",IF(AND('制度詳細'!$J$16&lt;&gt;"",'制度詳細'!$J$16&gt;=K$5,'制度詳細'!$J$16&lt;=EOMONTH(K$5,0)),"◆","")))</x:f>
      </x:c>
      <x:c r="L16" s="57" t="str">
        <x:f>IF('制度詳細'!$H$16="",IF('制度詳細'!$J$16="","",IF(AND('制度詳細'!$J$16&gt;=L$5,'制度詳細'!$J$16&lt;=EOMONTH(L$5,0)),"◆","")),IF(MAX('制度詳細'!$H$16,L$5)&lt;=MIN(IF('制度詳細'!$I$16="",EOMONTH(L$5,0),'制度詳細'!$I$16),EOMONTH(L$5,0)),"■",IF(AND('制度詳細'!$J$16&lt;&gt;"",'制度詳細'!$J$16&gt;=L$5,'制度詳細'!$J$16&lt;=EOMONTH(L$5,0)),"◆","")))</x:f>
      </x:c>
      <x:c r="M16" s="57" t="str">
        <x:f>IF('制度詳細'!$H$16="",IF('制度詳細'!$J$16="","",IF(AND('制度詳細'!$J$16&gt;=M$5,'制度詳細'!$J$16&lt;=EOMONTH(M$5,0)),"◆","")),IF(MAX('制度詳細'!$H$16,M$5)&lt;=MIN(IF('制度詳細'!$I$16="",EOMONTH(M$5,0),'制度詳細'!$I$16),EOMONTH(M$5,0)),"■",IF(AND('制度詳細'!$J$16&lt;&gt;"",'制度詳細'!$J$16&gt;=M$5,'制度詳細'!$J$16&lt;=EOMONTH(M$5,0)),"◆","")))</x:f>
      </x:c>
      <x:c r="N16" s="57" t="str">
        <x:f>IF('制度詳細'!$H$16="",IF('制度詳細'!$J$16="","",IF(AND('制度詳細'!$J$16&gt;=N$5,'制度詳細'!$J$16&lt;=EOMONTH(N$5,0)),"◆","")),IF(MAX('制度詳細'!$H$16,N$5)&lt;=MIN(IF('制度詳細'!$I$16="",EOMONTH(N$5,0),'制度詳細'!$I$16),EOMONTH(N$5,0)),"■",IF(AND('制度詳細'!$J$16&lt;&gt;"",'制度詳細'!$J$16&gt;=N$5,'制度詳細'!$J$16&lt;=EOMONTH(N$5,0)),"◆","")))</x:f>
      </x:c>
      <x:c r="O16" s="57" t="str">
        <x:f>IF('制度詳細'!$H$16="",IF('制度詳細'!$J$16="","",IF(AND('制度詳細'!$J$16&gt;=O$5,'制度詳細'!$J$16&lt;=EOMONTH(O$5,0)),"◆","")),IF(MAX('制度詳細'!$H$16,O$5)&lt;=MIN(IF('制度詳細'!$I$16="",EOMONTH(O$5,0),'制度詳細'!$I$16),EOMONTH(O$5,0)),"■",IF(AND('制度詳細'!$J$16&lt;&gt;"",'制度詳細'!$J$16&gt;=O$5,'制度詳細'!$J$16&lt;=EOMONTH(O$5,0)),"◆","")))</x:f>
      </x:c>
      <x:c r="P16" s="57" t="str">
        <x:f>IF('制度詳細'!$H$16="",IF('制度詳細'!$J$16="","",IF(AND('制度詳細'!$J$16&gt;=P$5,'制度詳細'!$J$16&lt;=EOMONTH(P$5,0)),"◆","")),IF(MAX('制度詳細'!$H$16,P$5)&lt;=MIN(IF('制度詳細'!$I$16="",EOMONTH(P$5,0),'制度詳細'!$I$16),EOMONTH(P$5,0)),"■",IF(AND('制度詳細'!$J$16&lt;&gt;"",'制度詳細'!$J$16&gt;=P$5,'制度詳細'!$J$16&lt;=EOMONTH(P$5,0)),"◆","")))</x:f>
      </x:c>
      <x:c r="Q16" s="57" t="str">
        <x:f>IF('制度詳細'!$H$16="",IF('制度詳細'!$J$16="","",IF(AND('制度詳細'!$J$16&gt;=Q$5,'制度詳細'!$J$16&lt;=EOMONTH(Q$5,0)),"◆","")),IF(MAX('制度詳細'!$H$16,Q$5)&lt;=MIN(IF('制度詳細'!$I$16="",EOMONTH(Q$5,0),'制度詳細'!$I$16),EOMONTH(Q$5,0)),"■",IF(AND('制度詳細'!$J$16&lt;&gt;"",'制度詳細'!$J$16&gt;=Q$5,'制度詳細'!$J$16&lt;=EOMONTH(Q$5,0)),"◆","")))</x:f>
      </x:c>
      <x:c r="R16" s="57" t="str">
        <x:f>IF('制度詳細'!$H$16="",IF('制度詳細'!$J$16="","",IF(AND('制度詳細'!$J$16&gt;=R$5,'制度詳細'!$J$16&lt;=EOMONTH(R$5,0)),"◆","")),IF(MAX('制度詳細'!$H$16,R$5)&lt;=MIN(IF('制度詳細'!$I$16="",EOMONTH(R$5,0),'制度詳細'!$I$16),EOMONTH(R$5,0)),"■",IF(AND('制度詳細'!$J$16&lt;&gt;"",'制度詳細'!$J$16&gt;=R$5,'制度詳細'!$J$16&lt;=EOMONTH(R$5,0)),"◆","")))</x:f>
      </x:c>
      <x:c r="S16" s="57" t="str">
        <x:f>IF('制度詳細'!$H$16="",IF('制度詳細'!$J$16="","",IF(AND('制度詳細'!$J$16&gt;=S$5,'制度詳細'!$J$16&lt;=EOMONTH(S$5,0)),"◆","")),IF(MAX('制度詳細'!$H$16,S$5)&lt;=MIN(IF('制度詳細'!$I$16="",EOMONTH(S$5,0),'制度詳細'!$I$16),EOMONTH(S$5,0)),"■",IF(AND('制度詳細'!$J$16&lt;&gt;"",'制度詳細'!$J$16&gt;=S$5,'制度詳細'!$J$16&lt;=EOMONTH(S$5,0)),"◆","")))</x:f>
      </x:c>
      <x:c r="T16" s="57" t="str">
        <x:f>IF('制度詳細'!$H$16="",IF('制度詳細'!$J$16="","",IF(AND('制度詳細'!$J$16&gt;=T$5,'制度詳細'!$J$16&lt;=EOMONTH(T$5,0)),"◆","")),IF(MAX('制度詳細'!$H$16,T$5)&lt;=MIN(IF('制度詳細'!$I$16="",EOMONTH(T$5,0),'制度詳細'!$I$16),EOMONTH(T$5,0)),"■",IF(AND('制度詳細'!$J$16&lt;&gt;"",'制度詳細'!$J$16&gt;=T$5,'制度詳細'!$J$16&lt;=EOMONTH(T$5,0)),"◆","")))</x:f>
      </x:c>
      <x:c r="U16" s="57" t="str">
        <x:f>IF('制度詳細'!$H$16="",IF('制度詳細'!$J$16="","",IF(AND('制度詳細'!$J$16&gt;=U$5,'制度詳細'!$J$16&lt;=EOMONTH(U$5,0)),"◆","")),IF(MAX('制度詳細'!$H$16,U$5)&lt;=MIN(IF('制度詳細'!$I$16="",EOMONTH(U$5,0),'制度詳細'!$I$16),EOMONTH(U$5,0)),"■",IF(AND('制度詳細'!$J$16&lt;&gt;"",'制度詳細'!$J$16&gt;=U$5,'制度詳細'!$J$16&lt;=EOMONTH(U$5,0)),"◆","")))</x:f>
      </x:c>
      <x:c r="V16" s="57" t="str">
        <x:f>IF('制度詳細'!$H$16="",IF('制度詳細'!$J$16="","",IF(AND('制度詳細'!$J$16&gt;=V$5,'制度詳細'!$J$16&lt;=EOMONTH(V$5,0)),"◆","")),IF(MAX('制度詳細'!$H$16,V$5)&lt;=MIN(IF('制度詳細'!$I$16="",EOMONTH(V$5,0),'制度詳細'!$I$16),EOMONTH(V$5,0)),"■",IF(AND('制度詳細'!$J$16&lt;&gt;"",'制度詳細'!$J$16&gt;=V$5,'制度詳細'!$J$16&lt;=EOMONTH(V$5,0)),"◆","")))</x:f>
      </x:c>
      <x:c r="W16" s="57" t="str">
        <x:f>IF('制度詳細'!$H$16="",IF('制度詳細'!$J$16="","",IF(AND('制度詳細'!$J$16&gt;=W$5,'制度詳細'!$J$16&lt;=EOMONTH(W$5,0)),"◆","")),IF(MAX('制度詳細'!$H$16,W$5)&lt;=MIN(IF('制度詳細'!$I$16="",EOMONTH(W$5,0),'制度詳細'!$I$16),EOMONTH(W$5,0)),"■",IF(AND('制度詳細'!$J$16&lt;&gt;"",'制度詳細'!$J$16&gt;=W$5,'制度詳細'!$J$16&lt;=EOMONTH(W$5,0)),"◆","")))</x:f>
      </x:c>
      <x:c r="X16" s="57" t="str">
        <x:f>IF('制度詳細'!$H$16="",IF('制度詳細'!$J$16="","",IF(AND('制度詳細'!$J$16&gt;=X$5,'制度詳細'!$J$16&lt;=EOMONTH(X$5,0)),"◆","")),IF(MAX('制度詳細'!$H$16,X$5)&lt;=MIN(IF('制度詳細'!$I$16="",EOMONTH(X$5,0),'制度詳細'!$I$16),EOMONTH(X$5,0)),"■",IF(AND('制度詳細'!$J$16&lt;&gt;"",'制度詳細'!$J$16&gt;=X$5,'制度詳細'!$J$16&lt;=EOMONTH(X$5,0)),"◆","")))</x:f>
      </x:c>
      <x:c r="Y16" s="57" t="str">
        <x:f>IF('制度詳細'!$H$16="",IF('制度詳細'!$J$16="","",IF(AND('制度詳細'!$J$16&gt;=Y$5,'制度詳細'!$J$16&lt;=EOMONTH(Y$5,0)),"◆","")),IF(MAX('制度詳細'!$H$16,Y$5)&lt;=MIN(IF('制度詳細'!$I$16="",EOMONTH(Y$5,0),'制度詳細'!$I$16),EOMONTH(Y$5,0)),"■",IF(AND('制度詳細'!$J$16&lt;&gt;"",'制度詳細'!$J$16&gt;=Y$5,'制度詳細'!$J$16&lt;=EOMONTH(Y$5,0)),"◆","")))</x:f>
      </x:c>
      <x:c r="Z16" s="57" t="str">
        <x:f>IF('制度詳細'!$H$16="",IF('制度詳細'!$J$16="","",IF(AND('制度詳細'!$J$16&gt;=Z$5,'制度詳細'!$J$16&lt;=EOMONTH(Z$5,0)),"◆","")),IF(MAX('制度詳細'!$H$16,Z$5)&lt;=MIN(IF('制度詳細'!$I$16="",EOMONTH(Z$5,0),'制度詳細'!$I$16),EOMONTH(Z$5,0)),"■",IF(AND('制度詳細'!$J$16&lt;&gt;"",'制度詳細'!$J$16&gt;=Z$5,'制度詳細'!$J$16&lt;=EOMONTH(Z$5,0)),"◆","")))</x:f>
      </x:c>
      <x:c r="AA16" s="57" t="str">
        <x:f>IF('制度詳細'!$H$16="",IF('制度詳細'!$J$16="","",IF(AND('制度詳細'!$J$16&gt;=AA$5,'制度詳細'!$J$16&lt;=EOMONTH(AA$5,0)),"◆","")),IF(MAX('制度詳細'!$H$16,AA$5)&lt;=MIN(IF('制度詳細'!$I$16="",EOMONTH(AA$5,0),'制度詳細'!$I$16),EOMONTH(AA$5,0)),"■",IF(AND('制度詳細'!$J$16&lt;&gt;"",'制度詳細'!$J$16&gt;=AA$5,'制度詳細'!$J$16&lt;=EOMONTH(AA$5,0)),"◆","")))</x:f>
      </x:c>
      <x:c r="AB16" s="57" t="str">
        <x:f>IF('制度詳細'!$H$16="",IF('制度詳細'!$J$16="","",IF(AND('制度詳細'!$J$16&gt;=AB$5,'制度詳細'!$J$16&lt;=EOMONTH(AB$5,0)),"◆","")),IF(MAX('制度詳細'!$H$16,AB$5)&lt;=MIN(IF('制度詳細'!$I$16="",EOMONTH(AB$5,0),'制度詳細'!$I$16),EOMONTH(AB$5,0)),"■",IF(AND('制度詳細'!$J$16&lt;&gt;"",'制度詳細'!$J$16&gt;=AB$5,'制度詳細'!$J$16&lt;=EOMONTH(AB$5,0)),"◆","")))</x:f>
      </x:c>
      <x:c r="AC16" s="57" t="str">
        <x:f>IF('制度詳細'!$H$16="",IF('制度詳細'!$J$16="","",IF(AND('制度詳細'!$J$16&gt;=AC$5,'制度詳細'!$J$16&lt;=EOMONTH(AC$5,0)),"◆","")),IF(MAX('制度詳細'!$H$16,AC$5)&lt;=MIN(IF('制度詳細'!$I$16="",EOMONTH(AC$5,0),'制度詳細'!$I$16),EOMONTH(AC$5,0)),"■",IF(AND('制度詳細'!$J$16&lt;&gt;"",'制度詳細'!$J$16&gt;=AC$5,'制度詳細'!$J$16&lt;=EOMONTH(AC$5,0)),"◆","")))</x:f>
      </x:c>
      <x:c r="AD16" s="57" t="str">
        <x:f>IF('制度詳細'!$H$16="",IF('制度詳細'!$J$16="","",IF(AND('制度詳細'!$J$16&gt;=AD$5,'制度詳細'!$J$16&lt;=EOMONTH(AD$5,0)),"◆","")),IF(MAX('制度詳細'!$H$16,AD$5)&lt;=MIN(IF('制度詳細'!$I$16="",EOMONTH(AD$5,0),'制度詳細'!$I$16),EOMONTH(AD$5,0)),"■",IF(AND('制度詳細'!$J$16&lt;&gt;"",'制度詳細'!$J$16&gt;=AD$5,'制度詳細'!$J$16&lt;=EOMONTH(AD$5,0)),"◆","")))</x:f>
      </x:c>
      <x:c r="AE16" s="57" t="str">
        <x:f>IF('制度詳細'!$H$16="",IF('制度詳細'!$J$16="","",IF(AND('制度詳細'!$J$16&gt;=AE$5,'制度詳細'!$J$16&lt;=EOMONTH(AE$5,0)),"◆","")),IF(MAX('制度詳細'!$H$16,AE$5)&lt;=MIN(IF('制度詳細'!$I$16="",EOMONTH(AE$5,0),'制度詳細'!$I$16),EOMONTH(AE$5,0)),"■",IF(AND('制度詳細'!$J$16&lt;&gt;"",'制度詳細'!$J$16&gt;=AE$5,'制度詳細'!$J$16&lt;=EOMONTH(AE$5,0)),"◆","")))</x:f>
      </x:c>
      <x:c r="AF16" s="57" t="str">
        <x:f>IF('制度詳細'!$H$16="",IF('制度詳細'!$J$16="","",IF(AND('制度詳細'!$J$16&gt;=AF$5,'制度詳細'!$J$16&lt;=EOMONTH(AF$5,0)),"◆","")),IF(MAX('制度詳細'!$H$16,AF$5)&lt;=MIN(IF('制度詳細'!$I$16="",EOMONTH(AF$5,0),'制度詳細'!$I$16),EOMONTH(AF$5,0)),"■",IF(AND('制度詳細'!$J$16&lt;&gt;"",'制度詳細'!$J$16&gt;=AF$5,'制度詳細'!$J$16&lt;=EOMONTH(AF$5,0)),"◆","")))</x:f>
      </x:c>
      <x:c r="AG16" s="57" t="str">
        <x:f>IF('制度詳細'!$H$16="",IF('制度詳細'!$J$16="","",IF(AND('制度詳細'!$J$16&gt;=AG$5,'制度詳細'!$J$16&lt;=EOMONTH(AG$5,0)),"◆","")),IF(MAX('制度詳細'!$H$16,AG$5)&lt;=MIN(IF('制度詳細'!$I$16="",EOMONTH(AG$5,0),'制度詳細'!$I$16),EOMONTH(AG$5,0)),"■",IF(AND('制度詳細'!$J$16&lt;&gt;"",'制度詳細'!$J$16&gt;=AG$5,'制度詳細'!$J$16&lt;=EOMONTH(AG$5,0)),"◆","")))</x:f>
      </x:c>
      <x:c r="AH16" s="57" t="str">
        <x:f>IF('制度詳細'!$H$16="",IF('制度詳細'!$J$16="","",IF(AND('制度詳細'!$J$16&gt;=AH$5,'制度詳細'!$J$16&lt;=EOMONTH(AH$5,0)),"◆","")),IF(MAX('制度詳細'!$H$16,AH$5)&lt;=MIN(IF('制度詳細'!$I$16="",EOMONTH(AH$5,0),'制度詳細'!$I$16),EOMONTH(AH$5,0)),"■",IF(AND('制度詳細'!$J$16&lt;&gt;"",'制度詳細'!$J$16&gt;=AH$5,'制度詳細'!$J$16&lt;=EOMONTH(AH$5,0)),"◆","")))</x:f>
      </x:c>
      <x:c r="AI16" s="57" t="str">
        <x:f>IF('制度詳細'!$H$16="",IF('制度詳細'!$J$16="","",IF(AND('制度詳細'!$J$16&gt;=AI$5,'制度詳細'!$J$16&lt;=EOMONTH(AI$5,0)),"◆","")),IF(MAX('制度詳細'!$H$16,AI$5)&lt;=MIN(IF('制度詳細'!$I$16="",EOMONTH(AI$5,0),'制度詳細'!$I$16),EOMONTH(AI$5,0)),"■",IF(AND('制度詳細'!$J$16&lt;&gt;"",'制度詳細'!$J$16&gt;=AI$5,'制度詳細'!$J$16&lt;=EOMONTH(AI$5,0)),"◆","")))</x:f>
      </x:c>
      <x:c r="AJ16" s="57" t="str">
        <x:f>IF('制度詳細'!$H$16="",IF('制度詳細'!$J$16="","",IF(AND('制度詳細'!$J$16&gt;=AJ$5,'制度詳細'!$J$16&lt;=EOMONTH(AJ$5,0)),"◆","")),IF(MAX('制度詳細'!$H$16,AJ$5)&lt;=MIN(IF('制度詳細'!$I$16="",EOMONTH(AJ$5,0),'制度詳細'!$I$16),EOMONTH(AJ$5,0)),"■",IF(AND('制度詳細'!$J$16&lt;&gt;"",'制度詳細'!$J$16&gt;=AJ$5,'制度詳細'!$J$16&lt;=EOMONTH(AJ$5,0)),"◆","")))</x:f>
      </x:c>
      <x:c r="AK16" s="57" t="str">
        <x:f>IF('制度詳細'!$H$16="",IF('制度詳細'!$J$16="","",IF(AND('制度詳細'!$J$16&gt;=AK$5,'制度詳細'!$J$16&lt;=EOMONTH(AK$5,0)),"◆","")),IF(MAX('制度詳細'!$H$16,AK$5)&lt;=MIN(IF('制度詳細'!$I$16="",EOMONTH(AK$5,0),'制度詳細'!$I$16),EOMONTH(AK$5,0)),"■",IF(AND('制度詳細'!$J$16&lt;&gt;"",'制度詳細'!$J$16&gt;=AK$5,'制度詳細'!$J$16&lt;=EOMONTH(AK$5,0)),"◆","")))</x:f>
      </x:c>
      <x:c r="AL16" s="57" t="str">
        <x:f>IF('制度詳細'!$H$16="",IF('制度詳細'!$J$16="","",IF(AND('制度詳細'!$J$16&gt;=AL$5,'制度詳細'!$J$16&lt;=EOMONTH(AL$5,0)),"◆","")),IF(MAX('制度詳細'!$H$16,AL$5)&lt;=MIN(IF('制度詳細'!$I$16="",EOMONTH(AL$5,0),'制度詳細'!$I$16),EOMONTH(AL$5,0)),"■",IF(AND('制度詳細'!$J$16&lt;&gt;"",'制度詳細'!$J$16&gt;=AL$5,'制度詳細'!$J$16&lt;=EOMONTH(AL$5,0)),"◆","")))</x:f>
      </x:c>
      <x:c r="AM16" s="57" t="str">
        <x:f>IF('制度詳細'!$H$16="",IF('制度詳細'!$J$16="","",IF(AND('制度詳細'!$J$16&gt;=AM$5,'制度詳細'!$J$16&lt;=EOMONTH(AM$5,0)),"◆","")),IF(MAX('制度詳細'!$H$16,AM$5)&lt;=MIN(IF('制度詳細'!$I$16="",EOMONTH(AM$5,0),'制度詳細'!$I$16),EOMONTH(AM$5,0)),"■",IF(AND('制度詳細'!$J$16&lt;&gt;"",'制度詳細'!$J$16&gt;=AM$5,'制度詳細'!$J$16&lt;=EOMONTH(AM$5,0)),"◆","")))</x:f>
      </x:c>
      <x:c r="AN16" s="57" t="str">
        <x:f>IF('制度詳細'!$H$16="",IF('制度詳細'!$J$16="","",IF(AND('制度詳細'!$J$16&gt;=AN$5,'制度詳細'!$J$16&lt;=EOMONTH(AN$5,0)),"◆","")),IF(MAX('制度詳細'!$H$16,AN$5)&lt;=MIN(IF('制度詳細'!$I$16="",EOMONTH(AN$5,0),'制度詳細'!$I$16),EOMONTH(AN$5,0)),"■",IF(AND('制度詳細'!$J$16&lt;&gt;"",'制度詳細'!$J$16&gt;=AN$5,'制度詳細'!$J$16&lt;=EOMONTH(AN$5,0)),"◆","")))</x:f>
      </x:c>
      <x:c r="AO16" s="57" t="str">
        <x:f>IF('制度詳細'!$H$16="",IF('制度詳細'!$J$16="","",IF(AND('制度詳細'!$J$16&gt;=AO$5,'制度詳細'!$J$16&lt;=EOMONTH(AO$5,0)),"◆","")),IF(MAX('制度詳細'!$H$16,AO$5)&lt;=MIN(IF('制度詳細'!$I$16="",EOMONTH(AO$5,0),'制度詳細'!$I$16),EOMONTH(AO$5,0)),"■",IF(AND('制度詳細'!$J$16&lt;&gt;"",'制度詳細'!$J$16&gt;=AO$5,'制度詳細'!$J$16&lt;=EOMONTH(AO$5,0)),"◆","")))</x:f>
      </x:c>
      <x:c r="AP16" s="57" t="str">
        <x:f>IF('制度詳細'!$H$16="",IF('制度詳細'!$J$16="","",IF(AND('制度詳細'!$J$16&gt;=AP$5,'制度詳細'!$J$16&lt;=EOMONTH(AP$5,0)),"◆","")),IF(MAX('制度詳細'!$H$16,AP$5)&lt;=MIN(IF('制度詳細'!$I$16="",EOMONTH(AP$5,0),'制度詳細'!$I$16),EOMONTH(AP$5,0)),"■",IF(AND('制度詳細'!$J$16&lt;&gt;"",'制度詳細'!$J$16&gt;=AP$5,'制度詳細'!$J$16&lt;=EOMONTH(AP$5,0)),"◆","")))</x:f>
      </x:c>
      <x:c r="AQ16" s="57" t="str">
        <x:f>IF('制度詳細'!$H$16="",IF('制度詳細'!$J$16="","",IF(AND('制度詳細'!$J$16&gt;=AQ$5,'制度詳細'!$J$16&lt;=EOMONTH(AQ$5,0)),"◆","")),IF(MAX('制度詳細'!$H$16,AQ$5)&lt;=MIN(IF('制度詳細'!$I$16="",EOMONTH(AQ$5,0),'制度詳細'!$I$16),EOMONTH(AQ$5,0)),"■",IF(AND('制度詳細'!$J$16&lt;&gt;"",'制度詳細'!$J$16&gt;=AQ$5,'制度詳細'!$J$16&lt;=EOMONTH(AQ$5,0)),"◆","")))</x:f>
      </x:c>
      <x:c r="AR16" s="57" t="str">
        <x:f>IF('制度詳細'!$H$16="",IF('制度詳細'!$J$16="","",IF(AND('制度詳細'!$J$16&gt;=AR$5,'制度詳細'!$J$16&lt;=EOMONTH(AR$5,0)),"◆","")),IF(MAX('制度詳細'!$H$16,AR$5)&lt;=MIN(IF('制度詳細'!$I$16="",EOMONTH(AR$5,0),'制度詳細'!$I$16),EOMONTH(AR$5,0)),"■",IF(AND('制度詳細'!$J$16&lt;&gt;"",'制度詳細'!$J$16&gt;=AR$5,'制度詳細'!$J$16&lt;=EOMONTH(AR$5,0)),"◆","")))</x:f>
      </x:c>
      <x:c r="AS16" s="57" t="str">
        <x:f>IF('制度詳細'!$H$16="",IF('制度詳細'!$J$16="","",IF(AND('制度詳細'!$J$16&gt;=AS$5,'制度詳細'!$J$16&lt;=EOMONTH(AS$5,0)),"◆","")),IF(MAX('制度詳細'!$H$16,AS$5)&lt;=MIN(IF('制度詳細'!$I$16="",EOMONTH(AS$5,0),'制度詳細'!$I$16),EOMONTH(AS$5,0)),"■",IF(AND('制度詳細'!$J$16&lt;&gt;"",'制度詳細'!$J$16&gt;=AS$5,'制度詳細'!$J$16&lt;=EOMONTH(AS$5,0)),"◆","")))</x:f>
      </x:c>
      <x:c r="AT16" s="57" t="str">
        <x:f>IF('制度詳細'!$H$16="",IF('制度詳細'!$J$16="","",IF(AND('制度詳細'!$J$16&gt;=AT$5,'制度詳細'!$J$16&lt;=EOMONTH(AT$5,0)),"◆","")),IF(MAX('制度詳細'!$H$16,AT$5)&lt;=MIN(IF('制度詳細'!$I$16="",EOMONTH(AT$5,0),'制度詳細'!$I$16),EOMONTH(AT$5,0)),"■",IF(AND('制度詳細'!$J$16&lt;&gt;"",'制度詳細'!$J$16&gt;=AT$5,'制度詳細'!$J$16&lt;=EOMONTH(AT$5,0)),"◆","")))</x:f>
      </x:c>
      <x:c r="AU16" s="57" t="str">
        <x:f>IF('制度詳細'!$H$16="",IF('制度詳細'!$J$16="","",IF(AND('制度詳細'!$J$16&gt;=AU$5,'制度詳細'!$J$16&lt;=EOMONTH(AU$5,0)),"◆","")),IF(MAX('制度詳細'!$H$16,AU$5)&lt;=MIN(IF('制度詳細'!$I$16="",EOMONTH(AU$5,0),'制度詳細'!$I$16),EOMONTH(AU$5,0)),"■",IF(AND('制度詳細'!$J$16&lt;&gt;"",'制度詳細'!$J$16&gt;=AU$5,'制度詳細'!$J$16&lt;=EOMONTH(AU$5,0)),"◆","")))</x:f>
      </x:c>
      <x:c r="AV16" s="57" t="str">
        <x:f>IF('制度詳細'!$H$16="",IF('制度詳細'!$J$16="","",IF(AND('制度詳細'!$J$16&gt;=AV$5,'制度詳細'!$J$16&lt;=EOMONTH(AV$5,0)),"◆","")),IF(MAX('制度詳細'!$H$16,AV$5)&lt;=MIN(IF('制度詳細'!$I$16="",EOMONTH(AV$5,0),'制度詳細'!$I$16),EOMONTH(AV$5,0)),"■",IF(AND('制度詳細'!$J$16&lt;&gt;"",'制度詳細'!$J$16&gt;=AV$5,'制度詳細'!$J$16&lt;=EOMONTH(AV$5,0)),"◆","")))</x:f>
      </x:c>
      <x:c r="AW16" s="57" t="str">
        <x:f>IF('制度詳細'!$H$16="",IF('制度詳細'!$J$16="","",IF(AND('制度詳細'!$J$16&gt;=AW$5,'制度詳細'!$J$16&lt;=EOMONTH(AW$5,0)),"◆","")),IF(MAX('制度詳細'!$H$16,AW$5)&lt;=MIN(IF('制度詳細'!$I$16="",EOMONTH(AW$5,0),'制度詳細'!$I$16),EOMONTH(AW$5,0)),"■",IF(AND('制度詳細'!$J$16&lt;&gt;"",'制度詳細'!$J$16&gt;=AW$5,'制度詳細'!$J$16&lt;=EOMONTH(AW$5,0)),"◆","")))</x:f>
      </x:c>
      <x:c r="AX16" s="57" t="str">
        <x:f>IF('制度詳細'!$H$16="",IF('制度詳細'!$J$16="","",IF(AND('制度詳細'!$J$16&gt;=AX$5,'制度詳細'!$J$16&lt;=EOMONTH(AX$5,0)),"◆","")),IF(MAX('制度詳細'!$H$16,AX$5)&lt;=MIN(IF('制度詳細'!$I$16="",EOMONTH(AX$5,0),'制度詳細'!$I$16),EOMONTH(AX$5,0)),"■",IF(AND('制度詳細'!$J$16&lt;&gt;"",'制度詳細'!$J$16&gt;=AX$5,'制度詳細'!$J$16&lt;=EOMONTH(AX$5,0)),"◆","")))</x:f>
      </x:c>
      <x:c r="AY16" s="57" t="str">
        <x:f>IF('制度詳細'!$H$16="",IF('制度詳細'!$J$16="","",IF(AND('制度詳細'!$J$16&gt;=AY$5,'制度詳細'!$J$16&lt;=EOMONTH(AY$5,0)),"◆","")),IF(MAX('制度詳細'!$H$16,AY$5)&lt;=MIN(IF('制度詳細'!$I$16="",EOMONTH(AY$5,0),'制度詳細'!$I$16),EOMONTH(AY$5,0)),"■",IF(AND('制度詳細'!$J$16&lt;&gt;"",'制度詳細'!$J$16&gt;=AY$5,'制度詳細'!$J$16&lt;=EOMONTH(AY$5,0)),"◆","")))</x:f>
      </x:c>
      <x:c r="AZ16" s="57" t="str">
        <x:f>IF('制度詳細'!$H$16="",IF('制度詳細'!$J$16="","",IF(AND('制度詳細'!$J$16&gt;=AZ$5,'制度詳細'!$J$16&lt;=EOMONTH(AZ$5,0)),"◆","")),IF(MAX('制度詳細'!$H$16,AZ$5)&lt;=MIN(IF('制度詳細'!$I$16="",EOMONTH(AZ$5,0),'制度詳細'!$I$16),EOMONTH(AZ$5,0)),"■",IF(AND('制度詳細'!$J$16&lt;&gt;"",'制度詳細'!$J$16&gt;=AZ$5,'制度詳細'!$J$16&lt;=EOMONTH(AZ$5,0)),"◆","")))</x:f>
      </x:c>
      <x:c r="BA16" s="57" t="str">
        <x:f>IF('制度詳細'!$H$16="",IF('制度詳細'!$J$16="","",IF(AND('制度詳細'!$J$16&gt;=BA$5,'制度詳細'!$J$16&lt;=EOMONTH(BA$5,0)),"◆","")),IF(MAX('制度詳細'!$H$16,BA$5)&lt;=MIN(IF('制度詳細'!$I$16="",EOMONTH(BA$5,0),'制度詳細'!$I$16),EOMONTH(BA$5,0)),"■",IF(AND('制度詳細'!$J$16&lt;&gt;"",'制度詳細'!$J$16&gt;=BA$5,'制度詳細'!$J$16&lt;=EOMONTH(BA$5,0)),"◆","")))</x:f>
        <x:v>■</x:v>
      </x:c>
      <x:c r="BB16" s="57" t="str">
        <x:f>IF('制度詳細'!$H$16="",IF('制度詳細'!$J$16="","",IF(AND('制度詳細'!$J$16&gt;=BB$5,'制度詳細'!$J$16&lt;=EOMONTH(BB$5,0)),"◆","")),IF(MAX('制度詳細'!$H$16,BB$5)&lt;=MIN(IF('制度詳細'!$I$16="",EOMONTH(BB$5,0),'制度詳細'!$I$16),EOMONTH(BB$5,0)),"■",IF(AND('制度詳細'!$J$16&lt;&gt;"",'制度詳細'!$J$16&gt;=BB$5,'制度詳細'!$J$16&lt;=EOMONTH(BB$5,0)),"◆","")))</x:f>
        <x:v>■</x:v>
      </x:c>
      <x:c r="BC16" s="57" t="str">
        <x:f>IF('制度詳細'!$H$16="",IF('制度詳細'!$J$16="","",IF(AND('制度詳細'!$J$16&gt;=BC$5,'制度詳細'!$J$16&lt;=EOMONTH(BC$5,0)),"◆","")),IF(MAX('制度詳細'!$H$16,BC$5)&lt;=MIN(IF('制度詳細'!$I$16="",EOMONTH(BC$5,0),'制度詳細'!$I$16),EOMONTH(BC$5,0)),"■",IF(AND('制度詳細'!$J$16&lt;&gt;"",'制度詳細'!$J$16&gt;=BC$5,'制度詳細'!$J$16&lt;=EOMONTH(BC$5,0)),"◆","")))</x:f>
        <x:v>■</x:v>
      </x:c>
      <x:c r="BD16" s="57" t="str">
        <x:f>IF('制度詳細'!$H$16="",IF('制度詳細'!$J$16="","",IF(AND('制度詳細'!$J$16&gt;=BD$5,'制度詳細'!$J$16&lt;=EOMONTH(BD$5,0)),"◆","")),IF(MAX('制度詳細'!$H$16,BD$5)&lt;=MIN(IF('制度詳細'!$I$16="",EOMONTH(BD$5,0),'制度詳細'!$I$16),EOMONTH(BD$5,0)),"■",IF(AND('制度詳細'!$J$16&lt;&gt;"",'制度詳細'!$J$16&gt;=BD$5,'制度詳細'!$J$16&lt;=EOMONTH(BD$5,0)),"◆","")))</x:f>
        <x:v>■</x:v>
      </x:c>
      <x:c r="BE16" s="57" t="str">
        <x:f>IF('制度詳細'!$H$16="",IF('制度詳細'!$J$16="","",IF(AND('制度詳細'!$J$16&gt;=BE$5,'制度詳細'!$J$16&lt;=EOMONTH(BE$5,0)),"◆","")),IF(MAX('制度詳細'!$H$16,BE$5)&lt;=MIN(IF('制度詳細'!$I$16="",EOMONTH(BE$5,0),'制度詳細'!$I$16),EOMONTH(BE$5,0)),"■",IF(AND('制度詳細'!$J$16&lt;&gt;"",'制度詳細'!$J$16&gt;=BE$5,'制度詳細'!$J$16&lt;=EOMONTH(BE$5,0)),"◆","")))</x:f>
        <x:v>■</x:v>
      </x:c>
      <x:c r="BF16" s="57" t="str">
        <x:f>IF('制度詳細'!$H$16="",IF('制度詳細'!$J$16="","",IF(AND('制度詳細'!$J$16&gt;=BF$5,'制度詳細'!$J$16&lt;=EOMONTH(BF$5,0)),"◆","")),IF(MAX('制度詳細'!$H$16,BF$5)&lt;=MIN(IF('制度詳細'!$I$16="",EOMONTH(BF$5,0),'制度詳細'!$I$16),EOMONTH(BF$5,0)),"■",IF(AND('制度詳細'!$J$16&lt;&gt;"",'制度詳細'!$J$16&gt;=BF$5,'制度詳細'!$J$16&lt;=EOMONTH(BF$5,0)),"◆","")))</x:f>
        <x:v>■</x:v>
      </x:c>
      <x:c r="BG16" s="57" t="str">
        <x:f>IF('制度詳細'!$H$16="",IF('制度詳細'!$J$16="","",IF(AND('制度詳細'!$J$16&gt;=BG$5,'制度詳細'!$J$16&lt;=EOMONTH(BG$5,0)),"◆","")),IF(MAX('制度詳細'!$H$16,BG$5)&lt;=MIN(IF('制度詳細'!$I$16="",EOMONTH(BG$5,0),'制度詳細'!$I$16),EOMONTH(BG$5,0)),"■",IF(AND('制度詳細'!$J$16&lt;&gt;"",'制度詳細'!$J$16&gt;=BG$5,'制度詳細'!$J$16&lt;=EOMONTH(BG$5,0)),"◆","")))</x:f>
        <x:v>■</x:v>
      </x:c>
      <x:c r="BH16" s="57" t="str">
        <x:f>IF('制度詳細'!$H$16="",IF('制度詳細'!$J$16="","",IF(AND('制度詳細'!$J$16&gt;=BH$5,'制度詳細'!$J$16&lt;=EOMONTH(BH$5,0)),"◆","")),IF(MAX('制度詳細'!$H$16,BH$5)&lt;=MIN(IF('制度詳細'!$I$16="",EOMONTH(BH$5,0),'制度詳細'!$I$16),EOMONTH(BH$5,0)),"■",IF(AND('制度詳細'!$J$16&lt;&gt;"",'制度詳細'!$J$16&gt;=BH$5,'制度詳細'!$J$16&lt;=EOMONTH(BH$5,0)),"◆","")))</x:f>
        <x:v>■</x:v>
      </x:c>
      <x:c r="BI16" s="57" t="str">
        <x:f>IF('制度詳細'!$H$16="",IF('制度詳細'!$J$16="","",IF(AND('制度詳細'!$J$16&gt;=BI$5,'制度詳細'!$J$16&lt;=EOMONTH(BI$5,0)),"◆","")),IF(MAX('制度詳細'!$H$16,BI$5)&lt;=MIN(IF('制度詳細'!$I$16="",EOMONTH(BI$5,0),'制度詳細'!$I$16),EOMONTH(BI$5,0)),"■",IF(AND('制度詳細'!$J$16&lt;&gt;"",'制度詳細'!$J$16&gt;=BI$5,'制度詳細'!$J$16&lt;=EOMONTH(BI$5,0)),"◆","")))</x:f>
        <x:v>■</x:v>
      </x:c>
      <x:c r="BJ16" s="57" t="str">
        <x:f>IF('制度詳細'!$H$16="",IF('制度詳細'!$J$16="","",IF(AND('制度詳細'!$J$16&gt;=BJ$5,'制度詳細'!$J$16&lt;=EOMONTH(BJ$5,0)),"◆","")),IF(MAX('制度詳細'!$H$16,BJ$5)&lt;=MIN(IF('制度詳細'!$I$16="",EOMONTH(BJ$5,0),'制度詳細'!$I$16),EOMONTH(BJ$5,0)),"■",IF(AND('制度詳細'!$J$16&lt;&gt;"",'制度詳細'!$J$16&gt;=BJ$5,'制度詳細'!$J$16&lt;=EOMONTH(BJ$5,0)),"◆","")))</x:f>
        <x:v>■</x:v>
      </x:c>
      <x:c r="BK16" s="57" t="str">
        <x:f>IF('制度詳細'!$H$16="",IF('制度詳細'!$J$16="","",IF(AND('制度詳細'!$J$16&gt;=BK$5,'制度詳細'!$J$16&lt;=EOMONTH(BK$5,0)),"◆","")),IF(MAX('制度詳細'!$H$16,BK$5)&lt;=MIN(IF('制度詳細'!$I$16="",EOMONTH(BK$5,0),'制度詳細'!$I$16),EOMONTH(BK$5,0)),"■",IF(AND('制度詳細'!$J$16&lt;&gt;"",'制度詳細'!$J$16&gt;=BK$5,'制度詳細'!$J$16&lt;=EOMONTH(BK$5,0)),"◆","")))</x:f>
        <x:v>■</x:v>
      </x:c>
      <x:c r="BL16" s="57" t="str">
        <x:f>IF('制度詳細'!$H$16="",IF('制度詳細'!$J$16="","",IF(AND('制度詳細'!$J$16&gt;=BL$5,'制度詳細'!$J$16&lt;=EOMONTH(BL$5,0)),"◆","")),IF(MAX('制度詳細'!$H$16,BL$5)&lt;=MIN(IF('制度詳細'!$I$16="",EOMONTH(BL$5,0),'制度詳細'!$I$16),EOMONTH(BL$5,0)),"■",IF(AND('制度詳細'!$J$16&lt;&gt;"",'制度詳細'!$J$16&gt;=BL$5,'制度詳細'!$J$16&lt;=EOMONTH(BL$5,0)),"◆","")))</x:f>
        <x:v>■</x:v>
      </x:c>
      <x:c r="BM16" s="57" t="str">
        <x:f>IF('制度詳細'!$H$16="",IF('制度詳細'!$J$16="","",IF(AND('制度詳細'!$J$16&gt;=BM$5,'制度詳細'!$J$16&lt;=EOMONTH(BM$5,0)),"◆","")),IF(MAX('制度詳細'!$H$16,BM$5)&lt;=MIN(IF('制度詳細'!$I$16="",EOMONTH(BM$5,0),'制度詳細'!$I$16),EOMONTH(BM$5,0)),"■",IF(AND('制度詳細'!$J$16&lt;&gt;"",'制度詳細'!$J$16&gt;=BM$5,'制度詳細'!$J$16&lt;=EOMONTH(BM$5,0)),"◆","")))</x:f>
      </x:c>
      <x:c r="BN16" s="57" t="str">
        <x:f>IF('制度詳細'!$H$16="",IF('制度詳細'!$J$16="","",IF(AND('制度詳細'!$J$16&gt;=BN$5,'制度詳細'!$J$16&lt;=EOMONTH(BN$5,0)),"◆","")),IF(MAX('制度詳細'!$H$16,BN$5)&lt;=MIN(IF('制度詳細'!$I$16="",EOMONTH(BN$5,0),'制度詳細'!$I$16),EOMONTH(BN$5,0)),"■",IF(AND('制度詳細'!$J$16&lt;&gt;"",'制度詳細'!$J$16&gt;=BN$5,'制度詳細'!$J$16&lt;=EOMONTH(BN$5,0)),"◆","")))</x:f>
      </x:c>
      <x:c r="BO16" s="57" t="str">
        <x:f>IF('制度詳細'!$H$16="",IF('制度詳細'!$J$16="","",IF(AND('制度詳細'!$J$16&gt;=BO$5,'制度詳細'!$J$16&lt;=EOMONTH(BO$5,0)),"◆","")),IF(MAX('制度詳細'!$H$16,BO$5)&lt;=MIN(IF('制度詳細'!$I$16="",EOMONTH(BO$5,0),'制度詳細'!$I$16),EOMONTH(BO$5,0)),"■",IF(AND('制度詳細'!$J$16&lt;&gt;"",'制度詳細'!$J$16&gt;=BO$5,'制度詳細'!$J$16&lt;=EOMONTH(BO$5,0)),"◆","")))</x:f>
      </x:c>
      <x:c r="BP16" s="57" t="str">
        <x:f>IF('制度詳細'!$H$16="",IF('制度詳細'!$J$16="","",IF(AND('制度詳細'!$J$16&gt;=BP$5,'制度詳細'!$J$16&lt;=EOMONTH(BP$5,0)),"◆","")),IF(MAX('制度詳細'!$H$16,BP$5)&lt;=MIN(IF('制度詳細'!$I$16="",EOMONTH(BP$5,0),'制度詳細'!$I$16),EOMONTH(BP$5,0)),"■",IF(AND('制度詳細'!$J$16&lt;&gt;"",'制度詳細'!$J$16&gt;=BP$5,'制度詳細'!$J$16&lt;=EOMONTH(BP$5,0)),"◆","")))</x:f>
      </x:c>
      <x:c r="BQ16" s="57" t="str">
        <x:f>IF('制度詳細'!$H$16="",IF('制度詳細'!$J$16="","",IF(AND('制度詳細'!$J$16&gt;=BQ$5,'制度詳細'!$J$16&lt;=EOMONTH(BQ$5,0)),"◆","")),IF(MAX('制度詳細'!$H$16,BQ$5)&lt;=MIN(IF('制度詳細'!$I$16="",EOMONTH(BQ$5,0),'制度詳細'!$I$16),EOMONTH(BQ$5,0)),"■",IF(AND('制度詳細'!$J$16&lt;&gt;"",'制度詳細'!$J$16&gt;=BQ$5,'制度詳細'!$J$16&lt;=EOMONTH(BQ$5,0)),"◆","")))</x:f>
      </x:c>
      <x:c r="BR16" s="57" t="str">
        <x:f>IF('制度詳細'!$H$16="",IF('制度詳細'!$J$16="","",IF(AND('制度詳細'!$J$16&gt;=BR$5,'制度詳細'!$J$16&lt;=EOMONTH(BR$5,0)),"◆","")),IF(MAX('制度詳細'!$H$16,BR$5)&lt;=MIN(IF('制度詳細'!$I$16="",EOMONTH(BR$5,0),'制度詳細'!$I$16),EOMONTH(BR$5,0)),"■",IF(AND('制度詳細'!$J$16&lt;&gt;"",'制度詳細'!$J$16&gt;=BR$5,'制度詳細'!$J$16&lt;=EOMONTH(BR$5,0)),"◆","")))</x:f>
      </x:c>
      <x:c r="BS16" s="57" t="str">
        <x:f>IF('制度詳細'!$H$16="",IF('制度詳細'!$J$16="","",IF(AND('制度詳細'!$J$16&gt;=BS$5,'制度詳細'!$J$16&lt;=EOMONTH(BS$5,0)),"◆","")),IF(MAX('制度詳細'!$H$16,BS$5)&lt;=MIN(IF('制度詳細'!$I$16="",EOMONTH(BS$5,0),'制度詳細'!$I$16),EOMONTH(BS$5,0)),"■",IF(AND('制度詳細'!$J$16&lt;&gt;"",'制度詳細'!$J$16&gt;=BS$5,'制度詳細'!$J$16&lt;=EOMONTH(BS$5,0)),"◆","")))</x:f>
      </x:c>
      <x:c r="BT16" s="57" t="str">
        <x:f>IF('制度詳細'!$H$16="",IF('制度詳細'!$J$16="","",IF(AND('制度詳細'!$J$16&gt;=BT$5,'制度詳細'!$J$16&lt;=EOMONTH(BT$5,0)),"◆","")),IF(MAX('制度詳細'!$H$16,BT$5)&lt;=MIN(IF('制度詳細'!$I$16="",EOMONTH(BT$5,0),'制度詳細'!$I$16),EOMONTH(BT$5,0)),"■",IF(AND('制度詳細'!$J$16&lt;&gt;"",'制度詳細'!$J$16&gt;=BT$5,'制度詳細'!$J$16&lt;=EOMONTH(BT$5,0)),"◆","")))</x:f>
      </x:c>
      <x:c r="BU16" s="57" t="str">
        <x:f>IF('制度詳細'!$H$16="",IF('制度詳細'!$J$16="","",IF(AND('制度詳細'!$J$16&gt;=BU$5,'制度詳細'!$J$16&lt;=EOMONTH(BU$5,0)),"◆","")),IF(MAX('制度詳細'!$H$16,BU$5)&lt;=MIN(IF('制度詳細'!$I$16="",EOMONTH(BU$5,0),'制度詳細'!$I$16),EOMONTH(BU$5,0)),"■",IF(AND('制度詳細'!$J$16&lt;&gt;"",'制度詳細'!$J$16&gt;=BU$5,'制度詳細'!$J$16&lt;=EOMONTH(BU$5,0)),"◆","")))</x:f>
      </x:c>
      <x:c r="BV16" s="57" t="str">
        <x:f>IF('制度詳細'!$H$16="",IF('制度詳細'!$J$16="","",IF(AND('制度詳細'!$J$16&gt;=BV$5,'制度詳細'!$J$16&lt;=EOMONTH(BV$5,0)),"◆","")),IF(MAX('制度詳細'!$H$16,BV$5)&lt;=MIN(IF('制度詳細'!$I$16="",EOMONTH(BV$5,0),'制度詳細'!$I$16),EOMONTH(BV$5,0)),"■",IF(AND('制度詳細'!$J$16&lt;&gt;"",'制度詳細'!$J$16&gt;=BV$5,'制度詳細'!$J$16&lt;=EOMONTH(BV$5,0)),"◆","")))</x:f>
      </x:c>
      <x:c r="BW16" s="57" t="str">
        <x:f>IF('制度詳細'!$H$16="",IF('制度詳細'!$J$16="","",IF(AND('制度詳細'!$J$16&gt;=BW$5,'制度詳細'!$J$16&lt;=EOMONTH(BW$5,0)),"◆","")),IF(MAX('制度詳細'!$H$16,BW$5)&lt;=MIN(IF('制度詳細'!$I$16="",EOMONTH(BW$5,0),'制度詳細'!$I$16),EOMONTH(BW$5,0)),"■",IF(AND('制度詳細'!$J$16&lt;&gt;"",'制度詳細'!$J$16&gt;=BW$5,'制度詳細'!$J$16&lt;=EOMONTH(BW$5,0)),"◆","")))</x:f>
      </x:c>
      <x:c r="BX16" s="57" t="str">
        <x:f>IF('制度詳細'!$H$16="",IF('制度詳細'!$J$16="","",IF(AND('制度詳細'!$J$16&gt;=BX$5,'制度詳細'!$J$16&lt;=EOMONTH(BX$5,0)),"◆","")),IF(MAX('制度詳細'!$H$16,BX$5)&lt;=MIN(IF('制度詳細'!$I$16="",EOMONTH(BX$5,0),'制度詳細'!$I$16),EOMONTH(BX$5,0)),"■",IF(AND('制度詳細'!$J$16&lt;&gt;"",'制度詳細'!$J$16&gt;=BX$5,'制度詳細'!$J$16&lt;=EOMONTH(BX$5,0)),"◆","")))</x:f>
      </x:c>
      <x:c r="BY16" s="57" t="str">
        <x:f>IF('制度詳細'!$H$16="",IF('制度詳細'!$J$16="","",IF(AND('制度詳細'!$J$16&gt;=BY$5,'制度詳細'!$J$16&lt;=EOMONTH(BY$5,0)),"◆","")),IF(MAX('制度詳細'!$H$16,BY$5)&lt;=MIN(IF('制度詳細'!$I$16="",EOMONTH(BY$5,0),'制度詳細'!$I$16),EOMONTH(BY$5,0)),"■",IF(AND('制度詳細'!$J$16&lt;&gt;"",'制度詳細'!$J$16&gt;=BY$5,'制度詳細'!$J$16&lt;=EOMONTH(BY$5,0)),"◆","")))</x:f>
      </x:c>
      <x:c r="BZ16" s="57" t="str">
        <x:f>IF('制度詳細'!$H$16="",IF('制度詳細'!$J$16="","",IF(AND('制度詳細'!$J$16&gt;=BZ$5,'制度詳細'!$J$16&lt;=EOMONTH(BZ$5,0)),"◆","")),IF(MAX('制度詳細'!$H$16,BZ$5)&lt;=MIN(IF('制度詳細'!$I$16="",EOMONTH(BZ$5,0),'制度詳細'!$I$16),EOMONTH(BZ$5,0)),"■",IF(AND('制度詳細'!$J$16&lt;&gt;"",'制度詳細'!$J$16&gt;=BZ$5,'制度詳細'!$J$16&lt;=EOMONTH(BZ$5,0)),"◆","")))</x:f>
      </x:c>
      <x:c r="CA16" s="57" t="str">
        <x:f>IF('制度詳細'!$H$16="",IF('制度詳細'!$J$16="","",IF(AND('制度詳細'!$J$16&gt;=CA$5,'制度詳細'!$J$16&lt;=EOMONTH(CA$5,0)),"◆","")),IF(MAX('制度詳細'!$H$16,CA$5)&lt;=MIN(IF('制度詳細'!$I$16="",EOMONTH(CA$5,0),'制度詳細'!$I$16),EOMONTH(CA$5,0)),"■",IF(AND('制度詳細'!$J$16&lt;&gt;"",'制度詳細'!$J$16&gt;=CA$5,'制度詳細'!$J$16&lt;=EOMONTH(CA$5,0)),"◆","")))</x:f>
      </x:c>
      <x:c r="CB16" s="57" t="str">
        <x:f>IF('制度詳細'!$H$16="",IF('制度詳細'!$J$16="","",IF(AND('制度詳細'!$J$16&gt;=CB$5,'制度詳細'!$J$16&lt;=EOMONTH(CB$5,0)),"◆","")),IF(MAX('制度詳細'!$H$16,CB$5)&lt;=MIN(IF('制度詳細'!$I$16="",EOMONTH(CB$5,0),'制度詳細'!$I$16),EOMONTH(CB$5,0)),"■",IF(AND('制度詳細'!$J$16&lt;&gt;"",'制度詳細'!$J$16&gt;=CB$5,'制度詳細'!$J$16&lt;=EOMONTH(CB$5,0)),"◆","")))</x:f>
      </x:c>
      <x:c r="CC16" s="57" t="str">
        <x:f>IF('制度詳細'!$H$16="",IF('制度詳細'!$J$16="","",IF(AND('制度詳細'!$J$16&gt;=CC$5,'制度詳細'!$J$16&lt;=EOMONTH(CC$5,0)),"◆","")),IF(MAX('制度詳細'!$H$16,CC$5)&lt;=MIN(IF('制度詳細'!$I$16="",EOMONTH(CC$5,0),'制度詳細'!$I$16),EOMONTH(CC$5,0)),"■",IF(AND('制度詳細'!$J$16&lt;&gt;"",'制度詳細'!$J$16&gt;=CC$5,'制度詳細'!$J$16&lt;=EOMONTH(CC$5,0)),"◆","")))</x:f>
      </x:c>
      <x:c r="CD16" s="57" t="str">
        <x:f>IF('制度詳細'!$H$16="",IF('制度詳細'!$J$16="","",IF(AND('制度詳細'!$J$16&gt;=CD$5,'制度詳細'!$J$16&lt;=EOMONTH(CD$5,0)),"◆","")),IF(MAX('制度詳細'!$H$16,CD$5)&lt;=MIN(IF('制度詳細'!$I$16="",EOMONTH(CD$5,0),'制度詳細'!$I$16),EOMONTH(CD$5,0)),"■",IF(AND('制度詳細'!$J$16&lt;&gt;"",'制度詳細'!$J$16&gt;=CD$5,'制度詳細'!$J$16&lt;=EOMONTH(CD$5,0)),"◆","")))</x:f>
      </x:c>
      <x:c r="CE16" s="57" t="str">
        <x:f>IF('制度詳細'!$H$16="",IF('制度詳細'!$J$16="","",IF(AND('制度詳細'!$J$16&gt;=CE$5,'制度詳細'!$J$16&lt;=EOMONTH(CE$5,0)),"◆","")),IF(MAX('制度詳細'!$H$16,CE$5)&lt;=MIN(IF('制度詳細'!$I$16="",EOMONTH(CE$5,0),'制度詳細'!$I$16),EOMONTH(CE$5,0)),"■",IF(AND('制度詳細'!$J$16&lt;&gt;"",'制度詳細'!$J$16&gt;=CE$5,'制度詳細'!$J$16&lt;=EOMONTH(CE$5,0)),"◆","")))</x:f>
      </x:c>
      <x:c r="CF16" s="57" t="str">
        <x:f>IF('制度詳細'!$H$16="",IF('制度詳細'!$J$16="","",IF(AND('制度詳細'!$J$16&gt;=CF$5,'制度詳細'!$J$16&lt;=EOMONTH(CF$5,0)),"◆","")),IF(MAX('制度詳細'!$H$16,CF$5)&lt;=MIN(IF('制度詳細'!$I$16="",EOMONTH(CF$5,0),'制度詳細'!$I$16),EOMONTH(CF$5,0)),"■",IF(AND('制度詳細'!$J$16&lt;&gt;"",'制度詳細'!$J$16&gt;=CF$5,'制度詳細'!$J$16&lt;=EOMONTH(CF$5,0)),"◆","")))</x:f>
      </x:c>
      <x:c r="CG16" s="57" t="str">
        <x:f>IF('制度詳細'!$H$16="",IF('制度詳細'!$J$16="","",IF(AND('制度詳細'!$J$16&gt;=CG$5,'制度詳細'!$J$16&lt;=EOMONTH(CG$5,0)),"◆","")),IF(MAX('制度詳細'!$H$16,CG$5)&lt;=MIN(IF('制度詳細'!$I$16="",EOMONTH(CG$5,0),'制度詳細'!$I$16),EOMONTH(CG$5,0)),"■",IF(AND('制度詳細'!$J$16&lt;&gt;"",'制度詳細'!$J$16&gt;=CG$5,'制度詳細'!$J$16&lt;=EOMONTH(CG$5,0)),"◆","")))</x:f>
      </x:c>
      <x:c r="CH16" s="57" t="str">
        <x:f>IF('制度詳細'!$H$16="",IF('制度詳細'!$J$16="","",IF(AND('制度詳細'!$J$16&gt;=CH$5,'制度詳細'!$J$16&lt;=EOMONTH(CH$5,0)),"◆","")),IF(MAX('制度詳細'!$H$16,CH$5)&lt;=MIN(IF('制度詳細'!$I$16="",EOMONTH(CH$5,0),'制度詳細'!$I$16),EOMONTH(CH$5,0)),"■",IF(AND('制度詳細'!$J$16&lt;&gt;"",'制度詳細'!$J$16&gt;=CH$5,'制度詳細'!$J$16&lt;=EOMONTH(CH$5,0)),"◆","")))</x:f>
      </x:c>
      <x:c r="CI16" s="57" t="str">
        <x:f>IF('制度詳細'!$H$16="",IF('制度詳細'!$J$16="","",IF(AND('制度詳細'!$J$16&gt;=CI$5,'制度詳細'!$J$16&lt;=EOMONTH(CI$5,0)),"◆","")),IF(MAX('制度詳細'!$H$16,CI$5)&lt;=MIN(IF('制度詳細'!$I$16="",EOMONTH(CI$5,0),'制度詳細'!$I$16),EOMONTH(CI$5,0)),"■",IF(AND('制度詳細'!$J$16&lt;&gt;"",'制度詳細'!$J$16&gt;=CI$5,'制度詳細'!$J$16&lt;=EOMONTH(CI$5,0)),"◆","")))</x:f>
      </x:c>
      <x:c r="CJ16" s="57" t="str">
        <x:f>IF('制度詳細'!$H$16="",IF('制度詳細'!$J$16="","",IF(AND('制度詳細'!$J$16&gt;=CJ$5,'制度詳細'!$J$16&lt;=EOMONTH(CJ$5,0)),"◆","")),IF(MAX('制度詳細'!$H$16,CJ$5)&lt;=MIN(IF('制度詳細'!$I$16="",EOMONTH(CJ$5,0),'制度詳細'!$I$16),EOMONTH(CJ$5,0)),"■",IF(AND('制度詳細'!$J$16&lt;&gt;"",'制度詳細'!$J$16&gt;=CJ$5,'制度詳細'!$J$16&lt;=EOMONTH(CJ$5,0)),"◆","")))</x:f>
      </x:c>
      <x:c r="CK16" s="57" t="str">
        <x:f>IF('制度詳細'!$H$16="",IF('制度詳細'!$J$16="","",IF(AND('制度詳細'!$J$16&gt;=CK$5,'制度詳細'!$J$16&lt;=EOMONTH(CK$5,0)),"◆","")),IF(MAX('制度詳細'!$H$16,CK$5)&lt;=MIN(IF('制度詳細'!$I$16="",EOMONTH(CK$5,0),'制度詳細'!$I$16),EOMONTH(CK$5,0)),"■",IF(AND('制度詳細'!$J$16&lt;&gt;"",'制度詳細'!$J$16&gt;=CK$5,'制度詳細'!$J$16&lt;=EOMONTH(CK$5,0)),"◆","")))</x:f>
      </x:c>
      <x:c r="CL16" s="57" t="str">
        <x:f>IF('制度詳細'!$H$16="",IF('制度詳細'!$J$16="","",IF(AND('制度詳細'!$J$16&gt;=CL$5,'制度詳細'!$J$16&lt;=EOMONTH(CL$5,0)),"◆","")),IF(MAX('制度詳細'!$H$16,CL$5)&lt;=MIN(IF('制度詳細'!$I$16="",EOMONTH(CL$5,0),'制度詳細'!$I$16),EOMONTH(CL$5,0)),"■",IF(AND('制度詳細'!$J$16&lt;&gt;"",'制度詳細'!$J$16&gt;=CL$5,'制度詳細'!$J$16&lt;=EOMONTH(CL$5,0)),"◆","")))</x:f>
      </x:c>
      <x:c r="CM16" s="57" t="str">
        <x:f>IF('制度詳細'!$H$16="",IF('制度詳細'!$J$16="","",IF(AND('制度詳細'!$J$16&gt;=CM$5,'制度詳細'!$J$16&lt;=EOMONTH(CM$5,0)),"◆","")),IF(MAX('制度詳細'!$H$16,CM$5)&lt;=MIN(IF('制度詳細'!$I$16="",EOMONTH(CM$5,0),'制度詳細'!$I$16),EOMONTH(CM$5,0)),"■",IF(AND('制度詳細'!$J$16&lt;&gt;"",'制度詳細'!$J$16&gt;=CM$5,'制度詳細'!$J$16&lt;=EOMONTH(CM$5,0)),"◆","")))</x:f>
      </x:c>
      <x:c r="CN16" s="57" t="str">
        <x:f>IF('制度詳細'!$H$16="",IF('制度詳細'!$J$16="","",IF(AND('制度詳細'!$J$16&gt;=CN$5,'制度詳細'!$J$16&lt;=EOMONTH(CN$5,0)),"◆","")),IF(MAX('制度詳細'!$H$16,CN$5)&lt;=MIN(IF('制度詳細'!$I$16="",EOMONTH(CN$5,0),'制度詳細'!$I$16),EOMONTH(CN$5,0)),"■",IF(AND('制度詳細'!$J$16&lt;&gt;"",'制度詳細'!$J$16&gt;=CN$5,'制度詳細'!$J$16&lt;=EOMONTH(CN$5,0)),"◆","")))</x:f>
      </x:c>
      <x:c r="CO16" s="57" t="str">
        <x:f>IF('制度詳細'!$H$16="",IF('制度詳細'!$J$16="","",IF(AND('制度詳細'!$J$16&gt;=CO$5,'制度詳細'!$J$16&lt;=EOMONTH(CO$5,0)),"◆","")),IF(MAX('制度詳細'!$H$16,CO$5)&lt;=MIN(IF('制度詳細'!$I$16="",EOMONTH(CO$5,0),'制度詳細'!$I$16),EOMONTH(CO$5,0)),"■",IF(AND('制度詳細'!$J$16&lt;&gt;"",'制度詳細'!$J$16&gt;=CO$5,'制度詳細'!$J$16&lt;=EOMONTH(CO$5,0)),"◆","")))</x:f>
      </x:c>
      <x:c r="CP16" s="57" t="str">
        <x:f>IF('制度詳細'!$H$16="",IF('制度詳細'!$J$16="","",IF(AND('制度詳細'!$J$16&gt;=CP$5,'制度詳細'!$J$16&lt;=EOMONTH(CP$5,0)),"◆","")),IF(MAX('制度詳細'!$H$16,CP$5)&lt;=MIN(IF('制度詳細'!$I$16="",EOMONTH(CP$5,0),'制度詳細'!$I$16),EOMONTH(CP$5,0)),"■",IF(AND('制度詳細'!$J$16&lt;&gt;"",'制度詳細'!$J$16&gt;=CP$5,'制度詳細'!$J$16&lt;=EOMONTH(CP$5,0)),"◆","")))</x:f>
      </x:c>
      <x:c r="CQ16" s="57" t="str">
        <x:f>IF('制度詳細'!$H$16="",IF('制度詳細'!$J$16="","",IF(AND('制度詳細'!$J$16&gt;=CQ$5,'制度詳細'!$J$16&lt;=EOMONTH(CQ$5,0)),"◆","")),IF(MAX('制度詳細'!$H$16,CQ$5)&lt;=MIN(IF('制度詳細'!$I$16="",EOMONTH(CQ$5,0),'制度詳細'!$I$16),EOMONTH(CQ$5,0)),"■",IF(AND('制度詳細'!$J$16&lt;&gt;"",'制度詳細'!$J$16&gt;=CQ$5,'制度詳細'!$J$16&lt;=EOMONTH(CQ$5,0)),"◆","")))</x:f>
      </x:c>
      <x:c r="CR16" s="57" t="str">
        <x:f>IF('制度詳細'!$H$16="",IF('制度詳細'!$J$16="","",IF(AND('制度詳細'!$J$16&gt;=CR$5,'制度詳細'!$J$16&lt;=EOMONTH(CR$5,0)),"◆","")),IF(MAX('制度詳細'!$H$16,CR$5)&lt;=MIN(IF('制度詳細'!$I$16="",EOMONTH(CR$5,0),'制度詳細'!$I$16),EOMONTH(CR$5,0)),"■",IF(AND('制度詳細'!$J$16&lt;&gt;"",'制度詳細'!$J$16&gt;=CR$5,'制度詳細'!$J$16&lt;=EOMONTH(CR$5,0)),"◆","")))</x:f>
      </x:c>
      <x:c r="CS16" s="57" t="str">
        <x:f>IF('制度詳細'!$H$16="",IF('制度詳細'!$J$16="","",IF(AND('制度詳細'!$J$16&gt;=CS$5,'制度詳細'!$J$16&lt;=EOMONTH(CS$5,0)),"◆","")),IF(MAX('制度詳細'!$H$16,CS$5)&lt;=MIN(IF('制度詳細'!$I$16="",EOMONTH(CS$5,0),'制度詳細'!$I$16),EOMONTH(CS$5,0)),"■",IF(AND('制度詳細'!$J$16&lt;&gt;"",'制度詳細'!$J$16&gt;=CS$5,'制度詳細'!$J$16&lt;=EOMONTH(CS$5,0)),"◆","")))</x:f>
      </x:c>
      <x:c r="CT16" s="57" t="str">
        <x:f>IF('制度詳細'!$H$16="",IF('制度詳細'!$J$16="","",IF(AND('制度詳細'!$J$16&gt;=CT$5,'制度詳細'!$J$16&lt;=EOMONTH(CT$5,0)),"◆","")),IF(MAX('制度詳細'!$H$16,CT$5)&lt;=MIN(IF('制度詳細'!$I$16="",EOMONTH(CT$5,0),'制度詳細'!$I$16),EOMONTH(CT$5,0)),"■",IF(AND('制度詳細'!$J$16&lt;&gt;"",'制度詳細'!$J$16&gt;=CT$5,'制度詳細'!$J$16&lt;=EOMONTH(CT$5,0)),"◆","")))</x:f>
      </x:c>
      <x:c r="CU16" s="57" t="str">
        <x:f>IF('制度詳細'!$H$16="",IF('制度詳細'!$J$16="","",IF(AND('制度詳細'!$J$16&gt;=CU$5,'制度詳細'!$J$16&lt;=EOMONTH(CU$5,0)),"◆","")),IF(MAX('制度詳細'!$H$16,CU$5)&lt;=MIN(IF('制度詳細'!$I$16="",EOMONTH(CU$5,0),'制度詳細'!$I$16),EOMONTH(CU$5,0)),"■",IF(AND('制度詳細'!$J$16&lt;&gt;"",'制度詳細'!$J$16&gt;=CU$5,'制度詳細'!$J$16&lt;=EOMONTH(CU$5,0)),"◆","")))</x:f>
      </x:c>
      <x:c r="CV16" s="57" t="str">
        <x:f>IF('制度詳細'!$H$16="",IF('制度詳細'!$J$16="","",IF(AND('制度詳細'!$J$16&gt;=CV$5,'制度詳細'!$J$16&lt;=EOMONTH(CV$5,0)),"◆","")),IF(MAX('制度詳細'!$H$16,CV$5)&lt;=MIN(IF('制度詳細'!$I$16="",EOMONTH(CV$5,0),'制度詳細'!$I$16),EOMONTH(CV$5,0)),"■",IF(AND('制度詳細'!$J$16&lt;&gt;"",'制度詳細'!$J$16&gt;=CV$5,'制度詳細'!$J$16&lt;=EOMONTH(CV$5,0)),"◆","")))</x:f>
      </x:c>
      <x:c r="CW16" s="1"/>
      <x:c r="CX16" s="1"/>
      <x:c r="CY16" s="1"/>
      <x:c r="CZ16" s="1"/>
      <x:c r="DA16" s="1"/>
      <x:c r="DB16" s="1"/>
      <x:c r="DC16" s="1"/>
      <x:c r="DD16" s="1"/>
    </x:row>
    <x:row r="17" ht="27" customHeight="1">
      <x:c r="A17" s="58" t="str">
        <x:v>ID03</x:v>
      </x:c>
      <x:c r="B17" s="58" t="str">
        <x:v>インドネシア</x:v>
      </x:c>
      <x:c r="C17" s="58" t="str">
        <x:v>BEV：VAT政府負担2025</x:v>
      </x:c>
      <x:c r="D17" s="58" t="str">
        <x:v>BEV</x:v>
      </x:c>
      <x:c r="E17" s="57" t="str">
        <x:f>IF('制度詳細'!$H$17="",IF('制度詳細'!$J$17="","",IF(AND('制度詳細'!$J$17&gt;=E$5,'制度詳細'!$J$17&lt;=EOMONTH(E$5,0)),"◆","")),IF(MAX('制度詳細'!$H$17,E$5)&lt;=MIN(IF('制度詳細'!$I$17="",EOMONTH(E$5,0),'制度詳細'!$I$17),EOMONTH(E$5,0)),"■",IF(AND('制度詳細'!$J$17&lt;&gt;"",'制度詳細'!$J$17&gt;=E$5,'制度詳細'!$J$17&lt;=EOMONTH(E$5,0)),"◆","")))</x:f>
      </x:c>
      <x:c r="F17" s="57" t="str">
        <x:f>IF('制度詳細'!$H$17="",IF('制度詳細'!$J$17="","",IF(AND('制度詳細'!$J$17&gt;=F$5,'制度詳細'!$J$17&lt;=EOMONTH(F$5,0)),"◆","")),IF(MAX('制度詳細'!$H$17,F$5)&lt;=MIN(IF('制度詳細'!$I$17="",EOMONTH(F$5,0),'制度詳細'!$I$17),EOMONTH(F$5,0)),"■",IF(AND('制度詳細'!$J$17&lt;&gt;"",'制度詳細'!$J$17&gt;=F$5,'制度詳細'!$J$17&lt;=EOMONTH(F$5,0)),"◆","")))</x:f>
      </x:c>
      <x:c r="G17" s="57" t="str">
        <x:f>IF('制度詳細'!$H$17="",IF('制度詳細'!$J$17="","",IF(AND('制度詳細'!$J$17&gt;=G$5,'制度詳細'!$J$17&lt;=EOMONTH(G$5,0)),"◆","")),IF(MAX('制度詳細'!$H$17,G$5)&lt;=MIN(IF('制度詳細'!$I$17="",EOMONTH(G$5,0),'制度詳細'!$I$17),EOMONTH(G$5,0)),"■",IF(AND('制度詳細'!$J$17&lt;&gt;"",'制度詳細'!$J$17&gt;=G$5,'制度詳細'!$J$17&lt;=EOMONTH(G$5,0)),"◆","")))</x:f>
      </x:c>
      <x:c r="H17" s="57" t="str">
        <x:f>IF('制度詳細'!$H$17="",IF('制度詳細'!$J$17="","",IF(AND('制度詳細'!$J$17&gt;=H$5,'制度詳細'!$J$17&lt;=EOMONTH(H$5,0)),"◆","")),IF(MAX('制度詳細'!$H$17,H$5)&lt;=MIN(IF('制度詳細'!$I$17="",EOMONTH(H$5,0),'制度詳細'!$I$17),EOMONTH(H$5,0)),"■",IF(AND('制度詳細'!$J$17&lt;&gt;"",'制度詳細'!$J$17&gt;=H$5,'制度詳細'!$J$17&lt;=EOMONTH(H$5,0)),"◆","")))</x:f>
      </x:c>
      <x:c r="I17" s="57" t="str">
        <x:f>IF('制度詳細'!$H$17="",IF('制度詳細'!$J$17="","",IF(AND('制度詳細'!$J$17&gt;=I$5,'制度詳細'!$J$17&lt;=EOMONTH(I$5,0)),"◆","")),IF(MAX('制度詳細'!$H$17,I$5)&lt;=MIN(IF('制度詳細'!$I$17="",EOMONTH(I$5,0),'制度詳細'!$I$17),EOMONTH(I$5,0)),"■",IF(AND('制度詳細'!$J$17&lt;&gt;"",'制度詳細'!$J$17&gt;=I$5,'制度詳細'!$J$17&lt;=EOMONTH(I$5,0)),"◆","")))</x:f>
      </x:c>
      <x:c r="J17" s="57" t="str">
        <x:f>IF('制度詳細'!$H$17="",IF('制度詳細'!$J$17="","",IF(AND('制度詳細'!$J$17&gt;=J$5,'制度詳細'!$J$17&lt;=EOMONTH(J$5,0)),"◆","")),IF(MAX('制度詳細'!$H$17,J$5)&lt;=MIN(IF('制度詳細'!$I$17="",EOMONTH(J$5,0),'制度詳細'!$I$17),EOMONTH(J$5,0)),"■",IF(AND('制度詳細'!$J$17&lt;&gt;"",'制度詳細'!$J$17&gt;=J$5,'制度詳細'!$J$17&lt;=EOMONTH(J$5,0)),"◆","")))</x:f>
      </x:c>
      <x:c r="K17" s="57" t="str">
        <x:f>IF('制度詳細'!$H$17="",IF('制度詳細'!$J$17="","",IF(AND('制度詳細'!$J$17&gt;=K$5,'制度詳細'!$J$17&lt;=EOMONTH(K$5,0)),"◆","")),IF(MAX('制度詳細'!$H$17,K$5)&lt;=MIN(IF('制度詳細'!$I$17="",EOMONTH(K$5,0),'制度詳細'!$I$17),EOMONTH(K$5,0)),"■",IF(AND('制度詳細'!$J$17&lt;&gt;"",'制度詳細'!$J$17&gt;=K$5,'制度詳細'!$J$17&lt;=EOMONTH(K$5,0)),"◆","")))</x:f>
      </x:c>
      <x:c r="L17" s="57" t="str">
        <x:f>IF('制度詳細'!$H$17="",IF('制度詳細'!$J$17="","",IF(AND('制度詳細'!$J$17&gt;=L$5,'制度詳細'!$J$17&lt;=EOMONTH(L$5,0)),"◆","")),IF(MAX('制度詳細'!$H$17,L$5)&lt;=MIN(IF('制度詳細'!$I$17="",EOMONTH(L$5,0),'制度詳細'!$I$17),EOMONTH(L$5,0)),"■",IF(AND('制度詳細'!$J$17&lt;&gt;"",'制度詳細'!$J$17&gt;=L$5,'制度詳細'!$J$17&lt;=EOMONTH(L$5,0)),"◆","")))</x:f>
      </x:c>
      <x:c r="M17" s="57" t="str">
        <x:f>IF('制度詳細'!$H$17="",IF('制度詳細'!$J$17="","",IF(AND('制度詳細'!$J$17&gt;=M$5,'制度詳細'!$J$17&lt;=EOMONTH(M$5,0)),"◆","")),IF(MAX('制度詳細'!$H$17,M$5)&lt;=MIN(IF('制度詳細'!$I$17="",EOMONTH(M$5,0),'制度詳細'!$I$17),EOMONTH(M$5,0)),"■",IF(AND('制度詳細'!$J$17&lt;&gt;"",'制度詳細'!$J$17&gt;=M$5,'制度詳細'!$J$17&lt;=EOMONTH(M$5,0)),"◆","")))</x:f>
      </x:c>
      <x:c r="N17" s="57" t="str">
        <x:f>IF('制度詳細'!$H$17="",IF('制度詳細'!$J$17="","",IF(AND('制度詳細'!$J$17&gt;=N$5,'制度詳細'!$J$17&lt;=EOMONTH(N$5,0)),"◆","")),IF(MAX('制度詳細'!$H$17,N$5)&lt;=MIN(IF('制度詳細'!$I$17="",EOMONTH(N$5,0),'制度詳細'!$I$17),EOMONTH(N$5,0)),"■",IF(AND('制度詳細'!$J$17&lt;&gt;"",'制度詳細'!$J$17&gt;=N$5,'制度詳細'!$J$17&lt;=EOMONTH(N$5,0)),"◆","")))</x:f>
      </x:c>
      <x:c r="O17" s="57" t="str">
        <x:f>IF('制度詳細'!$H$17="",IF('制度詳細'!$J$17="","",IF(AND('制度詳細'!$J$17&gt;=O$5,'制度詳細'!$J$17&lt;=EOMONTH(O$5,0)),"◆","")),IF(MAX('制度詳細'!$H$17,O$5)&lt;=MIN(IF('制度詳細'!$I$17="",EOMONTH(O$5,0),'制度詳細'!$I$17),EOMONTH(O$5,0)),"■",IF(AND('制度詳細'!$J$17&lt;&gt;"",'制度詳細'!$J$17&gt;=O$5,'制度詳細'!$J$17&lt;=EOMONTH(O$5,0)),"◆","")))</x:f>
      </x:c>
      <x:c r="P17" s="57" t="str">
        <x:f>IF('制度詳細'!$H$17="",IF('制度詳細'!$J$17="","",IF(AND('制度詳細'!$J$17&gt;=P$5,'制度詳細'!$J$17&lt;=EOMONTH(P$5,0)),"◆","")),IF(MAX('制度詳細'!$H$17,P$5)&lt;=MIN(IF('制度詳細'!$I$17="",EOMONTH(P$5,0),'制度詳細'!$I$17),EOMONTH(P$5,0)),"■",IF(AND('制度詳細'!$J$17&lt;&gt;"",'制度詳細'!$J$17&gt;=P$5,'制度詳細'!$J$17&lt;=EOMONTH(P$5,0)),"◆","")))</x:f>
      </x:c>
      <x:c r="Q17" s="57" t="str">
        <x:f>IF('制度詳細'!$H$17="",IF('制度詳細'!$J$17="","",IF(AND('制度詳細'!$J$17&gt;=Q$5,'制度詳細'!$J$17&lt;=EOMONTH(Q$5,0)),"◆","")),IF(MAX('制度詳細'!$H$17,Q$5)&lt;=MIN(IF('制度詳細'!$I$17="",EOMONTH(Q$5,0),'制度詳細'!$I$17),EOMONTH(Q$5,0)),"■",IF(AND('制度詳細'!$J$17&lt;&gt;"",'制度詳細'!$J$17&gt;=Q$5,'制度詳細'!$J$17&lt;=EOMONTH(Q$5,0)),"◆","")))</x:f>
      </x:c>
      <x:c r="R17" s="57" t="str">
        <x:f>IF('制度詳細'!$H$17="",IF('制度詳細'!$J$17="","",IF(AND('制度詳細'!$J$17&gt;=R$5,'制度詳細'!$J$17&lt;=EOMONTH(R$5,0)),"◆","")),IF(MAX('制度詳細'!$H$17,R$5)&lt;=MIN(IF('制度詳細'!$I$17="",EOMONTH(R$5,0),'制度詳細'!$I$17),EOMONTH(R$5,0)),"■",IF(AND('制度詳細'!$J$17&lt;&gt;"",'制度詳細'!$J$17&gt;=R$5,'制度詳細'!$J$17&lt;=EOMONTH(R$5,0)),"◆","")))</x:f>
      </x:c>
      <x:c r="S17" s="57" t="str">
        <x:f>IF('制度詳細'!$H$17="",IF('制度詳細'!$J$17="","",IF(AND('制度詳細'!$J$17&gt;=S$5,'制度詳細'!$J$17&lt;=EOMONTH(S$5,0)),"◆","")),IF(MAX('制度詳細'!$H$17,S$5)&lt;=MIN(IF('制度詳細'!$I$17="",EOMONTH(S$5,0),'制度詳細'!$I$17),EOMONTH(S$5,0)),"■",IF(AND('制度詳細'!$J$17&lt;&gt;"",'制度詳細'!$J$17&gt;=S$5,'制度詳細'!$J$17&lt;=EOMONTH(S$5,0)),"◆","")))</x:f>
      </x:c>
      <x:c r="T17" s="57" t="str">
        <x:f>IF('制度詳細'!$H$17="",IF('制度詳細'!$J$17="","",IF(AND('制度詳細'!$J$17&gt;=T$5,'制度詳細'!$J$17&lt;=EOMONTH(T$5,0)),"◆","")),IF(MAX('制度詳細'!$H$17,T$5)&lt;=MIN(IF('制度詳細'!$I$17="",EOMONTH(T$5,0),'制度詳細'!$I$17),EOMONTH(T$5,0)),"■",IF(AND('制度詳細'!$J$17&lt;&gt;"",'制度詳細'!$J$17&gt;=T$5,'制度詳細'!$J$17&lt;=EOMONTH(T$5,0)),"◆","")))</x:f>
      </x:c>
      <x:c r="U17" s="57" t="str">
        <x:f>IF('制度詳細'!$H$17="",IF('制度詳細'!$J$17="","",IF(AND('制度詳細'!$J$17&gt;=U$5,'制度詳細'!$J$17&lt;=EOMONTH(U$5,0)),"◆","")),IF(MAX('制度詳細'!$H$17,U$5)&lt;=MIN(IF('制度詳細'!$I$17="",EOMONTH(U$5,0),'制度詳細'!$I$17),EOMONTH(U$5,0)),"■",IF(AND('制度詳細'!$J$17&lt;&gt;"",'制度詳細'!$J$17&gt;=U$5,'制度詳細'!$J$17&lt;=EOMONTH(U$5,0)),"◆","")))</x:f>
      </x:c>
      <x:c r="V17" s="57" t="str">
        <x:f>IF('制度詳細'!$H$17="",IF('制度詳細'!$J$17="","",IF(AND('制度詳細'!$J$17&gt;=V$5,'制度詳細'!$J$17&lt;=EOMONTH(V$5,0)),"◆","")),IF(MAX('制度詳細'!$H$17,V$5)&lt;=MIN(IF('制度詳細'!$I$17="",EOMONTH(V$5,0),'制度詳細'!$I$17),EOMONTH(V$5,0)),"■",IF(AND('制度詳細'!$J$17&lt;&gt;"",'制度詳細'!$J$17&gt;=V$5,'制度詳細'!$J$17&lt;=EOMONTH(V$5,0)),"◆","")))</x:f>
      </x:c>
      <x:c r="W17" s="57" t="str">
        <x:f>IF('制度詳細'!$H$17="",IF('制度詳細'!$J$17="","",IF(AND('制度詳細'!$J$17&gt;=W$5,'制度詳細'!$J$17&lt;=EOMONTH(W$5,0)),"◆","")),IF(MAX('制度詳細'!$H$17,W$5)&lt;=MIN(IF('制度詳細'!$I$17="",EOMONTH(W$5,0),'制度詳細'!$I$17),EOMONTH(W$5,0)),"■",IF(AND('制度詳細'!$J$17&lt;&gt;"",'制度詳細'!$J$17&gt;=W$5,'制度詳細'!$J$17&lt;=EOMONTH(W$5,0)),"◆","")))</x:f>
      </x:c>
      <x:c r="X17" s="57" t="str">
        <x:f>IF('制度詳細'!$H$17="",IF('制度詳細'!$J$17="","",IF(AND('制度詳細'!$J$17&gt;=X$5,'制度詳細'!$J$17&lt;=EOMONTH(X$5,0)),"◆","")),IF(MAX('制度詳細'!$H$17,X$5)&lt;=MIN(IF('制度詳細'!$I$17="",EOMONTH(X$5,0),'制度詳細'!$I$17),EOMONTH(X$5,0)),"■",IF(AND('制度詳細'!$J$17&lt;&gt;"",'制度詳細'!$J$17&gt;=X$5,'制度詳細'!$J$17&lt;=EOMONTH(X$5,0)),"◆","")))</x:f>
      </x:c>
      <x:c r="Y17" s="57" t="str">
        <x:f>IF('制度詳細'!$H$17="",IF('制度詳細'!$J$17="","",IF(AND('制度詳細'!$J$17&gt;=Y$5,'制度詳細'!$J$17&lt;=EOMONTH(Y$5,0)),"◆","")),IF(MAX('制度詳細'!$H$17,Y$5)&lt;=MIN(IF('制度詳細'!$I$17="",EOMONTH(Y$5,0),'制度詳細'!$I$17),EOMONTH(Y$5,0)),"■",IF(AND('制度詳細'!$J$17&lt;&gt;"",'制度詳細'!$J$17&gt;=Y$5,'制度詳細'!$J$17&lt;=EOMONTH(Y$5,0)),"◆","")))</x:f>
      </x:c>
      <x:c r="Z17" s="57" t="str">
        <x:f>IF('制度詳細'!$H$17="",IF('制度詳細'!$J$17="","",IF(AND('制度詳細'!$J$17&gt;=Z$5,'制度詳細'!$J$17&lt;=EOMONTH(Z$5,0)),"◆","")),IF(MAX('制度詳細'!$H$17,Z$5)&lt;=MIN(IF('制度詳細'!$I$17="",EOMONTH(Z$5,0),'制度詳細'!$I$17),EOMONTH(Z$5,0)),"■",IF(AND('制度詳細'!$J$17&lt;&gt;"",'制度詳細'!$J$17&gt;=Z$5,'制度詳細'!$J$17&lt;=EOMONTH(Z$5,0)),"◆","")))</x:f>
      </x:c>
      <x:c r="AA17" s="57" t="str">
        <x:f>IF('制度詳細'!$H$17="",IF('制度詳細'!$J$17="","",IF(AND('制度詳細'!$J$17&gt;=AA$5,'制度詳細'!$J$17&lt;=EOMONTH(AA$5,0)),"◆","")),IF(MAX('制度詳細'!$H$17,AA$5)&lt;=MIN(IF('制度詳細'!$I$17="",EOMONTH(AA$5,0),'制度詳細'!$I$17),EOMONTH(AA$5,0)),"■",IF(AND('制度詳細'!$J$17&lt;&gt;"",'制度詳細'!$J$17&gt;=AA$5,'制度詳細'!$J$17&lt;=EOMONTH(AA$5,0)),"◆","")))</x:f>
      </x:c>
      <x:c r="AB17" s="57" t="str">
        <x:f>IF('制度詳細'!$H$17="",IF('制度詳細'!$J$17="","",IF(AND('制度詳細'!$J$17&gt;=AB$5,'制度詳細'!$J$17&lt;=EOMONTH(AB$5,0)),"◆","")),IF(MAX('制度詳細'!$H$17,AB$5)&lt;=MIN(IF('制度詳細'!$I$17="",EOMONTH(AB$5,0),'制度詳細'!$I$17),EOMONTH(AB$5,0)),"■",IF(AND('制度詳細'!$J$17&lt;&gt;"",'制度詳細'!$J$17&gt;=AB$5,'制度詳細'!$J$17&lt;=EOMONTH(AB$5,0)),"◆","")))</x:f>
      </x:c>
      <x:c r="AC17" s="57" t="str">
        <x:f>IF('制度詳細'!$H$17="",IF('制度詳細'!$J$17="","",IF(AND('制度詳細'!$J$17&gt;=AC$5,'制度詳細'!$J$17&lt;=EOMONTH(AC$5,0)),"◆","")),IF(MAX('制度詳細'!$H$17,AC$5)&lt;=MIN(IF('制度詳細'!$I$17="",EOMONTH(AC$5,0),'制度詳細'!$I$17),EOMONTH(AC$5,0)),"■",IF(AND('制度詳細'!$J$17&lt;&gt;"",'制度詳細'!$J$17&gt;=AC$5,'制度詳細'!$J$17&lt;=EOMONTH(AC$5,0)),"◆","")))</x:f>
      </x:c>
      <x:c r="AD17" s="57" t="str">
        <x:f>IF('制度詳細'!$H$17="",IF('制度詳細'!$J$17="","",IF(AND('制度詳細'!$J$17&gt;=AD$5,'制度詳細'!$J$17&lt;=EOMONTH(AD$5,0)),"◆","")),IF(MAX('制度詳細'!$H$17,AD$5)&lt;=MIN(IF('制度詳細'!$I$17="",EOMONTH(AD$5,0),'制度詳細'!$I$17),EOMONTH(AD$5,0)),"■",IF(AND('制度詳細'!$J$17&lt;&gt;"",'制度詳細'!$J$17&gt;=AD$5,'制度詳細'!$J$17&lt;=EOMONTH(AD$5,0)),"◆","")))</x:f>
      </x:c>
      <x:c r="AE17" s="57" t="str">
        <x:f>IF('制度詳細'!$H$17="",IF('制度詳細'!$J$17="","",IF(AND('制度詳細'!$J$17&gt;=AE$5,'制度詳細'!$J$17&lt;=EOMONTH(AE$5,0)),"◆","")),IF(MAX('制度詳細'!$H$17,AE$5)&lt;=MIN(IF('制度詳細'!$I$17="",EOMONTH(AE$5,0),'制度詳細'!$I$17),EOMONTH(AE$5,0)),"■",IF(AND('制度詳細'!$J$17&lt;&gt;"",'制度詳細'!$J$17&gt;=AE$5,'制度詳細'!$J$17&lt;=EOMONTH(AE$5,0)),"◆","")))</x:f>
      </x:c>
      <x:c r="AF17" s="57" t="str">
        <x:f>IF('制度詳細'!$H$17="",IF('制度詳細'!$J$17="","",IF(AND('制度詳細'!$J$17&gt;=AF$5,'制度詳細'!$J$17&lt;=EOMONTH(AF$5,0)),"◆","")),IF(MAX('制度詳細'!$H$17,AF$5)&lt;=MIN(IF('制度詳細'!$I$17="",EOMONTH(AF$5,0),'制度詳細'!$I$17),EOMONTH(AF$5,0)),"■",IF(AND('制度詳細'!$J$17&lt;&gt;"",'制度詳細'!$J$17&gt;=AF$5,'制度詳細'!$J$17&lt;=EOMONTH(AF$5,0)),"◆","")))</x:f>
      </x:c>
      <x:c r="AG17" s="57" t="str">
        <x:f>IF('制度詳細'!$H$17="",IF('制度詳細'!$J$17="","",IF(AND('制度詳細'!$J$17&gt;=AG$5,'制度詳細'!$J$17&lt;=EOMONTH(AG$5,0)),"◆","")),IF(MAX('制度詳細'!$H$17,AG$5)&lt;=MIN(IF('制度詳細'!$I$17="",EOMONTH(AG$5,0),'制度詳細'!$I$17),EOMONTH(AG$5,0)),"■",IF(AND('制度詳細'!$J$17&lt;&gt;"",'制度詳細'!$J$17&gt;=AG$5,'制度詳細'!$J$17&lt;=EOMONTH(AG$5,0)),"◆","")))</x:f>
      </x:c>
      <x:c r="AH17" s="57" t="str">
        <x:f>IF('制度詳細'!$H$17="",IF('制度詳細'!$J$17="","",IF(AND('制度詳細'!$J$17&gt;=AH$5,'制度詳細'!$J$17&lt;=EOMONTH(AH$5,0)),"◆","")),IF(MAX('制度詳細'!$H$17,AH$5)&lt;=MIN(IF('制度詳細'!$I$17="",EOMONTH(AH$5,0),'制度詳細'!$I$17),EOMONTH(AH$5,0)),"■",IF(AND('制度詳細'!$J$17&lt;&gt;"",'制度詳細'!$J$17&gt;=AH$5,'制度詳細'!$J$17&lt;=EOMONTH(AH$5,0)),"◆","")))</x:f>
      </x:c>
      <x:c r="AI17" s="57" t="str">
        <x:f>IF('制度詳細'!$H$17="",IF('制度詳細'!$J$17="","",IF(AND('制度詳細'!$J$17&gt;=AI$5,'制度詳細'!$J$17&lt;=EOMONTH(AI$5,0)),"◆","")),IF(MAX('制度詳細'!$H$17,AI$5)&lt;=MIN(IF('制度詳細'!$I$17="",EOMONTH(AI$5,0),'制度詳細'!$I$17),EOMONTH(AI$5,0)),"■",IF(AND('制度詳細'!$J$17&lt;&gt;"",'制度詳細'!$J$17&gt;=AI$5,'制度詳細'!$J$17&lt;=EOMONTH(AI$5,0)),"◆","")))</x:f>
      </x:c>
      <x:c r="AJ17" s="57" t="str">
        <x:f>IF('制度詳細'!$H$17="",IF('制度詳細'!$J$17="","",IF(AND('制度詳細'!$J$17&gt;=AJ$5,'制度詳細'!$J$17&lt;=EOMONTH(AJ$5,0)),"◆","")),IF(MAX('制度詳細'!$H$17,AJ$5)&lt;=MIN(IF('制度詳細'!$I$17="",EOMONTH(AJ$5,0),'制度詳細'!$I$17),EOMONTH(AJ$5,0)),"■",IF(AND('制度詳細'!$J$17&lt;&gt;"",'制度詳細'!$J$17&gt;=AJ$5,'制度詳細'!$J$17&lt;=EOMONTH(AJ$5,0)),"◆","")))</x:f>
      </x:c>
      <x:c r="AK17" s="57" t="str">
        <x:f>IF('制度詳細'!$H$17="",IF('制度詳細'!$J$17="","",IF(AND('制度詳細'!$J$17&gt;=AK$5,'制度詳細'!$J$17&lt;=EOMONTH(AK$5,0)),"◆","")),IF(MAX('制度詳細'!$H$17,AK$5)&lt;=MIN(IF('制度詳細'!$I$17="",EOMONTH(AK$5,0),'制度詳細'!$I$17),EOMONTH(AK$5,0)),"■",IF(AND('制度詳細'!$J$17&lt;&gt;"",'制度詳細'!$J$17&gt;=AK$5,'制度詳細'!$J$17&lt;=EOMONTH(AK$5,0)),"◆","")))</x:f>
      </x:c>
      <x:c r="AL17" s="57" t="str">
        <x:f>IF('制度詳細'!$H$17="",IF('制度詳細'!$J$17="","",IF(AND('制度詳細'!$J$17&gt;=AL$5,'制度詳細'!$J$17&lt;=EOMONTH(AL$5,0)),"◆","")),IF(MAX('制度詳細'!$H$17,AL$5)&lt;=MIN(IF('制度詳細'!$I$17="",EOMONTH(AL$5,0),'制度詳細'!$I$17),EOMONTH(AL$5,0)),"■",IF(AND('制度詳細'!$J$17&lt;&gt;"",'制度詳細'!$J$17&gt;=AL$5,'制度詳細'!$J$17&lt;=EOMONTH(AL$5,0)),"◆","")))</x:f>
      </x:c>
      <x:c r="AM17" s="57" t="str">
        <x:f>IF('制度詳細'!$H$17="",IF('制度詳細'!$J$17="","",IF(AND('制度詳細'!$J$17&gt;=AM$5,'制度詳細'!$J$17&lt;=EOMONTH(AM$5,0)),"◆","")),IF(MAX('制度詳細'!$H$17,AM$5)&lt;=MIN(IF('制度詳細'!$I$17="",EOMONTH(AM$5,0),'制度詳細'!$I$17),EOMONTH(AM$5,0)),"■",IF(AND('制度詳細'!$J$17&lt;&gt;"",'制度詳細'!$J$17&gt;=AM$5,'制度詳細'!$J$17&lt;=EOMONTH(AM$5,0)),"◆","")))</x:f>
      </x:c>
      <x:c r="AN17" s="57" t="str">
        <x:f>IF('制度詳細'!$H$17="",IF('制度詳細'!$J$17="","",IF(AND('制度詳細'!$J$17&gt;=AN$5,'制度詳細'!$J$17&lt;=EOMONTH(AN$5,0)),"◆","")),IF(MAX('制度詳細'!$H$17,AN$5)&lt;=MIN(IF('制度詳細'!$I$17="",EOMONTH(AN$5,0),'制度詳細'!$I$17),EOMONTH(AN$5,0)),"■",IF(AND('制度詳細'!$J$17&lt;&gt;"",'制度詳細'!$J$17&gt;=AN$5,'制度詳細'!$J$17&lt;=EOMONTH(AN$5,0)),"◆","")))</x:f>
      </x:c>
      <x:c r="AO17" s="57" t="str">
        <x:f>IF('制度詳細'!$H$17="",IF('制度詳細'!$J$17="","",IF(AND('制度詳細'!$J$17&gt;=AO$5,'制度詳細'!$J$17&lt;=EOMONTH(AO$5,0)),"◆","")),IF(MAX('制度詳細'!$H$17,AO$5)&lt;=MIN(IF('制度詳細'!$I$17="",EOMONTH(AO$5,0),'制度詳細'!$I$17),EOMONTH(AO$5,0)),"■",IF(AND('制度詳細'!$J$17&lt;&gt;"",'制度詳細'!$J$17&gt;=AO$5,'制度詳細'!$J$17&lt;=EOMONTH(AO$5,0)),"◆","")))</x:f>
      </x:c>
      <x:c r="AP17" s="57" t="str">
        <x:f>IF('制度詳細'!$H$17="",IF('制度詳細'!$J$17="","",IF(AND('制度詳細'!$J$17&gt;=AP$5,'制度詳細'!$J$17&lt;=EOMONTH(AP$5,0)),"◆","")),IF(MAX('制度詳細'!$H$17,AP$5)&lt;=MIN(IF('制度詳細'!$I$17="",EOMONTH(AP$5,0),'制度詳細'!$I$17),EOMONTH(AP$5,0)),"■",IF(AND('制度詳細'!$J$17&lt;&gt;"",'制度詳細'!$J$17&gt;=AP$5,'制度詳細'!$J$17&lt;=EOMONTH(AP$5,0)),"◆","")))</x:f>
      </x:c>
      <x:c r="AQ17" s="57" t="str">
        <x:f>IF('制度詳細'!$H$17="",IF('制度詳細'!$J$17="","",IF(AND('制度詳細'!$J$17&gt;=AQ$5,'制度詳細'!$J$17&lt;=EOMONTH(AQ$5,0)),"◆","")),IF(MAX('制度詳細'!$H$17,AQ$5)&lt;=MIN(IF('制度詳細'!$I$17="",EOMONTH(AQ$5,0),'制度詳細'!$I$17),EOMONTH(AQ$5,0)),"■",IF(AND('制度詳細'!$J$17&lt;&gt;"",'制度詳細'!$J$17&gt;=AQ$5,'制度詳細'!$J$17&lt;=EOMONTH(AQ$5,0)),"◆","")))</x:f>
      </x:c>
      <x:c r="AR17" s="57" t="str">
        <x:f>IF('制度詳細'!$H$17="",IF('制度詳細'!$J$17="","",IF(AND('制度詳細'!$J$17&gt;=AR$5,'制度詳細'!$J$17&lt;=EOMONTH(AR$5,0)),"◆","")),IF(MAX('制度詳細'!$H$17,AR$5)&lt;=MIN(IF('制度詳細'!$I$17="",EOMONTH(AR$5,0),'制度詳細'!$I$17),EOMONTH(AR$5,0)),"■",IF(AND('制度詳細'!$J$17&lt;&gt;"",'制度詳細'!$J$17&gt;=AR$5,'制度詳細'!$J$17&lt;=EOMONTH(AR$5,0)),"◆","")))</x:f>
      </x:c>
      <x:c r="AS17" s="57" t="str">
        <x:f>IF('制度詳細'!$H$17="",IF('制度詳細'!$J$17="","",IF(AND('制度詳細'!$J$17&gt;=AS$5,'制度詳細'!$J$17&lt;=EOMONTH(AS$5,0)),"◆","")),IF(MAX('制度詳細'!$H$17,AS$5)&lt;=MIN(IF('制度詳細'!$I$17="",EOMONTH(AS$5,0),'制度詳細'!$I$17),EOMONTH(AS$5,0)),"■",IF(AND('制度詳細'!$J$17&lt;&gt;"",'制度詳細'!$J$17&gt;=AS$5,'制度詳細'!$J$17&lt;=EOMONTH(AS$5,0)),"◆","")))</x:f>
      </x:c>
      <x:c r="AT17" s="57" t="str">
        <x:f>IF('制度詳細'!$H$17="",IF('制度詳細'!$J$17="","",IF(AND('制度詳細'!$J$17&gt;=AT$5,'制度詳細'!$J$17&lt;=EOMONTH(AT$5,0)),"◆","")),IF(MAX('制度詳細'!$H$17,AT$5)&lt;=MIN(IF('制度詳細'!$I$17="",EOMONTH(AT$5,0),'制度詳細'!$I$17),EOMONTH(AT$5,0)),"■",IF(AND('制度詳細'!$J$17&lt;&gt;"",'制度詳細'!$J$17&gt;=AT$5,'制度詳細'!$J$17&lt;=EOMONTH(AT$5,0)),"◆","")))</x:f>
      </x:c>
      <x:c r="AU17" s="57" t="str">
        <x:f>IF('制度詳細'!$H$17="",IF('制度詳細'!$J$17="","",IF(AND('制度詳細'!$J$17&gt;=AU$5,'制度詳細'!$J$17&lt;=EOMONTH(AU$5,0)),"◆","")),IF(MAX('制度詳細'!$H$17,AU$5)&lt;=MIN(IF('制度詳細'!$I$17="",EOMONTH(AU$5,0),'制度詳細'!$I$17),EOMONTH(AU$5,0)),"■",IF(AND('制度詳細'!$J$17&lt;&gt;"",'制度詳細'!$J$17&gt;=AU$5,'制度詳細'!$J$17&lt;=EOMONTH(AU$5,0)),"◆","")))</x:f>
      </x:c>
      <x:c r="AV17" s="57" t="str">
        <x:f>IF('制度詳細'!$H$17="",IF('制度詳細'!$J$17="","",IF(AND('制度詳細'!$J$17&gt;=AV$5,'制度詳細'!$J$17&lt;=EOMONTH(AV$5,0)),"◆","")),IF(MAX('制度詳細'!$H$17,AV$5)&lt;=MIN(IF('制度詳細'!$I$17="",EOMONTH(AV$5,0),'制度詳細'!$I$17),EOMONTH(AV$5,0)),"■",IF(AND('制度詳細'!$J$17&lt;&gt;"",'制度詳細'!$J$17&gt;=AV$5,'制度詳細'!$J$17&lt;=EOMONTH(AV$5,0)),"◆","")))</x:f>
      </x:c>
      <x:c r="AW17" s="57" t="str">
        <x:f>IF('制度詳細'!$H$17="",IF('制度詳細'!$J$17="","",IF(AND('制度詳細'!$J$17&gt;=AW$5,'制度詳細'!$J$17&lt;=EOMONTH(AW$5,0)),"◆","")),IF(MAX('制度詳細'!$H$17,AW$5)&lt;=MIN(IF('制度詳細'!$I$17="",EOMONTH(AW$5,0),'制度詳細'!$I$17),EOMONTH(AW$5,0)),"■",IF(AND('制度詳細'!$J$17&lt;&gt;"",'制度詳細'!$J$17&gt;=AW$5,'制度詳細'!$J$17&lt;=EOMONTH(AW$5,0)),"◆","")))</x:f>
      </x:c>
      <x:c r="AX17" s="57" t="str">
        <x:f>IF('制度詳細'!$H$17="",IF('制度詳細'!$J$17="","",IF(AND('制度詳細'!$J$17&gt;=AX$5,'制度詳細'!$J$17&lt;=EOMONTH(AX$5,0)),"◆","")),IF(MAX('制度詳細'!$H$17,AX$5)&lt;=MIN(IF('制度詳細'!$I$17="",EOMONTH(AX$5,0),'制度詳細'!$I$17),EOMONTH(AX$5,0)),"■",IF(AND('制度詳細'!$J$17&lt;&gt;"",'制度詳細'!$J$17&gt;=AX$5,'制度詳細'!$J$17&lt;=EOMONTH(AX$5,0)),"◆","")))</x:f>
      </x:c>
      <x:c r="AY17" s="57" t="str">
        <x:f>IF('制度詳細'!$H$17="",IF('制度詳細'!$J$17="","",IF(AND('制度詳細'!$J$17&gt;=AY$5,'制度詳細'!$J$17&lt;=EOMONTH(AY$5,0)),"◆","")),IF(MAX('制度詳細'!$H$17,AY$5)&lt;=MIN(IF('制度詳細'!$I$17="",EOMONTH(AY$5,0),'制度詳細'!$I$17),EOMONTH(AY$5,0)),"■",IF(AND('制度詳細'!$J$17&lt;&gt;"",'制度詳細'!$J$17&gt;=AY$5,'制度詳細'!$J$17&lt;=EOMONTH(AY$5,0)),"◆","")))</x:f>
      </x:c>
      <x:c r="AZ17" s="57" t="str">
        <x:f>IF('制度詳細'!$H$17="",IF('制度詳細'!$J$17="","",IF(AND('制度詳細'!$J$17&gt;=AZ$5,'制度詳細'!$J$17&lt;=EOMONTH(AZ$5,0)),"◆","")),IF(MAX('制度詳細'!$H$17,AZ$5)&lt;=MIN(IF('制度詳細'!$I$17="",EOMONTH(AZ$5,0),'制度詳細'!$I$17),EOMONTH(AZ$5,0)),"■",IF(AND('制度詳細'!$J$17&lt;&gt;"",'制度詳細'!$J$17&gt;=AZ$5,'制度詳細'!$J$17&lt;=EOMONTH(AZ$5,0)),"◆","")))</x:f>
      </x:c>
      <x:c r="BA17" s="57" t="str">
        <x:f>IF('制度詳細'!$H$17="",IF('制度詳細'!$J$17="","",IF(AND('制度詳細'!$J$17&gt;=BA$5,'制度詳細'!$J$17&lt;=EOMONTH(BA$5,0)),"◆","")),IF(MAX('制度詳細'!$H$17,BA$5)&lt;=MIN(IF('制度詳細'!$I$17="",EOMONTH(BA$5,0),'制度詳細'!$I$17),EOMONTH(BA$5,0)),"■",IF(AND('制度詳細'!$J$17&lt;&gt;"",'制度詳細'!$J$17&gt;=BA$5,'制度詳細'!$J$17&lt;=EOMONTH(BA$5,0)),"◆","")))</x:f>
      </x:c>
      <x:c r="BB17" s="57" t="str">
        <x:f>IF('制度詳細'!$H$17="",IF('制度詳細'!$J$17="","",IF(AND('制度詳細'!$J$17&gt;=BB$5,'制度詳細'!$J$17&lt;=EOMONTH(BB$5,0)),"◆","")),IF(MAX('制度詳細'!$H$17,BB$5)&lt;=MIN(IF('制度詳細'!$I$17="",EOMONTH(BB$5,0),'制度詳細'!$I$17),EOMONTH(BB$5,0)),"■",IF(AND('制度詳細'!$J$17&lt;&gt;"",'制度詳細'!$J$17&gt;=BB$5,'制度詳細'!$J$17&lt;=EOMONTH(BB$5,0)),"◆","")))</x:f>
      </x:c>
      <x:c r="BC17" s="57" t="str">
        <x:f>IF('制度詳細'!$H$17="",IF('制度詳細'!$J$17="","",IF(AND('制度詳細'!$J$17&gt;=BC$5,'制度詳細'!$J$17&lt;=EOMONTH(BC$5,0)),"◆","")),IF(MAX('制度詳細'!$H$17,BC$5)&lt;=MIN(IF('制度詳細'!$I$17="",EOMONTH(BC$5,0),'制度詳細'!$I$17),EOMONTH(BC$5,0)),"■",IF(AND('制度詳細'!$J$17&lt;&gt;"",'制度詳細'!$J$17&gt;=BC$5,'制度詳細'!$J$17&lt;=EOMONTH(BC$5,0)),"◆","")))</x:f>
      </x:c>
      <x:c r="BD17" s="57" t="str">
        <x:f>IF('制度詳細'!$H$17="",IF('制度詳細'!$J$17="","",IF(AND('制度詳細'!$J$17&gt;=BD$5,'制度詳細'!$J$17&lt;=EOMONTH(BD$5,0)),"◆","")),IF(MAX('制度詳細'!$H$17,BD$5)&lt;=MIN(IF('制度詳細'!$I$17="",EOMONTH(BD$5,0),'制度詳細'!$I$17),EOMONTH(BD$5,0)),"■",IF(AND('制度詳細'!$J$17&lt;&gt;"",'制度詳細'!$J$17&gt;=BD$5,'制度詳細'!$J$17&lt;=EOMONTH(BD$5,0)),"◆","")))</x:f>
      </x:c>
      <x:c r="BE17" s="57" t="str">
        <x:f>IF('制度詳細'!$H$17="",IF('制度詳細'!$J$17="","",IF(AND('制度詳細'!$J$17&gt;=BE$5,'制度詳細'!$J$17&lt;=EOMONTH(BE$5,0)),"◆","")),IF(MAX('制度詳細'!$H$17,BE$5)&lt;=MIN(IF('制度詳細'!$I$17="",EOMONTH(BE$5,0),'制度詳細'!$I$17),EOMONTH(BE$5,0)),"■",IF(AND('制度詳細'!$J$17&lt;&gt;"",'制度詳細'!$J$17&gt;=BE$5,'制度詳細'!$J$17&lt;=EOMONTH(BE$5,0)),"◆","")))</x:f>
      </x:c>
      <x:c r="BF17" s="57" t="str">
        <x:f>IF('制度詳細'!$H$17="",IF('制度詳細'!$J$17="","",IF(AND('制度詳細'!$J$17&gt;=BF$5,'制度詳細'!$J$17&lt;=EOMONTH(BF$5,0)),"◆","")),IF(MAX('制度詳細'!$H$17,BF$5)&lt;=MIN(IF('制度詳細'!$I$17="",EOMONTH(BF$5,0),'制度詳細'!$I$17),EOMONTH(BF$5,0)),"■",IF(AND('制度詳細'!$J$17&lt;&gt;"",'制度詳細'!$J$17&gt;=BF$5,'制度詳細'!$J$17&lt;=EOMONTH(BF$5,0)),"◆","")))</x:f>
      </x:c>
      <x:c r="BG17" s="57" t="str">
        <x:f>IF('制度詳細'!$H$17="",IF('制度詳細'!$J$17="","",IF(AND('制度詳細'!$J$17&gt;=BG$5,'制度詳細'!$J$17&lt;=EOMONTH(BG$5,0)),"◆","")),IF(MAX('制度詳細'!$H$17,BG$5)&lt;=MIN(IF('制度詳細'!$I$17="",EOMONTH(BG$5,0),'制度詳細'!$I$17),EOMONTH(BG$5,0)),"■",IF(AND('制度詳細'!$J$17&lt;&gt;"",'制度詳細'!$J$17&gt;=BG$5,'制度詳細'!$J$17&lt;=EOMONTH(BG$5,0)),"◆","")))</x:f>
      </x:c>
      <x:c r="BH17" s="57" t="str">
        <x:f>IF('制度詳細'!$H$17="",IF('制度詳細'!$J$17="","",IF(AND('制度詳細'!$J$17&gt;=BH$5,'制度詳細'!$J$17&lt;=EOMONTH(BH$5,0)),"◆","")),IF(MAX('制度詳細'!$H$17,BH$5)&lt;=MIN(IF('制度詳細'!$I$17="",EOMONTH(BH$5,0),'制度詳細'!$I$17),EOMONTH(BH$5,0)),"■",IF(AND('制度詳細'!$J$17&lt;&gt;"",'制度詳細'!$J$17&gt;=BH$5,'制度詳細'!$J$17&lt;=EOMONTH(BH$5,0)),"◆","")))</x:f>
      </x:c>
      <x:c r="BI17" s="57" t="str">
        <x:f>IF('制度詳細'!$H$17="",IF('制度詳細'!$J$17="","",IF(AND('制度詳細'!$J$17&gt;=BI$5,'制度詳細'!$J$17&lt;=EOMONTH(BI$5,0)),"◆","")),IF(MAX('制度詳細'!$H$17,BI$5)&lt;=MIN(IF('制度詳細'!$I$17="",EOMONTH(BI$5,0),'制度詳細'!$I$17),EOMONTH(BI$5,0)),"■",IF(AND('制度詳細'!$J$17&lt;&gt;"",'制度詳細'!$J$17&gt;=BI$5,'制度詳細'!$J$17&lt;=EOMONTH(BI$5,0)),"◆","")))</x:f>
      </x:c>
      <x:c r="BJ17" s="57" t="str">
        <x:f>IF('制度詳細'!$H$17="",IF('制度詳細'!$J$17="","",IF(AND('制度詳細'!$J$17&gt;=BJ$5,'制度詳細'!$J$17&lt;=EOMONTH(BJ$5,0)),"◆","")),IF(MAX('制度詳細'!$H$17,BJ$5)&lt;=MIN(IF('制度詳細'!$I$17="",EOMONTH(BJ$5,0),'制度詳細'!$I$17),EOMONTH(BJ$5,0)),"■",IF(AND('制度詳細'!$J$17&lt;&gt;"",'制度詳細'!$J$17&gt;=BJ$5,'制度詳細'!$J$17&lt;=EOMONTH(BJ$5,0)),"◆","")))</x:f>
      </x:c>
      <x:c r="BK17" s="57" t="str">
        <x:f>IF('制度詳細'!$H$17="",IF('制度詳細'!$J$17="","",IF(AND('制度詳細'!$J$17&gt;=BK$5,'制度詳細'!$J$17&lt;=EOMONTH(BK$5,0)),"◆","")),IF(MAX('制度詳細'!$H$17,BK$5)&lt;=MIN(IF('制度詳細'!$I$17="",EOMONTH(BK$5,0),'制度詳細'!$I$17),EOMONTH(BK$5,0)),"■",IF(AND('制度詳細'!$J$17&lt;&gt;"",'制度詳細'!$J$17&gt;=BK$5,'制度詳細'!$J$17&lt;=EOMONTH(BK$5,0)),"◆","")))</x:f>
      </x:c>
      <x:c r="BL17" s="57" t="str">
        <x:f>IF('制度詳細'!$H$17="",IF('制度詳細'!$J$17="","",IF(AND('制度詳細'!$J$17&gt;=BL$5,'制度詳細'!$J$17&lt;=EOMONTH(BL$5,0)),"◆","")),IF(MAX('制度詳細'!$H$17,BL$5)&lt;=MIN(IF('制度詳細'!$I$17="",EOMONTH(BL$5,0),'制度詳細'!$I$17),EOMONTH(BL$5,0)),"■",IF(AND('制度詳細'!$J$17&lt;&gt;"",'制度詳細'!$J$17&gt;=BL$5,'制度詳細'!$J$17&lt;=EOMONTH(BL$5,0)),"◆","")))</x:f>
      </x:c>
      <x:c r="BM17" s="57" t="str">
        <x:f>IF('制度詳細'!$H$17="",IF('制度詳細'!$J$17="","",IF(AND('制度詳細'!$J$17&gt;=BM$5,'制度詳細'!$J$17&lt;=EOMONTH(BM$5,0)),"◆","")),IF(MAX('制度詳細'!$H$17,BM$5)&lt;=MIN(IF('制度詳細'!$I$17="",EOMONTH(BM$5,0),'制度詳細'!$I$17),EOMONTH(BM$5,0)),"■",IF(AND('制度詳細'!$J$17&lt;&gt;"",'制度詳細'!$J$17&gt;=BM$5,'制度詳細'!$J$17&lt;=EOMONTH(BM$5,0)),"◆","")))</x:f>
        <x:v>■</x:v>
      </x:c>
      <x:c r="BN17" s="57" t="str">
        <x:f>IF('制度詳細'!$H$17="",IF('制度詳細'!$J$17="","",IF(AND('制度詳細'!$J$17&gt;=BN$5,'制度詳細'!$J$17&lt;=EOMONTH(BN$5,0)),"◆","")),IF(MAX('制度詳細'!$H$17,BN$5)&lt;=MIN(IF('制度詳細'!$I$17="",EOMONTH(BN$5,0),'制度詳細'!$I$17),EOMONTH(BN$5,0)),"■",IF(AND('制度詳細'!$J$17&lt;&gt;"",'制度詳細'!$J$17&gt;=BN$5,'制度詳細'!$J$17&lt;=EOMONTH(BN$5,0)),"◆","")))</x:f>
        <x:v>■</x:v>
      </x:c>
      <x:c r="BO17" s="57" t="str">
        <x:f>IF('制度詳細'!$H$17="",IF('制度詳細'!$J$17="","",IF(AND('制度詳細'!$J$17&gt;=BO$5,'制度詳細'!$J$17&lt;=EOMONTH(BO$5,0)),"◆","")),IF(MAX('制度詳細'!$H$17,BO$5)&lt;=MIN(IF('制度詳細'!$I$17="",EOMONTH(BO$5,0),'制度詳細'!$I$17),EOMONTH(BO$5,0)),"■",IF(AND('制度詳細'!$J$17&lt;&gt;"",'制度詳細'!$J$17&gt;=BO$5,'制度詳細'!$J$17&lt;=EOMONTH(BO$5,0)),"◆","")))</x:f>
        <x:v>■</x:v>
      </x:c>
      <x:c r="BP17" s="57" t="str">
        <x:f>IF('制度詳細'!$H$17="",IF('制度詳細'!$J$17="","",IF(AND('制度詳細'!$J$17&gt;=BP$5,'制度詳細'!$J$17&lt;=EOMONTH(BP$5,0)),"◆","")),IF(MAX('制度詳細'!$H$17,BP$5)&lt;=MIN(IF('制度詳細'!$I$17="",EOMONTH(BP$5,0),'制度詳細'!$I$17),EOMONTH(BP$5,0)),"■",IF(AND('制度詳細'!$J$17&lt;&gt;"",'制度詳細'!$J$17&gt;=BP$5,'制度詳細'!$J$17&lt;=EOMONTH(BP$5,0)),"◆","")))</x:f>
        <x:v>■</x:v>
      </x:c>
      <x:c r="BQ17" s="57" t="str">
        <x:f>IF('制度詳細'!$H$17="",IF('制度詳細'!$J$17="","",IF(AND('制度詳細'!$J$17&gt;=BQ$5,'制度詳細'!$J$17&lt;=EOMONTH(BQ$5,0)),"◆","")),IF(MAX('制度詳細'!$H$17,BQ$5)&lt;=MIN(IF('制度詳細'!$I$17="",EOMONTH(BQ$5,0),'制度詳細'!$I$17),EOMONTH(BQ$5,0)),"■",IF(AND('制度詳細'!$J$17&lt;&gt;"",'制度詳細'!$J$17&gt;=BQ$5,'制度詳細'!$J$17&lt;=EOMONTH(BQ$5,0)),"◆","")))</x:f>
        <x:v>■</x:v>
      </x:c>
      <x:c r="BR17" s="57" t="str">
        <x:f>IF('制度詳細'!$H$17="",IF('制度詳細'!$J$17="","",IF(AND('制度詳細'!$J$17&gt;=BR$5,'制度詳細'!$J$17&lt;=EOMONTH(BR$5,0)),"◆","")),IF(MAX('制度詳細'!$H$17,BR$5)&lt;=MIN(IF('制度詳細'!$I$17="",EOMONTH(BR$5,0),'制度詳細'!$I$17),EOMONTH(BR$5,0)),"■",IF(AND('制度詳細'!$J$17&lt;&gt;"",'制度詳細'!$J$17&gt;=BR$5,'制度詳細'!$J$17&lt;=EOMONTH(BR$5,0)),"◆","")))</x:f>
        <x:v>■</x:v>
      </x:c>
      <x:c r="BS17" s="57" t="str">
        <x:f>IF('制度詳細'!$H$17="",IF('制度詳細'!$J$17="","",IF(AND('制度詳細'!$J$17&gt;=BS$5,'制度詳細'!$J$17&lt;=EOMONTH(BS$5,0)),"◆","")),IF(MAX('制度詳細'!$H$17,BS$5)&lt;=MIN(IF('制度詳細'!$I$17="",EOMONTH(BS$5,0),'制度詳細'!$I$17),EOMONTH(BS$5,0)),"■",IF(AND('制度詳細'!$J$17&lt;&gt;"",'制度詳細'!$J$17&gt;=BS$5,'制度詳細'!$J$17&lt;=EOMONTH(BS$5,0)),"◆","")))</x:f>
        <x:v>■</x:v>
      </x:c>
      <x:c r="BT17" s="57" t="str">
        <x:f>IF('制度詳細'!$H$17="",IF('制度詳細'!$J$17="","",IF(AND('制度詳細'!$J$17&gt;=BT$5,'制度詳細'!$J$17&lt;=EOMONTH(BT$5,0)),"◆","")),IF(MAX('制度詳細'!$H$17,BT$5)&lt;=MIN(IF('制度詳細'!$I$17="",EOMONTH(BT$5,0),'制度詳細'!$I$17),EOMONTH(BT$5,0)),"■",IF(AND('制度詳細'!$J$17&lt;&gt;"",'制度詳細'!$J$17&gt;=BT$5,'制度詳細'!$J$17&lt;=EOMONTH(BT$5,0)),"◆","")))</x:f>
        <x:v>■</x:v>
      </x:c>
      <x:c r="BU17" s="57" t="str">
        <x:f>IF('制度詳細'!$H$17="",IF('制度詳細'!$J$17="","",IF(AND('制度詳細'!$J$17&gt;=BU$5,'制度詳細'!$J$17&lt;=EOMONTH(BU$5,0)),"◆","")),IF(MAX('制度詳細'!$H$17,BU$5)&lt;=MIN(IF('制度詳細'!$I$17="",EOMONTH(BU$5,0),'制度詳細'!$I$17),EOMONTH(BU$5,0)),"■",IF(AND('制度詳細'!$J$17&lt;&gt;"",'制度詳細'!$J$17&gt;=BU$5,'制度詳細'!$J$17&lt;=EOMONTH(BU$5,0)),"◆","")))</x:f>
        <x:v>■</x:v>
      </x:c>
      <x:c r="BV17" s="57" t="str">
        <x:f>IF('制度詳細'!$H$17="",IF('制度詳細'!$J$17="","",IF(AND('制度詳細'!$J$17&gt;=BV$5,'制度詳細'!$J$17&lt;=EOMONTH(BV$5,0)),"◆","")),IF(MAX('制度詳細'!$H$17,BV$5)&lt;=MIN(IF('制度詳細'!$I$17="",EOMONTH(BV$5,0),'制度詳細'!$I$17),EOMONTH(BV$5,0)),"■",IF(AND('制度詳細'!$J$17&lt;&gt;"",'制度詳細'!$J$17&gt;=BV$5,'制度詳細'!$J$17&lt;=EOMONTH(BV$5,0)),"◆","")))</x:f>
        <x:v>■</x:v>
      </x:c>
      <x:c r="BW17" s="57" t="str">
        <x:f>IF('制度詳細'!$H$17="",IF('制度詳細'!$J$17="","",IF(AND('制度詳細'!$J$17&gt;=BW$5,'制度詳細'!$J$17&lt;=EOMONTH(BW$5,0)),"◆","")),IF(MAX('制度詳細'!$H$17,BW$5)&lt;=MIN(IF('制度詳細'!$I$17="",EOMONTH(BW$5,0),'制度詳細'!$I$17),EOMONTH(BW$5,0)),"■",IF(AND('制度詳細'!$J$17&lt;&gt;"",'制度詳細'!$J$17&gt;=BW$5,'制度詳細'!$J$17&lt;=EOMONTH(BW$5,0)),"◆","")))</x:f>
        <x:v>■</x:v>
      </x:c>
      <x:c r="BX17" s="57" t="str">
        <x:f>IF('制度詳細'!$H$17="",IF('制度詳細'!$J$17="","",IF(AND('制度詳細'!$J$17&gt;=BX$5,'制度詳細'!$J$17&lt;=EOMONTH(BX$5,0)),"◆","")),IF(MAX('制度詳細'!$H$17,BX$5)&lt;=MIN(IF('制度詳細'!$I$17="",EOMONTH(BX$5,0),'制度詳細'!$I$17),EOMONTH(BX$5,0)),"■",IF(AND('制度詳細'!$J$17&lt;&gt;"",'制度詳細'!$J$17&gt;=BX$5,'制度詳細'!$J$17&lt;=EOMONTH(BX$5,0)),"◆","")))</x:f>
        <x:v>■</x:v>
      </x:c>
      <x:c r="BY17" s="57" t="str">
        <x:f>IF('制度詳細'!$H$17="",IF('制度詳細'!$J$17="","",IF(AND('制度詳細'!$J$17&gt;=BY$5,'制度詳細'!$J$17&lt;=EOMONTH(BY$5,0)),"◆","")),IF(MAX('制度詳細'!$H$17,BY$5)&lt;=MIN(IF('制度詳細'!$I$17="",EOMONTH(BY$5,0),'制度詳細'!$I$17),EOMONTH(BY$5,0)),"■",IF(AND('制度詳細'!$J$17&lt;&gt;"",'制度詳細'!$J$17&gt;=BY$5,'制度詳細'!$J$17&lt;=EOMONTH(BY$5,0)),"◆","")))</x:f>
      </x:c>
      <x:c r="BZ17" s="57" t="str">
        <x:f>IF('制度詳細'!$H$17="",IF('制度詳細'!$J$17="","",IF(AND('制度詳細'!$J$17&gt;=BZ$5,'制度詳細'!$J$17&lt;=EOMONTH(BZ$5,0)),"◆","")),IF(MAX('制度詳細'!$H$17,BZ$5)&lt;=MIN(IF('制度詳細'!$I$17="",EOMONTH(BZ$5,0),'制度詳細'!$I$17),EOMONTH(BZ$5,0)),"■",IF(AND('制度詳細'!$J$17&lt;&gt;"",'制度詳細'!$J$17&gt;=BZ$5,'制度詳細'!$J$17&lt;=EOMONTH(BZ$5,0)),"◆","")))</x:f>
      </x:c>
      <x:c r="CA17" s="57" t="str">
        <x:f>IF('制度詳細'!$H$17="",IF('制度詳細'!$J$17="","",IF(AND('制度詳細'!$J$17&gt;=CA$5,'制度詳細'!$J$17&lt;=EOMONTH(CA$5,0)),"◆","")),IF(MAX('制度詳細'!$H$17,CA$5)&lt;=MIN(IF('制度詳細'!$I$17="",EOMONTH(CA$5,0),'制度詳細'!$I$17),EOMONTH(CA$5,0)),"■",IF(AND('制度詳細'!$J$17&lt;&gt;"",'制度詳細'!$J$17&gt;=CA$5,'制度詳細'!$J$17&lt;=EOMONTH(CA$5,0)),"◆","")))</x:f>
      </x:c>
      <x:c r="CB17" s="57" t="str">
        <x:f>IF('制度詳細'!$H$17="",IF('制度詳細'!$J$17="","",IF(AND('制度詳細'!$J$17&gt;=CB$5,'制度詳細'!$J$17&lt;=EOMONTH(CB$5,0)),"◆","")),IF(MAX('制度詳細'!$H$17,CB$5)&lt;=MIN(IF('制度詳細'!$I$17="",EOMONTH(CB$5,0),'制度詳細'!$I$17),EOMONTH(CB$5,0)),"■",IF(AND('制度詳細'!$J$17&lt;&gt;"",'制度詳細'!$J$17&gt;=CB$5,'制度詳細'!$J$17&lt;=EOMONTH(CB$5,0)),"◆","")))</x:f>
      </x:c>
      <x:c r="CC17" s="57" t="str">
        <x:f>IF('制度詳細'!$H$17="",IF('制度詳細'!$J$17="","",IF(AND('制度詳細'!$J$17&gt;=CC$5,'制度詳細'!$J$17&lt;=EOMONTH(CC$5,0)),"◆","")),IF(MAX('制度詳細'!$H$17,CC$5)&lt;=MIN(IF('制度詳細'!$I$17="",EOMONTH(CC$5,0),'制度詳細'!$I$17),EOMONTH(CC$5,0)),"■",IF(AND('制度詳細'!$J$17&lt;&gt;"",'制度詳細'!$J$17&gt;=CC$5,'制度詳細'!$J$17&lt;=EOMONTH(CC$5,0)),"◆","")))</x:f>
      </x:c>
      <x:c r="CD17" s="57" t="str">
        <x:f>IF('制度詳細'!$H$17="",IF('制度詳細'!$J$17="","",IF(AND('制度詳細'!$J$17&gt;=CD$5,'制度詳細'!$J$17&lt;=EOMONTH(CD$5,0)),"◆","")),IF(MAX('制度詳細'!$H$17,CD$5)&lt;=MIN(IF('制度詳細'!$I$17="",EOMONTH(CD$5,0),'制度詳細'!$I$17),EOMONTH(CD$5,0)),"■",IF(AND('制度詳細'!$J$17&lt;&gt;"",'制度詳細'!$J$17&gt;=CD$5,'制度詳細'!$J$17&lt;=EOMONTH(CD$5,0)),"◆","")))</x:f>
      </x:c>
      <x:c r="CE17" s="57" t="str">
        <x:f>IF('制度詳細'!$H$17="",IF('制度詳細'!$J$17="","",IF(AND('制度詳細'!$J$17&gt;=CE$5,'制度詳細'!$J$17&lt;=EOMONTH(CE$5,0)),"◆","")),IF(MAX('制度詳細'!$H$17,CE$5)&lt;=MIN(IF('制度詳細'!$I$17="",EOMONTH(CE$5,0),'制度詳細'!$I$17),EOMONTH(CE$5,0)),"■",IF(AND('制度詳細'!$J$17&lt;&gt;"",'制度詳細'!$J$17&gt;=CE$5,'制度詳細'!$J$17&lt;=EOMONTH(CE$5,0)),"◆","")))</x:f>
      </x:c>
      <x:c r="CF17" s="57" t="str">
        <x:f>IF('制度詳細'!$H$17="",IF('制度詳細'!$J$17="","",IF(AND('制度詳細'!$J$17&gt;=CF$5,'制度詳細'!$J$17&lt;=EOMONTH(CF$5,0)),"◆","")),IF(MAX('制度詳細'!$H$17,CF$5)&lt;=MIN(IF('制度詳細'!$I$17="",EOMONTH(CF$5,0),'制度詳細'!$I$17),EOMONTH(CF$5,0)),"■",IF(AND('制度詳細'!$J$17&lt;&gt;"",'制度詳細'!$J$17&gt;=CF$5,'制度詳細'!$J$17&lt;=EOMONTH(CF$5,0)),"◆","")))</x:f>
      </x:c>
      <x:c r="CG17" s="57" t="str">
        <x:f>IF('制度詳細'!$H$17="",IF('制度詳細'!$J$17="","",IF(AND('制度詳細'!$J$17&gt;=CG$5,'制度詳細'!$J$17&lt;=EOMONTH(CG$5,0)),"◆","")),IF(MAX('制度詳細'!$H$17,CG$5)&lt;=MIN(IF('制度詳細'!$I$17="",EOMONTH(CG$5,0),'制度詳細'!$I$17),EOMONTH(CG$5,0)),"■",IF(AND('制度詳細'!$J$17&lt;&gt;"",'制度詳細'!$J$17&gt;=CG$5,'制度詳細'!$J$17&lt;=EOMONTH(CG$5,0)),"◆","")))</x:f>
      </x:c>
      <x:c r="CH17" s="57" t="str">
        <x:f>IF('制度詳細'!$H$17="",IF('制度詳細'!$J$17="","",IF(AND('制度詳細'!$J$17&gt;=CH$5,'制度詳細'!$J$17&lt;=EOMONTH(CH$5,0)),"◆","")),IF(MAX('制度詳細'!$H$17,CH$5)&lt;=MIN(IF('制度詳細'!$I$17="",EOMONTH(CH$5,0),'制度詳細'!$I$17),EOMONTH(CH$5,0)),"■",IF(AND('制度詳細'!$J$17&lt;&gt;"",'制度詳細'!$J$17&gt;=CH$5,'制度詳細'!$J$17&lt;=EOMONTH(CH$5,0)),"◆","")))</x:f>
      </x:c>
      <x:c r="CI17" s="57" t="str">
        <x:f>IF('制度詳細'!$H$17="",IF('制度詳細'!$J$17="","",IF(AND('制度詳細'!$J$17&gt;=CI$5,'制度詳細'!$J$17&lt;=EOMONTH(CI$5,0)),"◆","")),IF(MAX('制度詳細'!$H$17,CI$5)&lt;=MIN(IF('制度詳細'!$I$17="",EOMONTH(CI$5,0),'制度詳細'!$I$17),EOMONTH(CI$5,0)),"■",IF(AND('制度詳細'!$J$17&lt;&gt;"",'制度詳細'!$J$17&gt;=CI$5,'制度詳細'!$J$17&lt;=EOMONTH(CI$5,0)),"◆","")))</x:f>
      </x:c>
      <x:c r="CJ17" s="57" t="str">
        <x:f>IF('制度詳細'!$H$17="",IF('制度詳細'!$J$17="","",IF(AND('制度詳細'!$J$17&gt;=CJ$5,'制度詳細'!$J$17&lt;=EOMONTH(CJ$5,0)),"◆","")),IF(MAX('制度詳細'!$H$17,CJ$5)&lt;=MIN(IF('制度詳細'!$I$17="",EOMONTH(CJ$5,0),'制度詳細'!$I$17),EOMONTH(CJ$5,0)),"■",IF(AND('制度詳細'!$J$17&lt;&gt;"",'制度詳細'!$J$17&gt;=CJ$5,'制度詳細'!$J$17&lt;=EOMONTH(CJ$5,0)),"◆","")))</x:f>
      </x:c>
      <x:c r="CK17" s="57" t="str">
        <x:f>IF('制度詳細'!$H$17="",IF('制度詳細'!$J$17="","",IF(AND('制度詳細'!$J$17&gt;=CK$5,'制度詳細'!$J$17&lt;=EOMONTH(CK$5,0)),"◆","")),IF(MAX('制度詳細'!$H$17,CK$5)&lt;=MIN(IF('制度詳細'!$I$17="",EOMONTH(CK$5,0),'制度詳細'!$I$17),EOMONTH(CK$5,0)),"■",IF(AND('制度詳細'!$J$17&lt;&gt;"",'制度詳細'!$J$17&gt;=CK$5,'制度詳細'!$J$17&lt;=EOMONTH(CK$5,0)),"◆","")))</x:f>
      </x:c>
      <x:c r="CL17" s="57" t="str">
        <x:f>IF('制度詳細'!$H$17="",IF('制度詳細'!$J$17="","",IF(AND('制度詳細'!$J$17&gt;=CL$5,'制度詳細'!$J$17&lt;=EOMONTH(CL$5,0)),"◆","")),IF(MAX('制度詳細'!$H$17,CL$5)&lt;=MIN(IF('制度詳細'!$I$17="",EOMONTH(CL$5,0),'制度詳細'!$I$17),EOMONTH(CL$5,0)),"■",IF(AND('制度詳細'!$J$17&lt;&gt;"",'制度詳細'!$J$17&gt;=CL$5,'制度詳細'!$J$17&lt;=EOMONTH(CL$5,0)),"◆","")))</x:f>
      </x:c>
      <x:c r="CM17" s="57" t="str">
        <x:f>IF('制度詳細'!$H$17="",IF('制度詳細'!$J$17="","",IF(AND('制度詳細'!$J$17&gt;=CM$5,'制度詳細'!$J$17&lt;=EOMONTH(CM$5,0)),"◆","")),IF(MAX('制度詳細'!$H$17,CM$5)&lt;=MIN(IF('制度詳細'!$I$17="",EOMONTH(CM$5,0),'制度詳細'!$I$17),EOMONTH(CM$5,0)),"■",IF(AND('制度詳細'!$J$17&lt;&gt;"",'制度詳細'!$J$17&gt;=CM$5,'制度詳細'!$J$17&lt;=EOMONTH(CM$5,0)),"◆","")))</x:f>
      </x:c>
      <x:c r="CN17" s="57" t="str">
        <x:f>IF('制度詳細'!$H$17="",IF('制度詳細'!$J$17="","",IF(AND('制度詳細'!$J$17&gt;=CN$5,'制度詳細'!$J$17&lt;=EOMONTH(CN$5,0)),"◆","")),IF(MAX('制度詳細'!$H$17,CN$5)&lt;=MIN(IF('制度詳細'!$I$17="",EOMONTH(CN$5,0),'制度詳細'!$I$17),EOMONTH(CN$5,0)),"■",IF(AND('制度詳細'!$J$17&lt;&gt;"",'制度詳細'!$J$17&gt;=CN$5,'制度詳細'!$J$17&lt;=EOMONTH(CN$5,0)),"◆","")))</x:f>
      </x:c>
      <x:c r="CO17" s="57" t="str">
        <x:f>IF('制度詳細'!$H$17="",IF('制度詳細'!$J$17="","",IF(AND('制度詳細'!$J$17&gt;=CO$5,'制度詳細'!$J$17&lt;=EOMONTH(CO$5,0)),"◆","")),IF(MAX('制度詳細'!$H$17,CO$5)&lt;=MIN(IF('制度詳細'!$I$17="",EOMONTH(CO$5,0),'制度詳細'!$I$17),EOMONTH(CO$5,0)),"■",IF(AND('制度詳細'!$J$17&lt;&gt;"",'制度詳細'!$J$17&gt;=CO$5,'制度詳細'!$J$17&lt;=EOMONTH(CO$5,0)),"◆","")))</x:f>
      </x:c>
      <x:c r="CP17" s="57" t="str">
        <x:f>IF('制度詳細'!$H$17="",IF('制度詳細'!$J$17="","",IF(AND('制度詳細'!$J$17&gt;=CP$5,'制度詳細'!$J$17&lt;=EOMONTH(CP$5,0)),"◆","")),IF(MAX('制度詳細'!$H$17,CP$5)&lt;=MIN(IF('制度詳細'!$I$17="",EOMONTH(CP$5,0),'制度詳細'!$I$17),EOMONTH(CP$5,0)),"■",IF(AND('制度詳細'!$J$17&lt;&gt;"",'制度詳細'!$J$17&gt;=CP$5,'制度詳細'!$J$17&lt;=EOMONTH(CP$5,0)),"◆","")))</x:f>
      </x:c>
      <x:c r="CQ17" s="57" t="str">
        <x:f>IF('制度詳細'!$H$17="",IF('制度詳細'!$J$17="","",IF(AND('制度詳細'!$J$17&gt;=CQ$5,'制度詳細'!$J$17&lt;=EOMONTH(CQ$5,0)),"◆","")),IF(MAX('制度詳細'!$H$17,CQ$5)&lt;=MIN(IF('制度詳細'!$I$17="",EOMONTH(CQ$5,0),'制度詳細'!$I$17),EOMONTH(CQ$5,0)),"■",IF(AND('制度詳細'!$J$17&lt;&gt;"",'制度詳細'!$J$17&gt;=CQ$5,'制度詳細'!$J$17&lt;=EOMONTH(CQ$5,0)),"◆","")))</x:f>
      </x:c>
      <x:c r="CR17" s="57" t="str">
        <x:f>IF('制度詳細'!$H$17="",IF('制度詳細'!$J$17="","",IF(AND('制度詳細'!$J$17&gt;=CR$5,'制度詳細'!$J$17&lt;=EOMONTH(CR$5,0)),"◆","")),IF(MAX('制度詳細'!$H$17,CR$5)&lt;=MIN(IF('制度詳細'!$I$17="",EOMONTH(CR$5,0),'制度詳細'!$I$17),EOMONTH(CR$5,0)),"■",IF(AND('制度詳細'!$J$17&lt;&gt;"",'制度詳細'!$J$17&gt;=CR$5,'制度詳細'!$J$17&lt;=EOMONTH(CR$5,0)),"◆","")))</x:f>
      </x:c>
      <x:c r="CS17" s="57" t="str">
        <x:f>IF('制度詳細'!$H$17="",IF('制度詳細'!$J$17="","",IF(AND('制度詳細'!$J$17&gt;=CS$5,'制度詳細'!$J$17&lt;=EOMONTH(CS$5,0)),"◆","")),IF(MAX('制度詳細'!$H$17,CS$5)&lt;=MIN(IF('制度詳細'!$I$17="",EOMONTH(CS$5,0),'制度詳細'!$I$17),EOMONTH(CS$5,0)),"■",IF(AND('制度詳細'!$J$17&lt;&gt;"",'制度詳細'!$J$17&gt;=CS$5,'制度詳細'!$J$17&lt;=EOMONTH(CS$5,0)),"◆","")))</x:f>
      </x:c>
      <x:c r="CT17" s="57" t="str">
        <x:f>IF('制度詳細'!$H$17="",IF('制度詳細'!$J$17="","",IF(AND('制度詳細'!$J$17&gt;=CT$5,'制度詳細'!$J$17&lt;=EOMONTH(CT$5,0)),"◆","")),IF(MAX('制度詳細'!$H$17,CT$5)&lt;=MIN(IF('制度詳細'!$I$17="",EOMONTH(CT$5,0),'制度詳細'!$I$17),EOMONTH(CT$5,0)),"■",IF(AND('制度詳細'!$J$17&lt;&gt;"",'制度詳細'!$J$17&gt;=CT$5,'制度詳細'!$J$17&lt;=EOMONTH(CT$5,0)),"◆","")))</x:f>
      </x:c>
      <x:c r="CU17" s="57" t="str">
        <x:f>IF('制度詳細'!$H$17="",IF('制度詳細'!$J$17="","",IF(AND('制度詳細'!$J$17&gt;=CU$5,'制度詳細'!$J$17&lt;=EOMONTH(CU$5,0)),"◆","")),IF(MAX('制度詳細'!$H$17,CU$5)&lt;=MIN(IF('制度詳細'!$I$17="",EOMONTH(CU$5,0),'制度詳細'!$I$17),EOMONTH(CU$5,0)),"■",IF(AND('制度詳細'!$J$17&lt;&gt;"",'制度詳細'!$J$17&gt;=CU$5,'制度詳細'!$J$17&lt;=EOMONTH(CU$5,0)),"◆","")))</x:f>
      </x:c>
      <x:c r="CV17" s="57" t="str">
        <x:f>IF('制度詳細'!$H$17="",IF('制度詳細'!$J$17="","",IF(AND('制度詳細'!$J$17&gt;=CV$5,'制度詳細'!$J$17&lt;=EOMONTH(CV$5,0)),"◆","")),IF(MAX('制度詳細'!$H$17,CV$5)&lt;=MIN(IF('制度詳細'!$I$17="",EOMONTH(CV$5,0),'制度詳細'!$I$17),EOMONTH(CV$5,0)),"■",IF(AND('制度詳細'!$J$17&lt;&gt;"",'制度詳細'!$J$17&gt;=CV$5,'制度詳細'!$J$17&lt;=EOMONTH(CV$5,0)),"◆","")))</x:f>
      </x:c>
      <x:c r="CW17" s="1"/>
      <x:c r="CX17" s="1"/>
      <x:c r="CY17" s="1"/>
      <x:c r="CZ17" s="1"/>
      <x:c r="DA17" s="1"/>
      <x:c r="DB17" s="1"/>
      <x:c r="DC17" s="1"/>
      <x:c r="DD17" s="1"/>
    </x:row>
    <x:row r="18" ht="27" customHeight="1">
      <x:c r="A18" s="53" t="str">
        <x:v>ID04</x:v>
      </x:c>
      <x:c r="B18" s="53" t="str">
        <x:v>インドネシア</x:v>
      </x:c>
      <x:c r="C18" s="53" t="str">
        <x:v>HEV等：PPnBM政府負担</x:v>
      </x:c>
      <x:c r="D18" s="53" t="str">
        <x:v>HEV/PHEV/MHEV</x:v>
      </x:c>
      <x:c r="E18" s="57" t="str">
        <x:f>IF('制度詳細'!$H$18="",IF('制度詳細'!$J$18="","",IF(AND('制度詳細'!$J$18&gt;=E$5,'制度詳細'!$J$18&lt;=EOMONTH(E$5,0)),"◆","")),IF(MAX('制度詳細'!$H$18,E$5)&lt;=MIN(IF('制度詳細'!$I$18="",EOMONTH(E$5,0),'制度詳細'!$I$18),EOMONTH(E$5,0)),"■",IF(AND('制度詳細'!$J$18&lt;&gt;"",'制度詳細'!$J$18&gt;=E$5,'制度詳細'!$J$18&lt;=EOMONTH(E$5,0)),"◆","")))</x:f>
      </x:c>
      <x:c r="F18" s="57" t="str">
        <x:f>IF('制度詳細'!$H$18="",IF('制度詳細'!$J$18="","",IF(AND('制度詳細'!$J$18&gt;=F$5,'制度詳細'!$J$18&lt;=EOMONTH(F$5,0)),"◆","")),IF(MAX('制度詳細'!$H$18,F$5)&lt;=MIN(IF('制度詳細'!$I$18="",EOMONTH(F$5,0),'制度詳細'!$I$18),EOMONTH(F$5,0)),"■",IF(AND('制度詳細'!$J$18&lt;&gt;"",'制度詳細'!$J$18&gt;=F$5,'制度詳細'!$J$18&lt;=EOMONTH(F$5,0)),"◆","")))</x:f>
      </x:c>
      <x:c r="G18" s="57" t="str">
        <x:f>IF('制度詳細'!$H$18="",IF('制度詳細'!$J$18="","",IF(AND('制度詳細'!$J$18&gt;=G$5,'制度詳細'!$J$18&lt;=EOMONTH(G$5,0)),"◆","")),IF(MAX('制度詳細'!$H$18,G$5)&lt;=MIN(IF('制度詳細'!$I$18="",EOMONTH(G$5,0),'制度詳細'!$I$18),EOMONTH(G$5,0)),"■",IF(AND('制度詳細'!$J$18&lt;&gt;"",'制度詳細'!$J$18&gt;=G$5,'制度詳細'!$J$18&lt;=EOMONTH(G$5,0)),"◆","")))</x:f>
      </x:c>
      <x:c r="H18" s="57" t="str">
        <x:f>IF('制度詳細'!$H$18="",IF('制度詳細'!$J$18="","",IF(AND('制度詳細'!$J$18&gt;=H$5,'制度詳細'!$J$18&lt;=EOMONTH(H$5,0)),"◆","")),IF(MAX('制度詳細'!$H$18,H$5)&lt;=MIN(IF('制度詳細'!$I$18="",EOMONTH(H$5,0),'制度詳細'!$I$18),EOMONTH(H$5,0)),"■",IF(AND('制度詳細'!$J$18&lt;&gt;"",'制度詳細'!$J$18&gt;=H$5,'制度詳細'!$J$18&lt;=EOMONTH(H$5,0)),"◆","")))</x:f>
      </x:c>
      <x:c r="I18" s="57" t="str">
        <x:f>IF('制度詳細'!$H$18="",IF('制度詳細'!$J$18="","",IF(AND('制度詳細'!$J$18&gt;=I$5,'制度詳細'!$J$18&lt;=EOMONTH(I$5,0)),"◆","")),IF(MAX('制度詳細'!$H$18,I$5)&lt;=MIN(IF('制度詳細'!$I$18="",EOMONTH(I$5,0),'制度詳細'!$I$18),EOMONTH(I$5,0)),"■",IF(AND('制度詳細'!$J$18&lt;&gt;"",'制度詳細'!$J$18&gt;=I$5,'制度詳細'!$J$18&lt;=EOMONTH(I$5,0)),"◆","")))</x:f>
      </x:c>
      <x:c r="J18" s="57" t="str">
        <x:f>IF('制度詳細'!$H$18="",IF('制度詳細'!$J$18="","",IF(AND('制度詳細'!$J$18&gt;=J$5,'制度詳細'!$J$18&lt;=EOMONTH(J$5,0)),"◆","")),IF(MAX('制度詳細'!$H$18,J$5)&lt;=MIN(IF('制度詳細'!$I$18="",EOMONTH(J$5,0),'制度詳細'!$I$18),EOMONTH(J$5,0)),"■",IF(AND('制度詳細'!$J$18&lt;&gt;"",'制度詳細'!$J$18&gt;=J$5,'制度詳細'!$J$18&lt;=EOMONTH(J$5,0)),"◆","")))</x:f>
      </x:c>
      <x:c r="K18" s="57" t="str">
        <x:f>IF('制度詳細'!$H$18="",IF('制度詳細'!$J$18="","",IF(AND('制度詳細'!$J$18&gt;=K$5,'制度詳細'!$J$18&lt;=EOMONTH(K$5,0)),"◆","")),IF(MAX('制度詳細'!$H$18,K$5)&lt;=MIN(IF('制度詳細'!$I$18="",EOMONTH(K$5,0),'制度詳細'!$I$18),EOMONTH(K$5,0)),"■",IF(AND('制度詳細'!$J$18&lt;&gt;"",'制度詳細'!$J$18&gt;=K$5,'制度詳細'!$J$18&lt;=EOMONTH(K$5,0)),"◆","")))</x:f>
      </x:c>
      <x:c r="L18" s="57" t="str">
        <x:f>IF('制度詳細'!$H$18="",IF('制度詳細'!$J$18="","",IF(AND('制度詳細'!$J$18&gt;=L$5,'制度詳細'!$J$18&lt;=EOMONTH(L$5,0)),"◆","")),IF(MAX('制度詳細'!$H$18,L$5)&lt;=MIN(IF('制度詳細'!$I$18="",EOMONTH(L$5,0),'制度詳細'!$I$18),EOMONTH(L$5,0)),"■",IF(AND('制度詳細'!$J$18&lt;&gt;"",'制度詳細'!$J$18&gt;=L$5,'制度詳細'!$J$18&lt;=EOMONTH(L$5,0)),"◆","")))</x:f>
      </x:c>
      <x:c r="M18" s="57" t="str">
        <x:f>IF('制度詳細'!$H$18="",IF('制度詳細'!$J$18="","",IF(AND('制度詳細'!$J$18&gt;=M$5,'制度詳細'!$J$18&lt;=EOMONTH(M$5,0)),"◆","")),IF(MAX('制度詳細'!$H$18,M$5)&lt;=MIN(IF('制度詳細'!$I$18="",EOMONTH(M$5,0),'制度詳細'!$I$18),EOMONTH(M$5,0)),"■",IF(AND('制度詳細'!$J$18&lt;&gt;"",'制度詳細'!$J$18&gt;=M$5,'制度詳細'!$J$18&lt;=EOMONTH(M$5,0)),"◆","")))</x:f>
      </x:c>
      <x:c r="N18" s="57" t="str">
        <x:f>IF('制度詳細'!$H$18="",IF('制度詳細'!$J$18="","",IF(AND('制度詳細'!$J$18&gt;=N$5,'制度詳細'!$J$18&lt;=EOMONTH(N$5,0)),"◆","")),IF(MAX('制度詳細'!$H$18,N$5)&lt;=MIN(IF('制度詳細'!$I$18="",EOMONTH(N$5,0),'制度詳細'!$I$18),EOMONTH(N$5,0)),"■",IF(AND('制度詳細'!$J$18&lt;&gt;"",'制度詳細'!$J$18&gt;=N$5,'制度詳細'!$J$18&lt;=EOMONTH(N$5,0)),"◆","")))</x:f>
      </x:c>
      <x:c r="O18" s="57" t="str">
        <x:f>IF('制度詳細'!$H$18="",IF('制度詳細'!$J$18="","",IF(AND('制度詳細'!$J$18&gt;=O$5,'制度詳細'!$J$18&lt;=EOMONTH(O$5,0)),"◆","")),IF(MAX('制度詳細'!$H$18,O$5)&lt;=MIN(IF('制度詳細'!$I$18="",EOMONTH(O$5,0),'制度詳細'!$I$18),EOMONTH(O$5,0)),"■",IF(AND('制度詳細'!$J$18&lt;&gt;"",'制度詳細'!$J$18&gt;=O$5,'制度詳細'!$J$18&lt;=EOMONTH(O$5,0)),"◆","")))</x:f>
      </x:c>
      <x:c r="P18" s="57" t="str">
        <x:f>IF('制度詳細'!$H$18="",IF('制度詳細'!$J$18="","",IF(AND('制度詳細'!$J$18&gt;=P$5,'制度詳細'!$J$18&lt;=EOMONTH(P$5,0)),"◆","")),IF(MAX('制度詳細'!$H$18,P$5)&lt;=MIN(IF('制度詳細'!$I$18="",EOMONTH(P$5,0),'制度詳細'!$I$18),EOMONTH(P$5,0)),"■",IF(AND('制度詳細'!$J$18&lt;&gt;"",'制度詳細'!$J$18&gt;=P$5,'制度詳細'!$J$18&lt;=EOMONTH(P$5,0)),"◆","")))</x:f>
      </x:c>
      <x:c r="Q18" s="57" t="str">
        <x:f>IF('制度詳細'!$H$18="",IF('制度詳細'!$J$18="","",IF(AND('制度詳細'!$J$18&gt;=Q$5,'制度詳細'!$J$18&lt;=EOMONTH(Q$5,0)),"◆","")),IF(MAX('制度詳細'!$H$18,Q$5)&lt;=MIN(IF('制度詳細'!$I$18="",EOMONTH(Q$5,0),'制度詳細'!$I$18),EOMONTH(Q$5,0)),"■",IF(AND('制度詳細'!$J$18&lt;&gt;"",'制度詳細'!$J$18&gt;=Q$5,'制度詳細'!$J$18&lt;=EOMONTH(Q$5,0)),"◆","")))</x:f>
      </x:c>
      <x:c r="R18" s="57" t="str">
        <x:f>IF('制度詳細'!$H$18="",IF('制度詳細'!$J$18="","",IF(AND('制度詳細'!$J$18&gt;=R$5,'制度詳細'!$J$18&lt;=EOMONTH(R$5,0)),"◆","")),IF(MAX('制度詳細'!$H$18,R$5)&lt;=MIN(IF('制度詳細'!$I$18="",EOMONTH(R$5,0),'制度詳細'!$I$18),EOMONTH(R$5,0)),"■",IF(AND('制度詳細'!$J$18&lt;&gt;"",'制度詳細'!$J$18&gt;=R$5,'制度詳細'!$J$18&lt;=EOMONTH(R$5,0)),"◆","")))</x:f>
      </x:c>
      <x:c r="S18" s="57" t="str">
        <x:f>IF('制度詳細'!$H$18="",IF('制度詳細'!$J$18="","",IF(AND('制度詳細'!$J$18&gt;=S$5,'制度詳細'!$J$18&lt;=EOMONTH(S$5,0)),"◆","")),IF(MAX('制度詳細'!$H$18,S$5)&lt;=MIN(IF('制度詳細'!$I$18="",EOMONTH(S$5,0),'制度詳細'!$I$18),EOMONTH(S$5,0)),"■",IF(AND('制度詳細'!$J$18&lt;&gt;"",'制度詳細'!$J$18&gt;=S$5,'制度詳細'!$J$18&lt;=EOMONTH(S$5,0)),"◆","")))</x:f>
      </x:c>
      <x:c r="T18" s="57" t="str">
        <x:f>IF('制度詳細'!$H$18="",IF('制度詳細'!$J$18="","",IF(AND('制度詳細'!$J$18&gt;=T$5,'制度詳細'!$J$18&lt;=EOMONTH(T$5,0)),"◆","")),IF(MAX('制度詳細'!$H$18,T$5)&lt;=MIN(IF('制度詳細'!$I$18="",EOMONTH(T$5,0),'制度詳細'!$I$18),EOMONTH(T$5,0)),"■",IF(AND('制度詳細'!$J$18&lt;&gt;"",'制度詳細'!$J$18&gt;=T$5,'制度詳細'!$J$18&lt;=EOMONTH(T$5,0)),"◆","")))</x:f>
      </x:c>
      <x:c r="U18" s="57" t="str">
        <x:f>IF('制度詳細'!$H$18="",IF('制度詳細'!$J$18="","",IF(AND('制度詳細'!$J$18&gt;=U$5,'制度詳細'!$J$18&lt;=EOMONTH(U$5,0)),"◆","")),IF(MAX('制度詳細'!$H$18,U$5)&lt;=MIN(IF('制度詳細'!$I$18="",EOMONTH(U$5,0),'制度詳細'!$I$18),EOMONTH(U$5,0)),"■",IF(AND('制度詳細'!$J$18&lt;&gt;"",'制度詳細'!$J$18&gt;=U$5,'制度詳細'!$J$18&lt;=EOMONTH(U$5,0)),"◆","")))</x:f>
      </x:c>
      <x:c r="V18" s="57" t="str">
        <x:f>IF('制度詳細'!$H$18="",IF('制度詳細'!$J$18="","",IF(AND('制度詳細'!$J$18&gt;=V$5,'制度詳細'!$J$18&lt;=EOMONTH(V$5,0)),"◆","")),IF(MAX('制度詳細'!$H$18,V$5)&lt;=MIN(IF('制度詳細'!$I$18="",EOMONTH(V$5,0),'制度詳細'!$I$18),EOMONTH(V$5,0)),"■",IF(AND('制度詳細'!$J$18&lt;&gt;"",'制度詳細'!$J$18&gt;=V$5,'制度詳細'!$J$18&lt;=EOMONTH(V$5,0)),"◆","")))</x:f>
      </x:c>
      <x:c r="W18" s="57" t="str">
        <x:f>IF('制度詳細'!$H$18="",IF('制度詳細'!$J$18="","",IF(AND('制度詳細'!$J$18&gt;=W$5,'制度詳細'!$J$18&lt;=EOMONTH(W$5,0)),"◆","")),IF(MAX('制度詳細'!$H$18,W$5)&lt;=MIN(IF('制度詳細'!$I$18="",EOMONTH(W$5,0),'制度詳細'!$I$18),EOMONTH(W$5,0)),"■",IF(AND('制度詳細'!$J$18&lt;&gt;"",'制度詳細'!$J$18&gt;=W$5,'制度詳細'!$J$18&lt;=EOMONTH(W$5,0)),"◆","")))</x:f>
      </x:c>
      <x:c r="X18" s="57" t="str">
        <x:f>IF('制度詳細'!$H$18="",IF('制度詳細'!$J$18="","",IF(AND('制度詳細'!$J$18&gt;=X$5,'制度詳細'!$J$18&lt;=EOMONTH(X$5,0)),"◆","")),IF(MAX('制度詳細'!$H$18,X$5)&lt;=MIN(IF('制度詳細'!$I$18="",EOMONTH(X$5,0),'制度詳細'!$I$18),EOMONTH(X$5,0)),"■",IF(AND('制度詳細'!$J$18&lt;&gt;"",'制度詳細'!$J$18&gt;=X$5,'制度詳細'!$J$18&lt;=EOMONTH(X$5,0)),"◆","")))</x:f>
      </x:c>
      <x:c r="Y18" s="57" t="str">
        <x:f>IF('制度詳細'!$H$18="",IF('制度詳細'!$J$18="","",IF(AND('制度詳細'!$J$18&gt;=Y$5,'制度詳細'!$J$18&lt;=EOMONTH(Y$5,0)),"◆","")),IF(MAX('制度詳細'!$H$18,Y$5)&lt;=MIN(IF('制度詳細'!$I$18="",EOMONTH(Y$5,0),'制度詳細'!$I$18),EOMONTH(Y$5,0)),"■",IF(AND('制度詳細'!$J$18&lt;&gt;"",'制度詳細'!$J$18&gt;=Y$5,'制度詳細'!$J$18&lt;=EOMONTH(Y$5,0)),"◆","")))</x:f>
      </x:c>
      <x:c r="Z18" s="57" t="str">
        <x:f>IF('制度詳細'!$H$18="",IF('制度詳細'!$J$18="","",IF(AND('制度詳細'!$J$18&gt;=Z$5,'制度詳細'!$J$18&lt;=EOMONTH(Z$5,0)),"◆","")),IF(MAX('制度詳細'!$H$18,Z$5)&lt;=MIN(IF('制度詳細'!$I$18="",EOMONTH(Z$5,0),'制度詳細'!$I$18),EOMONTH(Z$5,0)),"■",IF(AND('制度詳細'!$J$18&lt;&gt;"",'制度詳細'!$J$18&gt;=Z$5,'制度詳細'!$J$18&lt;=EOMONTH(Z$5,0)),"◆","")))</x:f>
      </x:c>
      <x:c r="AA18" s="57" t="str">
        <x:f>IF('制度詳細'!$H$18="",IF('制度詳細'!$J$18="","",IF(AND('制度詳細'!$J$18&gt;=AA$5,'制度詳細'!$J$18&lt;=EOMONTH(AA$5,0)),"◆","")),IF(MAX('制度詳細'!$H$18,AA$5)&lt;=MIN(IF('制度詳細'!$I$18="",EOMONTH(AA$5,0),'制度詳細'!$I$18),EOMONTH(AA$5,0)),"■",IF(AND('制度詳細'!$J$18&lt;&gt;"",'制度詳細'!$J$18&gt;=AA$5,'制度詳細'!$J$18&lt;=EOMONTH(AA$5,0)),"◆","")))</x:f>
      </x:c>
      <x:c r="AB18" s="57" t="str">
        <x:f>IF('制度詳細'!$H$18="",IF('制度詳細'!$J$18="","",IF(AND('制度詳細'!$J$18&gt;=AB$5,'制度詳細'!$J$18&lt;=EOMONTH(AB$5,0)),"◆","")),IF(MAX('制度詳細'!$H$18,AB$5)&lt;=MIN(IF('制度詳細'!$I$18="",EOMONTH(AB$5,0),'制度詳細'!$I$18),EOMONTH(AB$5,0)),"■",IF(AND('制度詳細'!$J$18&lt;&gt;"",'制度詳細'!$J$18&gt;=AB$5,'制度詳細'!$J$18&lt;=EOMONTH(AB$5,0)),"◆","")))</x:f>
      </x:c>
      <x:c r="AC18" s="57" t="str">
        <x:f>IF('制度詳細'!$H$18="",IF('制度詳細'!$J$18="","",IF(AND('制度詳細'!$J$18&gt;=AC$5,'制度詳細'!$J$18&lt;=EOMONTH(AC$5,0)),"◆","")),IF(MAX('制度詳細'!$H$18,AC$5)&lt;=MIN(IF('制度詳細'!$I$18="",EOMONTH(AC$5,0),'制度詳細'!$I$18),EOMONTH(AC$5,0)),"■",IF(AND('制度詳細'!$J$18&lt;&gt;"",'制度詳細'!$J$18&gt;=AC$5,'制度詳細'!$J$18&lt;=EOMONTH(AC$5,0)),"◆","")))</x:f>
      </x:c>
      <x:c r="AD18" s="57" t="str">
        <x:f>IF('制度詳細'!$H$18="",IF('制度詳細'!$J$18="","",IF(AND('制度詳細'!$J$18&gt;=AD$5,'制度詳細'!$J$18&lt;=EOMONTH(AD$5,0)),"◆","")),IF(MAX('制度詳細'!$H$18,AD$5)&lt;=MIN(IF('制度詳細'!$I$18="",EOMONTH(AD$5,0),'制度詳細'!$I$18),EOMONTH(AD$5,0)),"■",IF(AND('制度詳細'!$J$18&lt;&gt;"",'制度詳細'!$J$18&gt;=AD$5,'制度詳細'!$J$18&lt;=EOMONTH(AD$5,0)),"◆","")))</x:f>
      </x:c>
      <x:c r="AE18" s="57" t="str">
        <x:f>IF('制度詳細'!$H$18="",IF('制度詳細'!$J$18="","",IF(AND('制度詳細'!$J$18&gt;=AE$5,'制度詳細'!$J$18&lt;=EOMONTH(AE$5,0)),"◆","")),IF(MAX('制度詳細'!$H$18,AE$5)&lt;=MIN(IF('制度詳細'!$I$18="",EOMONTH(AE$5,0),'制度詳細'!$I$18),EOMONTH(AE$5,0)),"■",IF(AND('制度詳細'!$J$18&lt;&gt;"",'制度詳細'!$J$18&gt;=AE$5,'制度詳細'!$J$18&lt;=EOMONTH(AE$5,0)),"◆","")))</x:f>
      </x:c>
      <x:c r="AF18" s="57" t="str">
        <x:f>IF('制度詳細'!$H$18="",IF('制度詳細'!$J$18="","",IF(AND('制度詳細'!$J$18&gt;=AF$5,'制度詳細'!$J$18&lt;=EOMONTH(AF$5,0)),"◆","")),IF(MAX('制度詳細'!$H$18,AF$5)&lt;=MIN(IF('制度詳細'!$I$18="",EOMONTH(AF$5,0),'制度詳細'!$I$18),EOMONTH(AF$5,0)),"■",IF(AND('制度詳細'!$J$18&lt;&gt;"",'制度詳細'!$J$18&gt;=AF$5,'制度詳細'!$J$18&lt;=EOMONTH(AF$5,0)),"◆","")))</x:f>
      </x:c>
      <x:c r="AG18" s="57" t="str">
        <x:f>IF('制度詳細'!$H$18="",IF('制度詳細'!$J$18="","",IF(AND('制度詳細'!$J$18&gt;=AG$5,'制度詳細'!$J$18&lt;=EOMONTH(AG$5,0)),"◆","")),IF(MAX('制度詳細'!$H$18,AG$5)&lt;=MIN(IF('制度詳細'!$I$18="",EOMONTH(AG$5,0),'制度詳細'!$I$18),EOMONTH(AG$5,0)),"■",IF(AND('制度詳細'!$J$18&lt;&gt;"",'制度詳細'!$J$18&gt;=AG$5,'制度詳細'!$J$18&lt;=EOMONTH(AG$5,0)),"◆","")))</x:f>
      </x:c>
      <x:c r="AH18" s="57" t="str">
        <x:f>IF('制度詳細'!$H$18="",IF('制度詳細'!$J$18="","",IF(AND('制度詳細'!$J$18&gt;=AH$5,'制度詳細'!$J$18&lt;=EOMONTH(AH$5,0)),"◆","")),IF(MAX('制度詳細'!$H$18,AH$5)&lt;=MIN(IF('制度詳細'!$I$18="",EOMONTH(AH$5,0),'制度詳細'!$I$18),EOMONTH(AH$5,0)),"■",IF(AND('制度詳細'!$J$18&lt;&gt;"",'制度詳細'!$J$18&gt;=AH$5,'制度詳細'!$J$18&lt;=EOMONTH(AH$5,0)),"◆","")))</x:f>
      </x:c>
      <x:c r="AI18" s="57" t="str">
        <x:f>IF('制度詳細'!$H$18="",IF('制度詳細'!$J$18="","",IF(AND('制度詳細'!$J$18&gt;=AI$5,'制度詳細'!$J$18&lt;=EOMONTH(AI$5,0)),"◆","")),IF(MAX('制度詳細'!$H$18,AI$5)&lt;=MIN(IF('制度詳細'!$I$18="",EOMONTH(AI$5,0),'制度詳細'!$I$18),EOMONTH(AI$5,0)),"■",IF(AND('制度詳細'!$J$18&lt;&gt;"",'制度詳細'!$J$18&gt;=AI$5,'制度詳細'!$J$18&lt;=EOMONTH(AI$5,0)),"◆","")))</x:f>
      </x:c>
      <x:c r="AJ18" s="57" t="str">
        <x:f>IF('制度詳細'!$H$18="",IF('制度詳細'!$J$18="","",IF(AND('制度詳細'!$J$18&gt;=AJ$5,'制度詳細'!$J$18&lt;=EOMONTH(AJ$5,0)),"◆","")),IF(MAX('制度詳細'!$H$18,AJ$5)&lt;=MIN(IF('制度詳細'!$I$18="",EOMONTH(AJ$5,0),'制度詳細'!$I$18),EOMONTH(AJ$5,0)),"■",IF(AND('制度詳細'!$J$18&lt;&gt;"",'制度詳細'!$J$18&gt;=AJ$5,'制度詳細'!$J$18&lt;=EOMONTH(AJ$5,0)),"◆","")))</x:f>
      </x:c>
      <x:c r="AK18" s="57" t="str">
        <x:f>IF('制度詳細'!$H$18="",IF('制度詳細'!$J$18="","",IF(AND('制度詳細'!$J$18&gt;=AK$5,'制度詳細'!$J$18&lt;=EOMONTH(AK$5,0)),"◆","")),IF(MAX('制度詳細'!$H$18,AK$5)&lt;=MIN(IF('制度詳細'!$I$18="",EOMONTH(AK$5,0),'制度詳細'!$I$18),EOMONTH(AK$5,0)),"■",IF(AND('制度詳細'!$J$18&lt;&gt;"",'制度詳細'!$J$18&gt;=AK$5,'制度詳細'!$J$18&lt;=EOMONTH(AK$5,0)),"◆","")))</x:f>
      </x:c>
      <x:c r="AL18" s="57" t="str">
        <x:f>IF('制度詳細'!$H$18="",IF('制度詳細'!$J$18="","",IF(AND('制度詳細'!$J$18&gt;=AL$5,'制度詳細'!$J$18&lt;=EOMONTH(AL$5,0)),"◆","")),IF(MAX('制度詳細'!$H$18,AL$5)&lt;=MIN(IF('制度詳細'!$I$18="",EOMONTH(AL$5,0),'制度詳細'!$I$18),EOMONTH(AL$5,0)),"■",IF(AND('制度詳細'!$J$18&lt;&gt;"",'制度詳細'!$J$18&gt;=AL$5,'制度詳細'!$J$18&lt;=EOMONTH(AL$5,0)),"◆","")))</x:f>
      </x:c>
      <x:c r="AM18" s="57" t="str">
        <x:f>IF('制度詳細'!$H$18="",IF('制度詳細'!$J$18="","",IF(AND('制度詳細'!$J$18&gt;=AM$5,'制度詳細'!$J$18&lt;=EOMONTH(AM$5,0)),"◆","")),IF(MAX('制度詳細'!$H$18,AM$5)&lt;=MIN(IF('制度詳細'!$I$18="",EOMONTH(AM$5,0),'制度詳細'!$I$18),EOMONTH(AM$5,0)),"■",IF(AND('制度詳細'!$J$18&lt;&gt;"",'制度詳細'!$J$18&gt;=AM$5,'制度詳細'!$J$18&lt;=EOMONTH(AM$5,0)),"◆","")))</x:f>
      </x:c>
      <x:c r="AN18" s="57" t="str">
        <x:f>IF('制度詳細'!$H$18="",IF('制度詳細'!$J$18="","",IF(AND('制度詳細'!$J$18&gt;=AN$5,'制度詳細'!$J$18&lt;=EOMONTH(AN$5,0)),"◆","")),IF(MAX('制度詳細'!$H$18,AN$5)&lt;=MIN(IF('制度詳細'!$I$18="",EOMONTH(AN$5,0),'制度詳細'!$I$18),EOMONTH(AN$5,0)),"■",IF(AND('制度詳細'!$J$18&lt;&gt;"",'制度詳細'!$J$18&gt;=AN$5,'制度詳細'!$J$18&lt;=EOMONTH(AN$5,0)),"◆","")))</x:f>
      </x:c>
      <x:c r="AO18" s="57" t="str">
        <x:f>IF('制度詳細'!$H$18="",IF('制度詳細'!$J$18="","",IF(AND('制度詳細'!$J$18&gt;=AO$5,'制度詳細'!$J$18&lt;=EOMONTH(AO$5,0)),"◆","")),IF(MAX('制度詳細'!$H$18,AO$5)&lt;=MIN(IF('制度詳細'!$I$18="",EOMONTH(AO$5,0),'制度詳細'!$I$18),EOMONTH(AO$5,0)),"■",IF(AND('制度詳細'!$J$18&lt;&gt;"",'制度詳細'!$J$18&gt;=AO$5,'制度詳細'!$J$18&lt;=EOMONTH(AO$5,0)),"◆","")))</x:f>
      </x:c>
      <x:c r="AP18" s="57" t="str">
        <x:f>IF('制度詳細'!$H$18="",IF('制度詳細'!$J$18="","",IF(AND('制度詳細'!$J$18&gt;=AP$5,'制度詳細'!$J$18&lt;=EOMONTH(AP$5,0)),"◆","")),IF(MAX('制度詳細'!$H$18,AP$5)&lt;=MIN(IF('制度詳細'!$I$18="",EOMONTH(AP$5,0),'制度詳細'!$I$18),EOMONTH(AP$5,0)),"■",IF(AND('制度詳細'!$J$18&lt;&gt;"",'制度詳細'!$J$18&gt;=AP$5,'制度詳細'!$J$18&lt;=EOMONTH(AP$5,0)),"◆","")))</x:f>
      </x:c>
      <x:c r="AQ18" s="57" t="str">
        <x:f>IF('制度詳細'!$H$18="",IF('制度詳細'!$J$18="","",IF(AND('制度詳細'!$J$18&gt;=AQ$5,'制度詳細'!$J$18&lt;=EOMONTH(AQ$5,0)),"◆","")),IF(MAX('制度詳細'!$H$18,AQ$5)&lt;=MIN(IF('制度詳細'!$I$18="",EOMONTH(AQ$5,0),'制度詳細'!$I$18),EOMONTH(AQ$5,0)),"■",IF(AND('制度詳細'!$J$18&lt;&gt;"",'制度詳細'!$J$18&gt;=AQ$5,'制度詳細'!$J$18&lt;=EOMONTH(AQ$5,0)),"◆","")))</x:f>
      </x:c>
      <x:c r="AR18" s="57" t="str">
        <x:f>IF('制度詳細'!$H$18="",IF('制度詳細'!$J$18="","",IF(AND('制度詳細'!$J$18&gt;=AR$5,'制度詳細'!$J$18&lt;=EOMONTH(AR$5,0)),"◆","")),IF(MAX('制度詳細'!$H$18,AR$5)&lt;=MIN(IF('制度詳細'!$I$18="",EOMONTH(AR$5,0),'制度詳細'!$I$18),EOMONTH(AR$5,0)),"■",IF(AND('制度詳細'!$J$18&lt;&gt;"",'制度詳細'!$J$18&gt;=AR$5,'制度詳細'!$J$18&lt;=EOMONTH(AR$5,0)),"◆","")))</x:f>
      </x:c>
      <x:c r="AS18" s="57" t="str">
        <x:f>IF('制度詳細'!$H$18="",IF('制度詳細'!$J$18="","",IF(AND('制度詳細'!$J$18&gt;=AS$5,'制度詳細'!$J$18&lt;=EOMONTH(AS$5,0)),"◆","")),IF(MAX('制度詳細'!$H$18,AS$5)&lt;=MIN(IF('制度詳細'!$I$18="",EOMONTH(AS$5,0),'制度詳細'!$I$18),EOMONTH(AS$5,0)),"■",IF(AND('制度詳細'!$J$18&lt;&gt;"",'制度詳細'!$J$18&gt;=AS$5,'制度詳細'!$J$18&lt;=EOMONTH(AS$5,0)),"◆","")))</x:f>
      </x:c>
      <x:c r="AT18" s="57" t="str">
        <x:f>IF('制度詳細'!$H$18="",IF('制度詳細'!$J$18="","",IF(AND('制度詳細'!$J$18&gt;=AT$5,'制度詳細'!$J$18&lt;=EOMONTH(AT$5,0)),"◆","")),IF(MAX('制度詳細'!$H$18,AT$5)&lt;=MIN(IF('制度詳細'!$I$18="",EOMONTH(AT$5,0),'制度詳細'!$I$18),EOMONTH(AT$5,0)),"■",IF(AND('制度詳細'!$J$18&lt;&gt;"",'制度詳細'!$J$18&gt;=AT$5,'制度詳細'!$J$18&lt;=EOMONTH(AT$5,0)),"◆","")))</x:f>
      </x:c>
      <x:c r="AU18" s="57" t="str">
        <x:f>IF('制度詳細'!$H$18="",IF('制度詳細'!$J$18="","",IF(AND('制度詳細'!$J$18&gt;=AU$5,'制度詳細'!$J$18&lt;=EOMONTH(AU$5,0)),"◆","")),IF(MAX('制度詳細'!$H$18,AU$5)&lt;=MIN(IF('制度詳細'!$I$18="",EOMONTH(AU$5,0),'制度詳細'!$I$18),EOMONTH(AU$5,0)),"■",IF(AND('制度詳細'!$J$18&lt;&gt;"",'制度詳細'!$J$18&gt;=AU$5,'制度詳細'!$J$18&lt;=EOMONTH(AU$5,0)),"◆","")))</x:f>
      </x:c>
      <x:c r="AV18" s="57" t="str">
        <x:f>IF('制度詳細'!$H$18="",IF('制度詳細'!$J$18="","",IF(AND('制度詳細'!$J$18&gt;=AV$5,'制度詳細'!$J$18&lt;=EOMONTH(AV$5,0)),"◆","")),IF(MAX('制度詳細'!$H$18,AV$5)&lt;=MIN(IF('制度詳細'!$I$18="",EOMONTH(AV$5,0),'制度詳細'!$I$18),EOMONTH(AV$5,0)),"■",IF(AND('制度詳細'!$J$18&lt;&gt;"",'制度詳細'!$J$18&gt;=AV$5,'制度詳細'!$J$18&lt;=EOMONTH(AV$5,0)),"◆","")))</x:f>
      </x:c>
      <x:c r="AW18" s="57" t="str">
        <x:f>IF('制度詳細'!$H$18="",IF('制度詳細'!$J$18="","",IF(AND('制度詳細'!$J$18&gt;=AW$5,'制度詳細'!$J$18&lt;=EOMONTH(AW$5,0)),"◆","")),IF(MAX('制度詳細'!$H$18,AW$5)&lt;=MIN(IF('制度詳細'!$I$18="",EOMONTH(AW$5,0),'制度詳細'!$I$18),EOMONTH(AW$5,0)),"■",IF(AND('制度詳細'!$J$18&lt;&gt;"",'制度詳細'!$J$18&gt;=AW$5,'制度詳細'!$J$18&lt;=EOMONTH(AW$5,0)),"◆","")))</x:f>
      </x:c>
      <x:c r="AX18" s="57" t="str">
        <x:f>IF('制度詳細'!$H$18="",IF('制度詳細'!$J$18="","",IF(AND('制度詳細'!$J$18&gt;=AX$5,'制度詳細'!$J$18&lt;=EOMONTH(AX$5,0)),"◆","")),IF(MAX('制度詳細'!$H$18,AX$5)&lt;=MIN(IF('制度詳細'!$I$18="",EOMONTH(AX$5,0),'制度詳細'!$I$18),EOMONTH(AX$5,0)),"■",IF(AND('制度詳細'!$J$18&lt;&gt;"",'制度詳細'!$J$18&gt;=AX$5,'制度詳細'!$J$18&lt;=EOMONTH(AX$5,0)),"◆","")))</x:f>
      </x:c>
      <x:c r="AY18" s="57" t="str">
        <x:f>IF('制度詳細'!$H$18="",IF('制度詳細'!$J$18="","",IF(AND('制度詳細'!$J$18&gt;=AY$5,'制度詳細'!$J$18&lt;=EOMONTH(AY$5,0)),"◆","")),IF(MAX('制度詳細'!$H$18,AY$5)&lt;=MIN(IF('制度詳細'!$I$18="",EOMONTH(AY$5,0),'制度詳細'!$I$18),EOMONTH(AY$5,0)),"■",IF(AND('制度詳細'!$J$18&lt;&gt;"",'制度詳細'!$J$18&gt;=AY$5,'制度詳細'!$J$18&lt;=EOMONTH(AY$5,0)),"◆","")))</x:f>
      </x:c>
      <x:c r="AZ18" s="57" t="str">
        <x:f>IF('制度詳細'!$H$18="",IF('制度詳細'!$J$18="","",IF(AND('制度詳細'!$J$18&gt;=AZ$5,'制度詳細'!$J$18&lt;=EOMONTH(AZ$5,0)),"◆","")),IF(MAX('制度詳細'!$H$18,AZ$5)&lt;=MIN(IF('制度詳細'!$I$18="",EOMONTH(AZ$5,0),'制度詳細'!$I$18),EOMONTH(AZ$5,0)),"■",IF(AND('制度詳細'!$J$18&lt;&gt;"",'制度詳細'!$J$18&gt;=AZ$5,'制度詳細'!$J$18&lt;=EOMONTH(AZ$5,0)),"◆","")))</x:f>
      </x:c>
      <x:c r="BA18" s="57" t="str">
        <x:f>IF('制度詳細'!$H$18="",IF('制度詳細'!$J$18="","",IF(AND('制度詳細'!$J$18&gt;=BA$5,'制度詳細'!$J$18&lt;=EOMONTH(BA$5,0)),"◆","")),IF(MAX('制度詳細'!$H$18,BA$5)&lt;=MIN(IF('制度詳細'!$I$18="",EOMONTH(BA$5,0),'制度詳細'!$I$18),EOMONTH(BA$5,0)),"■",IF(AND('制度詳細'!$J$18&lt;&gt;"",'制度詳細'!$J$18&gt;=BA$5,'制度詳細'!$J$18&lt;=EOMONTH(BA$5,0)),"◆","")))</x:f>
      </x:c>
      <x:c r="BB18" s="57" t="str">
        <x:f>IF('制度詳細'!$H$18="",IF('制度詳細'!$J$18="","",IF(AND('制度詳細'!$J$18&gt;=BB$5,'制度詳細'!$J$18&lt;=EOMONTH(BB$5,0)),"◆","")),IF(MAX('制度詳細'!$H$18,BB$5)&lt;=MIN(IF('制度詳細'!$I$18="",EOMONTH(BB$5,0),'制度詳細'!$I$18),EOMONTH(BB$5,0)),"■",IF(AND('制度詳細'!$J$18&lt;&gt;"",'制度詳細'!$J$18&gt;=BB$5,'制度詳細'!$J$18&lt;=EOMONTH(BB$5,0)),"◆","")))</x:f>
      </x:c>
      <x:c r="BC18" s="57" t="str">
        <x:f>IF('制度詳細'!$H$18="",IF('制度詳細'!$J$18="","",IF(AND('制度詳細'!$J$18&gt;=BC$5,'制度詳細'!$J$18&lt;=EOMONTH(BC$5,0)),"◆","")),IF(MAX('制度詳細'!$H$18,BC$5)&lt;=MIN(IF('制度詳細'!$I$18="",EOMONTH(BC$5,0),'制度詳細'!$I$18),EOMONTH(BC$5,0)),"■",IF(AND('制度詳細'!$J$18&lt;&gt;"",'制度詳細'!$J$18&gt;=BC$5,'制度詳細'!$J$18&lt;=EOMONTH(BC$5,0)),"◆","")))</x:f>
      </x:c>
      <x:c r="BD18" s="57" t="str">
        <x:f>IF('制度詳細'!$H$18="",IF('制度詳細'!$J$18="","",IF(AND('制度詳細'!$J$18&gt;=BD$5,'制度詳細'!$J$18&lt;=EOMONTH(BD$5,0)),"◆","")),IF(MAX('制度詳細'!$H$18,BD$5)&lt;=MIN(IF('制度詳細'!$I$18="",EOMONTH(BD$5,0),'制度詳細'!$I$18),EOMONTH(BD$5,0)),"■",IF(AND('制度詳細'!$J$18&lt;&gt;"",'制度詳細'!$J$18&gt;=BD$5,'制度詳細'!$J$18&lt;=EOMONTH(BD$5,0)),"◆","")))</x:f>
      </x:c>
      <x:c r="BE18" s="57" t="str">
        <x:f>IF('制度詳細'!$H$18="",IF('制度詳細'!$J$18="","",IF(AND('制度詳細'!$J$18&gt;=BE$5,'制度詳細'!$J$18&lt;=EOMONTH(BE$5,0)),"◆","")),IF(MAX('制度詳細'!$H$18,BE$5)&lt;=MIN(IF('制度詳細'!$I$18="",EOMONTH(BE$5,0),'制度詳細'!$I$18),EOMONTH(BE$5,0)),"■",IF(AND('制度詳細'!$J$18&lt;&gt;"",'制度詳細'!$J$18&gt;=BE$5,'制度詳細'!$J$18&lt;=EOMONTH(BE$5,0)),"◆","")))</x:f>
      </x:c>
      <x:c r="BF18" s="57" t="str">
        <x:f>IF('制度詳細'!$H$18="",IF('制度詳細'!$J$18="","",IF(AND('制度詳細'!$J$18&gt;=BF$5,'制度詳細'!$J$18&lt;=EOMONTH(BF$5,0)),"◆","")),IF(MAX('制度詳細'!$H$18,BF$5)&lt;=MIN(IF('制度詳細'!$I$18="",EOMONTH(BF$5,0),'制度詳細'!$I$18),EOMONTH(BF$5,0)),"■",IF(AND('制度詳細'!$J$18&lt;&gt;"",'制度詳細'!$J$18&gt;=BF$5,'制度詳細'!$J$18&lt;=EOMONTH(BF$5,0)),"◆","")))</x:f>
      </x:c>
      <x:c r="BG18" s="57" t="str">
        <x:f>IF('制度詳細'!$H$18="",IF('制度詳細'!$J$18="","",IF(AND('制度詳細'!$J$18&gt;=BG$5,'制度詳細'!$J$18&lt;=EOMONTH(BG$5,0)),"◆","")),IF(MAX('制度詳細'!$H$18,BG$5)&lt;=MIN(IF('制度詳細'!$I$18="",EOMONTH(BG$5,0),'制度詳細'!$I$18),EOMONTH(BG$5,0)),"■",IF(AND('制度詳細'!$J$18&lt;&gt;"",'制度詳細'!$J$18&gt;=BG$5,'制度詳細'!$J$18&lt;=EOMONTH(BG$5,0)),"◆","")))</x:f>
      </x:c>
      <x:c r="BH18" s="57" t="str">
        <x:f>IF('制度詳細'!$H$18="",IF('制度詳細'!$J$18="","",IF(AND('制度詳細'!$J$18&gt;=BH$5,'制度詳細'!$J$18&lt;=EOMONTH(BH$5,0)),"◆","")),IF(MAX('制度詳細'!$H$18,BH$5)&lt;=MIN(IF('制度詳細'!$I$18="",EOMONTH(BH$5,0),'制度詳細'!$I$18),EOMONTH(BH$5,0)),"■",IF(AND('制度詳細'!$J$18&lt;&gt;"",'制度詳細'!$J$18&gt;=BH$5,'制度詳細'!$J$18&lt;=EOMONTH(BH$5,0)),"◆","")))</x:f>
      </x:c>
      <x:c r="BI18" s="57" t="str">
        <x:f>IF('制度詳細'!$H$18="",IF('制度詳細'!$J$18="","",IF(AND('制度詳細'!$J$18&gt;=BI$5,'制度詳細'!$J$18&lt;=EOMONTH(BI$5,0)),"◆","")),IF(MAX('制度詳細'!$H$18,BI$5)&lt;=MIN(IF('制度詳細'!$I$18="",EOMONTH(BI$5,0),'制度詳細'!$I$18),EOMONTH(BI$5,0)),"■",IF(AND('制度詳細'!$J$18&lt;&gt;"",'制度詳細'!$J$18&gt;=BI$5,'制度詳細'!$J$18&lt;=EOMONTH(BI$5,0)),"◆","")))</x:f>
      </x:c>
      <x:c r="BJ18" s="57" t="str">
        <x:f>IF('制度詳細'!$H$18="",IF('制度詳細'!$J$18="","",IF(AND('制度詳細'!$J$18&gt;=BJ$5,'制度詳細'!$J$18&lt;=EOMONTH(BJ$5,0)),"◆","")),IF(MAX('制度詳細'!$H$18,BJ$5)&lt;=MIN(IF('制度詳細'!$I$18="",EOMONTH(BJ$5,0),'制度詳細'!$I$18),EOMONTH(BJ$5,0)),"■",IF(AND('制度詳細'!$J$18&lt;&gt;"",'制度詳細'!$J$18&gt;=BJ$5,'制度詳細'!$J$18&lt;=EOMONTH(BJ$5,0)),"◆","")))</x:f>
      </x:c>
      <x:c r="BK18" s="57" t="str">
        <x:f>IF('制度詳細'!$H$18="",IF('制度詳細'!$J$18="","",IF(AND('制度詳細'!$J$18&gt;=BK$5,'制度詳細'!$J$18&lt;=EOMONTH(BK$5,0)),"◆","")),IF(MAX('制度詳細'!$H$18,BK$5)&lt;=MIN(IF('制度詳細'!$I$18="",EOMONTH(BK$5,0),'制度詳細'!$I$18),EOMONTH(BK$5,0)),"■",IF(AND('制度詳細'!$J$18&lt;&gt;"",'制度詳細'!$J$18&gt;=BK$5,'制度詳細'!$J$18&lt;=EOMONTH(BK$5,0)),"◆","")))</x:f>
      </x:c>
      <x:c r="BL18" s="57" t="str">
        <x:f>IF('制度詳細'!$H$18="",IF('制度詳細'!$J$18="","",IF(AND('制度詳細'!$J$18&gt;=BL$5,'制度詳細'!$J$18&lt;=EOMONTH(BL$5,0)),"◆","")),IF(MAX('制度詳細'!$H$18,BL$5)&lt;=MIN(IF('制度詳細'!$I$18="",EOMONTH(BL$5,0),'制度詳細'!$I$18),EOMONTH(BL$5,0)),"■",IF(AND('制度詳細'!$J$18&lt;&gt;"",'制度詳細'!$J$18&gt;=BL$5,'制度詳細'!$J$18&lt;=EOMONTH(BL$5,0)),"◆","")))</x:f>
      </x:c>
      <x:c r="BM18" s="57" t="str">
        <x:f>IF('制度詳細'!$H$18="",IF('制度詳細'!$J$18="","",IF(AND('制度詳細'!$J$18&gt;=BM$5,'制度詳細'!$J$18&lt;=EOMONTH(BM$5,0)),"◆","")),IF(MAX('制度詳細'!$H$18,BM$5)&lt;=MIN(IF('制度詳細'!$I$18="",EOMONTH(BM$5,0),'制度詳細'!$I$18),EOMONTH(BM$5,0)),"■",IF(AND('制度詳細'!$J$18&lt;&gt;"",'制度詳細'!$J$18&gt;=BM$5,'制度詳細'!$J$18&lt;=EOMONTH(BM$5,0)),"◆","")))</x:f>
        <x:v>■</x:v>
      </x:c>
      <x:c r="BN18" s="57" t="str">
        <x:f>IF('制度詳細'!$H$18="",IF('制度詳細'!$J$18="","",IF(AND('制度詳細'!$J$18&gt;=BN$5,'制度詳細'!$J$18&lt;=EOMONTH(BN$5,0)),"◆","")),IF(MAX('制度詳細'!$H$18,BN$5)&lt;=MIN(IF('制度詳細'!$I$18="",EOMONTH(BN$5,0),'制度詳細'!$I$18),EOMONTH(BN$5,0)),"■",IF(AND('制度詳細'!$J$18&lt;&gt;"",'制度詳細'!$J$18&gt;=BN$5,'制度詳細'!$J$18&lt;=EOMONTH(BN$5,0)),"◆","")))</x:f>
        <x:v>■</x:v>
      </x:c>
      <x:c r="BO18" s="57" t="str">
        <x:f>IF('制度詳細'!$H$18="",IF('制度詳細'!$J$18="","",IF(AND('制度詳細'!$J$18&gt;=BO$5,'制度詳細'!$J$18&lt;=EOMONTH(BO$5,0)),"◆","")),IF(MAX('制度詳細'!$H$18,BO$5)&lt;=MIN(IF('制度詳細'!$I$18="",EOMONTH(BO$5,0),'制度詳細'!$I$18),EOMONTH(BO$5,0)),"■",IF(AND('制度詳細'!$J$18&lt;&gt;"",'制度詳細'!$J$18&gt;=BO$5,'制度詳細'!$J$18&lt;=EOMONTH(BO$5,0)),"◆","")))</x:f>
        <x:v>■</x:v>
      </x:c>
      <x:c r="BP18" s="57" t="str">
        <x:f>IF('制度詳細'!$H$18="",IF('制度詳細'!$J$18="","",IF(AND('制度詳細'!$J$18&gt;=BP$5,'制度詳細'!$J$18&lt;=EOMONTH(BP$5,0)),"◆","")),IF(MAX('制度詳細'!$H$18,BP$5)&lt;=MIN(IF('制度詳細'!$I$18="",EOMONTH(BP$5,0),'制度詳細'!$I$18),EOMONTH(BP$5,0)),"■",IF(AND('制度詳細'!$J$18&lt;&gt;"",'制度詳細'!$J$18&gt;=BP$5,'制度詳細'!$J$18&lt;=EOMONTH(BP$5,0)),"◆","")))</x:f>
        <x:v>■</x:v>
      </x:c>
      <x:c r="BQ18" s="57" t="str">
        <x:f>IF('制度詳細'!$H$18="",IF('制度詳細'!$J$18="","",IF(AND('制度詳細'!$J$18&gt;=BQ$5,'制度詳細'!$J$18&lt;=EOMONTH(BQ$5,0)),"◆","")),IF(MAX('制度詳細'!$H$18,BQ$5)&lt;=MIN(IF('制度詳細'!$I$18="",EOMONTH(BQ$5,0),'制度詳細'!$I$18),EOMONTH(BQ$5,0)),"■",IF(AND('制度詳細'!$J$18&lt;&gt;"",'制度詳細'!$J$18&gt;=BQ$5,'制度詳細'!$J$18&lt;=EOMONTH(BQ$5,0)),"◆","")))</x:f>
        <x:v>■</x:v>
      </x:c>
      <x:c r="BR18" s="57" t="str">
        <x:f>IF('制度詳細'!$H$18="",IF('制度詳細'!$J$18="","",IF(AND('制度詳細'!$J$18&gt;=BR$5,'制度詳細'!$J$18&lt;=EOMONTH(BR$5,0)),"◆","")),IF(MAX('制度詳細'!$H$18,BR$5)&lt;=MIN(IF('制度詳細'!$I$18="",EOMONTH(BR$5,0),'制度詳細'!$I$18),EOMONTH(BR$5,0)),"■",IF(AND('制度詳細'!$J$18&lt;&gt;"",'制度詳細'!$J$18&gt;=BR$5,'制度詳細'!$J$18&lt;=EOMONTH(BR$5,0)),"◆","")))</x:f>
        <x:v>■</x:v>
      </x:c>
      <x:c r="BS18" s="57" t="str">
        <x:f>IF('制度詳細'!$H$18="",IF('制度詳細'!$J$18="","",IF(AND('制度詳細'!$J$18&gt;=BS$5,'制度詳細'!$J$18&lt;=EOMONTH(BS$5,0)),"◆","")),IF(MAX('制度詳細'!$H$18,BS$5)&lt;=MIN(IF('制度詳細'!$I$18="",EOMONTH(BS$5,0),'制度詳細'!$I$18),EOMONTH(BS$5,0)),"■",IF(AND('制度詳細'!$J$18&lt;&gt;"",'制度詳細'!$J$18&gt;=BS$5,'制度詳細'!$J$18&lt;=EOMONTH(BS$5,0)),"◆","")))</x:f>
        <x:v>■</x:v>
      </x:c>
      <x:c r="BT18" s="57" t="str">
        <x:f>IF('制度詳細'!$H$18="",IF('制度詳細'!$J$18="","",IF(AND('制度詳細'!$J$18&gt;=BT$5,'制度詳細'!$J$18&lt;=EOMONTH(BT$5,0)),"◆","")),IF(MAX('制度詳細'!$H$18,BT$5)&lt;=MIN(IF('制度詳細'!$I$18="",EOMONTH(BT$5,0),'制度詳細'!$I$18),EOMONTH(BT$5,0)),"■",IF(AND('制度詳細'!$J$18&lt;&gt;"",'制度詳細'!$J$18&gt;=BT$5,'制度詳細'!$J$18&lt;=EOMONTH(BT$5,0)),"◆","")))</x:f>
        <x:v>■</x:v>
      </x:c>
      <x:c r="BU18" s="57" t="str">
        <x:f>IF('制度詳細'!$H$18="",IF('制度詳細'!$J$18="","",IF(AND('制度詳細'!$J$18&gt;=BU$5,'制度詳細'!$J$18&lt;=EOMONTH(BU$5,0)),"◆","")),IF(MAX('制度詳細'!$H$18,BU$5)&lt;=MIN(IF('制度詳細'!$I$18="",EOMONTH(BU$5,0),'制度詳細'!$I$18),EOMONTH(BU$5,0)),"■",IF(AND('制度詳細'!$J$18&lt;&gt;"",'制度詳細'!$J$18&gt;=BU$5,'制度詳細'!$J$18&lt;=EOMONTH(BU$5,0)),"◆","")))</x:f>
        <x:v>■</x:v>
      </x:c>
      <x:c r="BV18" s="57" t="str">
        <x:f>IF('制度詳細'!$H$18="",IF('制度詳細'!$J$18="","",IF(AND('制度詳細'!$J$18&gt;=BV$5,'制度詳細'!$J$18&lt;=EOMONTH(BV$5,0)),"◆","")),IF(MAX('制度詳細'!$H$18,BV$5)&lt;=MIN(IF('制度詳細'!$I$18="",EOMONTH(BV$5,0),'制度詳細'!$I$18),EOMONTH(BV$5,0)),"■",IF(AND('制度詳細'!$J$18&lt;&gt;"",'制度詳細'!$J$18&gt;=BV$5,'制度詳細'!$J$18&lt;=EOMONTH(BV$5,0)),"◆","")))</x:f>
        <x:v>■</x:v>
      </x:c>
      <x:c r="BW18" s="57" t="str">
        <x:f>IF('制度詳細'!$H$18="",IF('制度詳細'!$J$18="","",IF(AND('制度詳細'!$J$18&gt;=BW$5,'制度詳細'!$J$18&lt;=EOMONTH(BW$5,0)),"◆","")),IF(MAX('制度詳細'!$H$18,BW$5)&lt;=MIN(IF('制度詳細'!$I$18="",EOMONTH(BW$5,0),'制度詳細'!$I$18),EOMONTH(BW$5,0)),"■",IF(AND('制度詳細'!$J$18&lt;&gt;"",'制度詳細'!$J$18&gt;=BW$5,'制度詳細'!$J$18&lt;=EOMONTH(BW$5,0)),"◆","")))</x:f>
        <x:v>■</x:v>
      </x:c>
      <x:c r="BX18" s="57" t="str">
        <x:f>IF('制度詳細'!$H$18="",IF('制度詳細'!$J$18="","",IF(AND('制度詳細'!$J$18&gt;=BX$5,'制度詳細'!$J$18&lt;=EOMONTH(BX$5,0)),"◆","")),IF(MAX('制度詳細'!$H$18,BX$5)&lt;=MIN(IF('制度詳細'!$I$18="",EOMONTH(BX$5,0),'制度詳細'!$I$18),EOMONTH(BX$5,0)),"■",IF(AND('制度詳細'!$J$18&lt;&gt;"",'制度詳細'!$J$18&gt;=BX$5,'制度詳細'!$J$18&lt;=EOMONTH(BX$5,0)),"◆","")))</x:f>
        <x:v>■</x:v>
      </x:c>
      <x:c r="BY18" s="57" t="str">
        <x:f>IF('制度詳細'!$H$18="",IF('制度詳細'!$J$18="","",IF(AND('制度詳細'!$J$18&gt;=BY$5,'制度詳細'!$J$18&lt;=EOMONTH(BY$5,0)),"◆","")),IF(MAX('制度詳細'!$H$18,BY$5)&lt;=MIN(IF('制度詳細'!$I$18="",EOMONTH(BY$5,0),'制度詳細'!$I$18),EOMONTH(BY$5,0)),"■",IF(AND('制度詳細'!$J$18&lt;&gt;"",'制度詳細'!$J$18&gt;=BY$5,'制度詳細'!$J$18&lt;=EOMONTH(BY$5,0)),"◆","")))</x:f>
      </x:c>
      <x:c r="BZ18" s="57" t="str">
        <x:f>IF('制度詳細'!$H$18="",IF('制度詳細'!$J$18="","",IF(AND('制度詳細'!$J$18&gt;=BZ$5,'制度詳細'!$J$18&lt;=EOMONTH(BZ$5,0)),"◆","")),IF(MAX('制度詳細'!$H$18,BZ$5)&lt;=MIN(IF('制度詳細'!$I$18="",EOMONTH(BZ$5,0),'制度詳細'!$I$18),EOMONTH(BZ$5,0)),"■",IF(AND('制度詳細'!$J$18&lt;&gt;"",'制度詳細'!$J$18&gt;=BZ$5,'制度詳細'!$J$18&lt;=EOMONTH(BZ$5,0)),"◆","")))</x:f>
      </x:c>
      <x:c r="CA18" s="57" t="str">
        <x:f>IF('制度詳細'!$H$18="",IF('制度詳細'!$J$18="","",IF(AND('制度詳細'!$J$18&gt;=CA$5,'制度詳細'!$J$18&lt;=EOMONTH(CA$5,0)),"◆","")),IF(MAX('制度詳細'!$H$18,CA$5)&lt;=MIN(IF('制度詳細'!$I$18="",EOMONTH(CA$5,0),'制度詳細'!$I$18),EOMONTH(CA$5,0)),"■",IF(AND('制度詳細'!$J$18&lt;&gt;"",'制度詳細'!$J$18&gt;=CA$5,'制度詳細'!$J$18&lt;=EOMONTH(CA$5,0)),"◆","")))</x:f>
      </x:c>
      <x:c r="CB18" s="57" t="str">
        <x:f>IF('制度詳細'!$H$18="",IF('制度詳細'!$J$18="","",IF(AND('制度詳細'!$J$18&gt;=CB$5,'制度詳細'!$J$18&lt;=EOMONTH(CB$5,0)),"◆","")),IF(MAX('制度詳細'!$H$18,CB$5)&lt;=MIN(IF('制度詳細'!$I$18="",EOMONTH(CB$5,0),'制度詳細'!$I$18),EOMONTH(CB$5,0)),"■",IF(AND('制度詳細'!$J$18&lt;&gt;"",'制度詳細'!$J$18&gt;=CB$5,'制度詳細'!$J$18&lt;=EOMONTH(CB$5,0)),"◆","")))</x:f>
      </x:c>
      <x:c r="CC18" s="57" t="str">
        <x:f>IF('制度詳細'!$H$18="",IF('制度詳細'!$J$18="","",IF(AND('制度詳細'!$J$18&gt;=CC$5,'制度詳細'!$J$18&lt;=EOMONTH(CC$5,0)),"◆","")),IF(MAX('制度詳細'!$H$18,CC$5)&lt;=MIN(IF('制度詳細'!$I$18="",EOMONTH(CC$5,0),'制度詳細'!$I$18),EOMONTH(CC$5,0)),"■",IF(AND('制度詳細'!$J$18&lt;&gt;"",'制度詳細'!$J$18&gt;=CC$5,'制度詳細'!$J$18&lt;=EOMONTH(CC$5,0)),"◆","")))</x:f>
      </x:c>
      <x:c r="CD18" s="57" t="str">
        <x:f>IF('制度詳細'!$H$18="",IF('制度詳細'!$J$18="","",IF(AND('制度詳細'!$J$18&gt;=CD$5,'制度詳細'!$J$18&lt;=EOMONTH(CD$5,0)),"◆","")),IF(MAX('制度詳細'!$H$18,CD$5)&lt;=MIN(IF('制度詳細'!$I$18="",EOMONTH(CD$5,0),'制度詳細'!$I$18),EOMONTH(CD$5,0)),"■",IF(AND('制度詳細'!$J$18&lt;&gt;"",'制度詳細'!$J$18&gt;=CD$5,'制度詳細'!$J$18&lt;=EOMONTH(CD$5,0)),"◆","")))</x:f>
      </x:c>
      <x:c r="CE18" s="57" t="str">
        <x:f>IF('制度詳細'!$H$18="",IF('制度詳細'!$J$18="","",IF(AND('制度詳細'!$J$18&gt;=CE$5,'制度詳細'!$J$18&lt;=EOMONTH(CE$5,0)),"◆","")),IF(MAX('制度詳細'!$H$18,CE$5)&lt;=MIN(IF('制度詳細'!$I$18="",EOMONTH(CE$5,0),'制度詳細'!$I$18),EOMONTH(CE$5,0)),"■",IF(AND('制度詳細'!$J$18&lt;&gt;"",'制度詳細'!$J$18&gt;=CE$5,'制度詳細'!$J$18&lt;=EOMONTH(CE$5,0)),"◆","")))</x:f>
      </x:c>
      <x:c r="CF18" s="57" t="str">
        <x:f>IF('制度詳細'!$H$18="",IF('制度詳細'!$J$18="","",IF(AND('制度詳細'!$J$18&gt;=CF$5,'制度詳細'!$J$18&lt;=EOMONTH(CF$5,0)),"◆","")),IF(MAX('制度詳細'!$H$18,CF$5)&lt;=MIN(IF('制度詳細'!$I$18="",EOMONTH(CF$5,0),'制度詳細'!$I$18),EOMONTH(CF$5,0)),"■",IF(AND('制度詳細'!$J$18&lt;&gt;"",'制度詳細'!$J$18&gt;=CF$5,'制度詳細'!$J$18&lt;=EOMONTH(CF$5,0)),"◆","")))</x:f>
      </x:c>
      <x:c r="CG18" s="57" t="str">
        <x:f>IF('制度詳細'!$H$18="",IF('制度詳細'!$J$18="","",IF(AND('制度詳細'!$J$18&gt;=CG$5,'制度詳細'!$J$18&lt;=EOMONTH(CG$5,0)),"◆","")),IF(MAX('制度詳細'!$H$18,CG$5)&lt;=MIN(IF('制度詳細'!$I$18="",EOMONTH(CG$5,0),'制度詳細'!$I$18),EOMONTH(CG$5,0)),"■",IF(AND('制度詳細'!$J$18&lt;&gt;"",'制度詳細'!$J$18&gt;=CG$5,'制度詳細'!$J$18&lt;=EOMONTH(CG$5,0)),"◆","")))</x:f>
      </x:c>
      <x:c r="CH18" s="57" t="str">
        <x:f>IF('制度詳細'!$H$18="",IF('制度詳細'!$J$18="","",IF(AND('制度詳細'!$J$18&gt;=CH$5,'制度詳細'!$J$18&lt;=EOMONTH(CH$5,0)),"◆","")),IF(MAX('制度詳細'!$H$18,CH$5)&lt;=MIN(IF('制度詳細'!$I$18="",EOMONTH(CH$5,0),'制度詳細'!$I$18),EOMONTH(CH$5,0)),"■",IF(AND('制度詳細'!$J$18&lt;&gt;"",'制度詳細'!$J$18&gt;=CH$5,'制度詳細'!$J$18&lt;=EOMONTH(CH$5,0)),"◆","")))</x:f>
      </x:c>
      <x:c r="CI18" s="57" t="str">
        <x:f>IF('制度詳細'!$H$18="",IF('制度詳細'!$J$18="","",IF(AND('制度詳細'!$J$18&gt;=CI$5,'制度詳細'!$J$18&lt;=EOMONTH(CI$5,0)),"◆","")),IF(MAX('制度詳細'!$H$18,CI$5)&lt;=MIN(IF('制度詳細'!$I$18="",EOMONTH(CI$5,0),'制度詳細'!$I$18),EOMONTH(CI$5,0)),"■",IF(AND('制度詳細'!$J$18&lt;&gt;"",'制度詳細'!$J$18&gt;=CI$5,'制度詳細'!$J$18&lt;=EOMONTH(CI$5,0)),"◆","")))</x:f>
      </x:c>
      <x:c r="CJ18" s="57" t="str">
        <x:f>IF('制度詳細'!$H$18="",IF('制度詳細'!$J$18="","",IF(AND('制度詳細'!$J$18&gt;=CJ$5,'制度詳細'!$J$18&lt;=EOMONTH(CJ$5,0)),"◆","")),IF(MAX('制度詳細'!$H$18,CJ$5)&lt;=MIN(IF('制度詳細'!$I$18="",EOMONTH(CJ$5,0),'制度詳細'!$I$18),EOMONTH(CJ$5,0)),"■",IF(AND('制度詳細'!$J$18&lt;&gt;"",'制度詳細'!$J$18&gt;=CJ$5,'制度詳細'!$J$18&lt;=EOMONTH(CJ$5,0)),"◆","")))</x:f>
      </x:c>
      <x:c r="CK18" s="57" t="str">
        <x:f>IF('制度詳細'!$H$18="",IF('制度詳細'!$J$18="","",IF(AND('制度詳細'!$J$18&gt;=CK$5,'制度詳細'!$J$18&lt;=EOMONTH(CK$5,0)),"◆","")),IF(MAX('制度詳細'!$H$18,CK$5)&lt;=MIN(IF('制度詳細'!$I$18="",EOMONTH(CK$5,0),'制度詳細'!$I$18),EOMONTH(CK$5,0)),"■",IF(AND('制度詳細'!$J$18&lt;&gt;"",'制度詳細'!$J$18&gt;=CK$5,'制度詳細'!$J$18&lt;=EOMONTH(CK$5,0)),"◆","")))</x:f>
      </x:c>
      <x:c r="CL18" s="57" t="str">
        <x:f>IF('制度詳細'!$H$18="",IF('制度詳細'!$J$18="","",IF(AND('制度詳細'!$J$18&gt;=CL$5,'制度詳細'!$J$18&lt;=EOMONTH(CL$5,0)),"◆","")),IF(MAX('制度詳細'!$H$18,CL$5)&lt;=MIN(IF('制度詳細'!$I$18="",EOMONTH(CL$5,0),'制度詳細'!$I$18),EOMONTH(CL$5,0)),"■",IF(AND('制度詳細'!$J$18&lt;&gt;"",'制度詳細'!$J$18&gt;=CL$5,'制度詳細'!$J$18&lt;=EOMONTH(CL$5,0)),"◆","")))</x:f>
      </x:c>
      <x:c r="CM18" s="57" t="str">
        <x:f>IF('制度詳細'!$H$18="",IF('制度詳細'!$J$18="","",IF(AND('制度詳細'!$J$18&gt;=CM$5,'制度詳細'!$J$18&lt;=EOMONTH(CM$5,0)),"◆","")),IF(MAX('制度詳細'!$H$18,CM$5)&lt;=MIN(IF('制度詳細'!$I$18="",EOMONTH(CM$5,0),'制度詳細'!$I$18),EOMONTH(CM$5,0)),"■",IF(AND('制度詳細'!$J$18&lt;&gt;"",'制度詳細'!$J$18&gt;=CM$5,'制度詳細'!$J$18&lt;=EOMONTH(CM$5,0)),"◆","")))</x:f>
      </x:c>
      <x:c r="CN18" s="57" t="str">
        <x:f>IF('制度詳細'!$H$18="",IF('制度詳細'!$J$18="","",IF(AND('制度詳細'!$J$18&gt;=CN$5,'制度詳細'!$J$18&lt;=EOMONTH(CN$5,0)),"◆","")),IF(MAX('制度詳細'!$H$18,CN$5)&lt;=MIN(IF('制度詳細'!$I$18="",EOMONTH(CN$5,0),'制度詳細'!$I$18),EOMONTH(CN$5,0)),"■",IF(AND('制度詳細'!$J$18&lt;&gt;"",'制度詳細'!$J$18&gt;=CN$5,'制度詳細'!$J$18&lt;=EOMONTH(CN$5,0)),"◆","")))</x:f>
      </x:c>
      <x:c r="CO18" s="57" t="str">
        <x:f>IF('制度詳細'!$H$18="",IF('制度詳細'!$J$18="","",IF(AND('制度詳細'!$J$18&gt;=CO$5,'制度詳細'!$J$18&lt;=EOMONTH(CO$5,0)),"◆","")),IF(MAX('制度詳細'!$H$18,CO$5)&lt;=MIN(IF('制度詳細'!$I$18="",EOMONTH(CO$5,0),'制度詳細'!$I$18),EOMONTH(CO$5,0)),"■",IF(AND('制度詳細'!$J$18&lt;&gt;"",'制度詳細'!$J$18&gt;=CO$5,'制度詳細'!$J$18&lt;=EOMONTH(CO$5,0)),"◆","")))</x:f>
      </x:c>
      <x:c r="CP18" s="57" t="str">
        <x:f>IF('制度詳細'!$H$18="",IF('制度詳細'!$J$18="","",IF(AND('制度詳細'!$J$18&gt;=CP$5,'制度詳細'!$J$18&lt;=EOMONTH(CP$5,0)),"◆","")),IF(MAX('制度詳細'!$H$18,CP$5)&lt;=MIN(IF('制度詳細'!$I$18="",EOMONTH(CP$5,0),'制度詳細'!$I$18),EOMONTH(CP$5,0)),"■",IF(AND('制度詳細'!$J$18&lt;&gt;"",'制度詳細'!$J$18&gt;=CP$5,'制度詳細'!$J$18&lt;=EOMONTH(CP$5,0)),"◆","")))</x:f>
      </x:c>
      <x:c r="CQ18" s="57" t="str">
        <x:f>IF('制度詳細'!$H$18="",IF('制度詳細'!$J$18="","",IF(AND('制度詳細'!$J$18&gt;=CQ$5,'制度詳細'!$J$18&lt;=EOMONTH(CQ$5,0)),"◆","")),IF(MAX('制度詳細'!$H$18,CQ$5)&lt;=MIN(IF('制度詳細'!$I$18="",EOMONTH(CQ$5,0),'制度詳細'!$I$18),EOMONTH(CQ$5,0)),"■",IF(AND('制度詳細'!$J$18&lt;&gt;"",'制度詳細'!$J$18&gt;=CQ$5,'制度詳細'!$J$18&lt;=EOMONTH(CQ$5,0)),"◆","")))</x:f>
      </x:c>
      <x:c r="CR18" s="57" t="str">
        <x:f>IF('制度詳細'!$H$18="",IF('制度詳細'!$J$18="","",IF(AND('制度詳細'!$J$18&gt;=CR$5,'制度詳細'!$J$18&lt;=EOMONTH(CR$5,0)),"◆","")),IF(MAX('制度詳細'!$H$18,CR$5)&lt;=MIN(IF('制度詳細'!$I$18="",EOMONTH(CR$5,0),'制度詳細'!$I$18),EOMONTH(CR$5,0)),"■",IF(AND('制度詳細'!$J$18&lt;&gt;"",'制度詳細'!$J$18&gt;=CR$5,'制度詳細'!$J$18&lt;=EOMONTH(CR$5,0)),"◆","")))</x:f>
      </x:c>
      <x:c r="CS18" s="57" t="str">
        <x:f>IF('制度詳細'!$H$18="",IF('制度詳細'!$J$18="","",IF(AND('制度詳細'!$J$18&gt;=CS$5,'制度詳細'!$J$18&lt;=EOMONTH(CS$5,0)),"◆","")),IF(MAX('制度詳細'!$H$18,CS$5)&lt;=MIN(IF('制度詳細'!$I$18="",EOMONTH(CS$5,0),'制度詳細'!$I$18),EOMONTH(CS$5,0)),"■",IF(AND('制度詳細'!$J$18&lt;&gt;"",'制度詳細'!$J$18&gt;=CS$5,'制度詳細'!$J$18&lt;=EOMONTH(CS$5,0)),"◆","")))</x:f>
      </x:c>
      <x:c r="CT18" s="57" t="str">
        <x:f>IF('制度詳細'!$H$18="",IF('制度詳細'!$J$18="","",IF(AND('制度詳細'!$J$18&gt;=CT$5,'制度詳細'!$J$18&lt;=EOMONTH(CT$5,0)),"◆","")),IF(MAX('制度詳細'!$H$18,CT$5)&lt;=MIN(IF('制度詳細'!$I$18="",EOMONTH(CT$5,0),'制度詳細'!$I$18),EOMONTH(CT$5,0)),"■",IF(AND('制度詳細'!$J$18&lt;&gt;"",'制度詳細'!$J$18&gt;=CT$5,'制度詳細'!$J$18&lt;=EOMONTH(CT$5,0)),"◆","")))</x:f>
      </x:c>
      <x:c r="CU18" s="57" t="str">
        <x:f>IF('制度詳細'!$H$18="",IF('制度詳細'!$J$18="","",IF(AND('制度詳細'!$J$18&gt;=CU$5,'制度詳細'!$J$18&lt;=EOMONTH(CU$5,0)),"◆","")),IF(MAX('制度詳細'!$H$18,CU$5)&lt;=MIN(IF('制度詳細'!$I$18="",EOMONTH(CU$5,0),'制度詳細'!$I$18),EOMONTH(CU$5,0)),"■",IF(AND('制度詳細'!$J$18&lt;&gt;"",'制度詳細'!$J$18&gt;=CU$5,'制度詳細'!$J$18&lt;=EOMONTH(CU$5,0)),"◆","")))</x:f>
      </x:c>
      <x:c r="CV18" s="57" t="str">
        <x:f>IF('制度詳細'!$H$18="",IF('制度詳細'!$J$18="","",IF(AND('制度詳細'!$J$18&gt;=CV$5,'制度詳細'!$J$18&lt;=EOMONTH(CV$5,0)),"◆","")),IF(MAX('制度詳細'!$H$18,CV$5)&lt;=MIN(IF('制度詳細'!$I$18="",EOMONTH(CV$5,0),'制度詳細'!$I$18),EOMONTH(CV$5,0)),"■",IF(AND('制度詳細'!$J$18&lt;&gt;"",'制度詳細'!$J$18&gt;=CV$5,'制度詳細'!$J$18&lt;=EOMONTH(CV$5,0)),"◆","")))</x:f>
      </x:c>
      <x:c r="CW18" s="1"/>
      <x:c r="CX18" s="1"/>
      <x:c r="CY18" s="1"/>
      <x:c r="CZ18" s="1"/>
      <x:c r="DA18" s="1"/>
      <x:c r="DB18" s="1"/>
      <x:c r="DC18" s="1"/>
      <x:c r="DD18" s="1"/>
    </x:row>
    <x:row r="19" ht="27" customHeight="1">
      <x:c r="A19" s="58" t="str">
        <x:v>ID05</x:v>
      </x:c>
      <x:c r="B19" s="58" t="str">
        <x:v>インドネシア</x:v>
      </x:c>
      <x:c r="C19" s="58" t="str">
        <x:v>投資連動CBU/CKD輸入恩典</x:v>
      </x:c>
      <x:c r="D19" s="58" t="str">
        <x:v>BEV</x:v>
      </x:c>
      <x:c r="E19" s="57" t="str">
        <x:f>IF('制度詳細'!$H$19="",IF('制度詳細'!$J$19="","",IF(AND('制度詳細'!$J$19&gt;=E$5,'制度詳細'!$J$19&lt;=EOMONTH(E$5,0)),"◆","")),IF(MAX('制度詳細'!$H$19,E$5)&lt;=MIN(IF('制度詳細'!$I$19="",EOMONTH(E$5,0),'制度詳細'!$I$19),EOMONTH(E$5,0)),"■",IF(AND('制度詳細'!$J$19&lt;&gt;"",'制度詳細'!$J$19&gt;=E$5,'制度詳細'!$J$19&lt;=EOMONTH(E$5,0)),"◆","")))</x:f>
      </x:c>
      <x:c r="F19" s="57" t="str">
        <x:f>IF('制度詳細'!$H$19="",IF('制度詳細'!$J$19="","",IF(AND('制度詳細'!$J$19&gt;=F$5,'制度詳細'!$J$19&lt;=EOMONTH(F$5,0)),"◆","")),IF(MAX('制度詳細'!$H$19,F$5)&lt;=MIN(IF('制度詳細'!$I$19="",EOMONTH(F$5,0),'制度詳細'!$I$19),EOMONTH(F$5,0)),"■",IF(AND('制度詳細'!$J$19&lt;&gt;"",'制度詳細'!$J$19&gt;=F$5,'制度詳細'!$J$19&lt;=EOMONTH(F$5,0)),"◆","")))</x:f>
      </x:c>
      <x:c r="G19" s="57" t="str">
        <x:f>IF('制度詳細'!$H$19="",IF('制度詳細'!$J$19="","",IF(AND('制度詳細'!$J$19&gt;=G$5,'制度詳細'!$J$19&lt;=EOMONTH(G$5,0)),"◆","")),IF(MAX('制度詳細'!$H$19,G$5)&lt;=MIN(IF('制度詳細'!$I$19="",EOMONTH(G$5,0),'制度詳細'!$I$19),EOMONTH(G$5,0)),"■",IF(AND('制度詳細'!$J$19&lt;&gt;"",'制度詳細'!$J$19&gt;=G$5,'制度詳細'!$J$19&lt;=EOMONTH(G$5,0)),"◆","")))</x:f>
      </x:c>
      <x:c r="H19" s="57" t="str">
        <x:f>IF('制度詳細'!$H$19="",IF('制度詳細'!$J$19="","",IF(AND('制度詳細'!$J$19&gt;=H$5,'制度詳細'!$J$19&lt;=EOMONTH(H$5,0)),"◆","")),IF(MAX('制度詳細'!$H$19,H$5)&lt;=MIN(IF('制度詳細'!$I$19="",EOMONTH(H$5,0),'制度詳細'!$I$19),EOMONTH(H$5,0)),"■",IF(AND('制度詳細'!$J$19&lt;&gt;"",'制度詳細'!$J$19&gt;=H$5,'制度詳細'!$J$19&lt;=EOMONTH(H$5,0)),"◆","")))</x:f>
      </x:c>
      <x:c r="I19" s="57" t="str">
        <x:f>IF('制度詳細'!$H$19="",IF('制度詳細'!$J$19="","",IF(AND('制度詳細'!$J$19&gt;=I$5,'制度詳細'!$J$19&lt;=EOMONTH(I$5,0)),"◆","")),IF(MAX('制度詳細'!$H$19,I$5)&lt;=MIN(IF('制度詳細'!$I$19="",EOMONTH(I$5,0),'制度詳細'!$I$19),EOMONTH(I$5,0)),"■",IF(AND('制度詳細'!$J$19&lt;&gt;"",'制度詳細'!$J$19&gt;=I$5,'制度詳細'!$J$19&lt;=EOMONTH(I$5,0)),"◆","")))</x:f>
      </x:c>
      <x:c r="J19" s="57" t="str">
        <x:f>IF('制度詳細'!$H$19="",IF('制度詳細'!$J$19="","",IF(AND('制度詳細'!$J$19&gt;=J$5,'制度詳細'!$J$19&lt;=EOMONTH(J$5,0)),"◆","")),IF(MAX('制度詳細'!$H$19,J$5)&lt;=MIN(IF('制度詳細'!$I$19="",EOMONTH(J$5,0),'制度詳細'!$I$19),EOMONTH(J$5,0)),"■",IF(AND('制度詳細'!$J$19&lt;&gt;"",'制度詳細'!$J$19&gt;=J$5,'制度詳細'!$J$19&lt;=EOMONTH(J$5,0)),"◆","")))</x:f>
      </x:c>
      <x:c r="K19" s="57" t="str">
        <x:f>IF('制度詳細'!$H$19="",IF('制度詳細'!$J$19="","",IF(AND('制度詳細'!$J$19&gt;=K$5,'制度詳細'!$J$19&lt;=EOMONTH(K$5,0)),"◆","")),IF(MAX('制度詳細'!$H$19,K$5)&lt;=MIN(IF('制度詳細'!$I$19="",EOMONTH(K$5,0),'制度詳細'!$I$19),EOMONTH(K$5,0)),"■",IF(AND('制度詳細'!$J$19&lt;&gt;"",'制度詳細'!$J$19&gt;=K$5,'制度詳細'!$J$19&lt;=EOMONTH(K$5,0)),"◆","")))</x:f>
      </x:c>
      <x:c r="L19" s="57" t="str">
        <x:f>IF('制度詳細'!$H$19="",IF('制度詳細'!$J$19="","",IF(AND('制度詳細'!$J$19&gt;=L$5,'制度詳細'!$J$19&lt;=EOMONTH(L$5,0)),"◆","")),IF(MAX('制度詳細'!$H$19,L$5)&lt;=MIN(IF('制度詳細'!$I$19="",EOMONTH(L$5,0),'制度詳細'!$I$19),EOMONTH(L$5,0)),"■",IF(AND('制度詳細'!$J$19&lt;&gt;"",'制度詳細'!$J$19&gt;=L$5,'制度詳細'!$J$19&lt;=EOMONTH(L$5,0)),"◆","")))</x:f>
      </x:c>
      <x:c r="M19" s="57" t="str">
        <x:f>IF('制度詳細'!$H$19="",IF('制度詳細'!$J$19="","",IF(AND('制度詳細'!$J$19&gt;=M$5,'制度詳細'!$J$19&lt;=EOMONTH(M$5,0)),"◆","")),IF(MAX('制度詳細'!$H$19,M$5)&lt;=MIN(IF('制度詳細'!$I$19="",EOMONTH(M$5,0),'制度詳細'!$I$19),EOMONTH(M$5,0)),"■",IF(AND('制度詳細'!$J$19&lt;&gt;"",'制度詳細'!$J$19&gt;=M$5,'制度詳細'!$J$19&lt;=EOMONTH(M$5,0)),"◆","")))</x:f>
      </x:c>
      <x:c r="N19" s="57" t="str">
        <x:f>IF('制度詳細'!$H$19="",IF('制度詳細'!$J$19="","",IF(AND('制度詳細'!$J$19&gt;=N$5,'制度詳細'!$J$19&lt;=EOMONTH(N$5,0)),"◆","")),IF(MAX('制度詳細'!$H$19,N$5)&lt;=MIN(IF('制度詳細'!$I$19="",EOMONTH(N$5,0),'制度詳細'!$I$19),EOMONTH(N$5,0)),"■",IF(AND('制度詳細'!$J$19&lt;&gt;"",'制度詳細'!$J$19&gt;=N$5,'制度詳細'!$J$19&lt;=EOMONTH(N$5,0)),"◆","")))</x:f>
      </x:c>
      <x:c r="O19" s="57" t="str">
        <x:f>IF('制度詳細'!$H$19="",IF('制度詳細'!$J$19="","",IF(AND('制度詳細'!$J$19&gt;=O$5,'制度詳細'!$J$19&lt;=EOMONTH(O$5,0)),"◆","")),IF(MAX('制度詳細'!$H$19,O$5)&lt;=MIN(IF('制度詳細'!$I$19="",EOMONTH(O$5,0),'制度詳細'!$I$19),EOMONTH(O$5,0)),"■",IF(AND('制度詳細'!$J$19&lt;&gt;"",'制度詳細'!$J$19&gt;=O$5,'制度詳細'!$J$19&lt;=EOMONTH(O$5,0)),"◆","")))</x:f>
      </x:c>
      <x:c r="P19" s="57" t="str">
        <x:f>IF('制度詳細'!$H$19="",IF('制度詳細'!$J$19="","",IF(AND('制度詳細'!$J$19&gt;=P$5,'制度詳細'!$J$19&lt;=EOMONTH(P$5,0)),"◆","")),IF(MAX('制度詳細'!$H$19,P$5)&lt;=MIN(IF('制度詳細'!$I$19="",EOMONTH(P$5,0),'制度詳細'!$I$19),EOMONTH(P$5,0)),"■",IF(AND('制度詳細'!$J$19&lt;&gt;"",'制度詳細'!$J$19&gt;=P$5,'制度詳細'!$J$19&lt;=EOMONTH(P$5,0)),"◆","")))</x:f>
      </x:c>
      <x:c r="Q19" s="57" t="str">
        <x:f>IF('制度詳細'!$H$19="",IF('制度詳細'!$J$19="","",IF(AND('制度詳細'!$J$19&gt;=Q$5,'制度詳細'!$J$19&lt;=EOMONTH(Q$5,0)),"◆","")),IF(MAX('制度詳細'!$H$19,Q$5)&lt;=MIN(IF('制度詳細'!$I$19="",EOMONTH(Q$5,0),'制度詳細'!$I$19),EOMONTH(Q$5,0)),"■",IF(AND('制度詳細'!$J$19&lt;&gt;"",'制度詳細'!$J$19&gt;=Q$5,'制度詳細'!$J$19&lt;=EOMONTH(Q$5,0)),"◆","")))</x:f>
      </x:c>
      <x:c r="R19" s="57" t="str">
        <x:f>IF('制度詳細'!$H$19="",IF('制度詳細'!$J$19="","",IF(AND('制度詳細'!$J$19&gt;=R$5,'制度詳細'!$J$19&lt;=EOMONTH(R$5,0)),"◆","")),IF(MAX('制度詳細'!$H$19,R$5)&lt;=MIN(IF('制度詳細'!$I$19="",EOMONTH(R$5,0),'制度詳細'!$I$19),EOMONTH(R$5,0)),"■",IF(AND('制度詳細'!$J$19&lt;&gt;"",'制度詳細'!$J$19&gt;=R$5,'制度詳細'!$J$19&lt;=EOMONTH(R$5,0)),"◆","")))</x:f>
      </x:c>
      <x:c r="S19" s="57" t="str">
        <x:f>IF('制度詳細'!$H$19="",IF('制度詳細'!$J$19="","",IF(AND('制度詳細'!$J$19&gt;=S$5,'制度詳細'!$J$19&lt;=EOMONTH(S$5,0)),"◆","")),IF(MAX('制度詳細'!$H$19,S$5)&lt;=MIN(IF('制度詳細'!$I$19="",EOMONTH(S$5,0),'制度詳細'!$I$19),EOMONTH(S$5,0)),"■",IF(AND('制度詳細'!$J$19&lt;&gt;"",'制度詳細'!$J$19&gt;=S$5,'制度詳細'!$J$19&lt;=EOMONTH(S$5,0)),"◆","")))</x:f>
      </x:c>
      <x:c r="T19" s="57" t="str">
        <x:f>IF('制度詳細'!$H$19="",IF('制度詳細'!$J$19="","",IF(AND('制度詳細'!$J$19&gt;=T$5,'制度詳細'!$J$19&lt;=EOMONTH(T$5,0)),"◆","")),IF(MAX('制度詳細'!$H$19,T$5)&lt;=MIN(IF('制度詳細'!$I$19="",EOMONTH(T$5,0),'制度詳細'!$I$19),EOMONTH(T$5,0)),"■",IF(AND('制度詳細'!$J$19&lt;&gt;"",'制度詳細'!$J$19&gt;=T$5,'制度詳細'!$J$19&lt;=EOMONTH(T$5,0)),"◆","")))</x:f>
      </x:c>
      <x:c r="U19" s="57" t="str">
        <x:f>IF('制度詳細'!$H$19="",IF('制度詳細'!$J$19="","",IF(AND('制度詳細'!$J$19&gt;=U$5,'制度詳細'!$J$19&lt;=EOMONTH(U$5,0)),"◆","")),IF(MAX('制度詳細'!$H$19,U$5)&lt;=MIN(IF('制度詳細'!$I$19="",EOMONTH(U$5,0),'制度詳細'!$I$19),EOMONTH(U$5,0)),"■",IF(AND('制度詳細'!$J$19&lt;&gt;"",'制度詳細'!$J$19&gt;=U$5,'制度詳細'!$J$19&lt;=EOMONTH(U$5,0)),"◆","")))</x:f>
      </x:c>
      <x:c r="V19" s="57" t="str">
        <x:f>IF('制度詳細'!$H$19="",IF('制度詳細'!$J$19="","",IF(AND('制度詳細'!$J$19&gt;=V$5,'制度詳細'!$J$19&lt;=EOMONTH(V$5,0)),"◆","")),IF(MAX('制度詳細'!$H$19,V$5)&lt;=MIN(IF('制度詳細'!$I$19="",EOMONTH(V$5,0),'制度詳細'!$I$19),EOMONTH(V$5,0)),"■",IF(AND('制度詳細'!$J$19&lt;&gt;"",'制度詳細'!$J$19&gt;=V$5,'制度詳細'!$J$19&lt;=EOMONTH(V$5,0)),"◆","")))</x:f>
      </x:c>
      <x:c r="W19" s="57" t="str">
        <x:f>IF('制度詳細'!$H$19="",IF('制度詳細'!$J$19="","",IF(AND('制度詳細'!$J$19&gt;=W$5,'制度詳細'!$J$19&lt;=EOMONTH(W$5,0)),"◆","")),IF(MAX('制度詳細'!$H$19,W$5)&lt;=MIN(IF('制度詳細'!$I$19="",EOMONTH(W$5,0),'制度詳細'!$I$19),EOMONTH(W$5,0)),"■",IF(AND('制度詳細'!$J$19&lt;&gt;"",'制度詳細'!$J$19&gt;=W$5,'制度詳細'!$J$19&lt;=EOMONTH(W$5,0)),"◆","")))</x:f>
      </x:c>
      <x:c r="X19" s="57" t="str">
        <x:f>IF('制度詳細'!$H$19="",IF('制度詳細'!$J$19="","",IF(AND('制度詳細'!$J$19&gt;=X$5,'制度詳細'!$J$19&lt;=EOMONTH(X$5,0)),"◆","")),IF(MAX('制度詳細'!$H$19,X$5)&lt;=MIN(IF('制度詳細'!$I$19="",EOMONTH(X$5,0),'制度詳細'!$I$19),EOMONTH(X$5,0)),"■",IF(AND('制度詳細'!$J$19&lt;&gt;"",'制度詳細'!$J$19&gt;=X$5,'制度詳細'!$J$19&lt;=EOMONTH(X$5,0)),"◆","")))</x:f>
      </x:c>
      <x:c r="Y19" s="57" t="str">
        <x:f>IF('制度詳細'!$H$19="",IF('制度詳細'!$J$19="","",IF(AND('制度詳細'!$J$19&gt;=Y$5,'制度詳細'!$J$19&lt;=EOMONTH(Y$5,0)),"◆","")),IF(MAX('制度詳細'!$H$19,Y$5)&lt;=MIN(IF('制度詳細'!$I$19="",EOMONTH(Y$5,0),'制度詳細'!$I$19),EOMONTH(Y$5,0)),"■",IF(AND('制度詳細'!$J$19&lt;&gt;"",'制度詳細'!$J$19&gt;=Y$5,'制度詳細'!$J$19&lt;=EOMONTH(Y$5,0)),"◆","")))</x:f>
      </x:c>
      <x:c r="Z19" s="57" t="str">
        <x:f>IF('制度詳細'!$H$19="",IF('制度詳細'!$J$19="","",IF(AND('制度詳細'!$J$19&gt;=Z$5,'制度詳細'!$J$19&lt;=EOMONTH(Z$5,0)),"◆","")),IF(MAX('制度詳細'!$H$19,Z$5)&lt;=MIN(IF('制度詳細'!$I$19="",EOMONTH(Z$5,0),'制度詳細'!$I$19),EOMONTH(Z$5,0)),"■",IF(AND('制度詳細'!$J$19&lt;&gt;"",'制度詳細'!$J$19&gt;=Z$5,'制度詳細'!$J$19&lt;=EOMONTH(Z$5,0)),"◆","")))</x:f>
      </x:c>
      <x:c r="AA19" s="57" t="str">
        <x:f>IF('制度詳細'!$H$19="",IF('制度詳細'!$J$19="","",IF(AND('制度詳細'!$J$19&gt;=AA$5,'制度詳細'!$J$19&lt;=EOMONTH(AA$5,0)),"◆","")),IF(MAX('制度詳細'!$H$19,AA$5)&lt;=MIN(IF('制度詳細'!$I$19="",EOMONTH(AA$5,0),'制度詳細'!$I$19),EOMONTH(AA$5,0)),"■",IF(AND('制度詳細'!$J$19&lt;&gt;"",'制度詳細'!$J$19&gt;=AA$5,'制度詳細'!$J$19&lt;=EOMONTH(AA$5,0)),"◆","")))</x:f>
      </x:c>
      <x:c r="AB19" s="57" t="str">
        <x:f>IF('制度詳細'!$H$19="",IF('制度詳細'!$J$19="","",IF(AND('制度詳細'!$J$19&gt;=AB$5,'制度詳細'!$J$19&lt;=EOMONTH(AB$5,0)),"◆","")),IF(MAX('制度詳細'!$H$19,AB$5)&lt;=MIN(IF('制度詳細'!$I$19="",EOMONTH(AB$5,0),'制度詳細'!$I$19),EOMONTH(AB$5,0)),"■",IF(AND('制度詳細'!$J$19&lt;&gt;"",'制度詳細'!$J$19&gt;=AB$5,'制度詳細'!$J$19&lt;=EOMONTH(AB$5,0)),"◆","")))</x:f>
      </x:c>
      <x:c r="AC19" s="57" t="str">
        <x:f>IF('制度詳細'!$H$19="",IF('制度詳細'!$J$19="","",IF(AND('制度詳細'!$J$19&gt;=AC$5,'制度詳細'!$J$19&lt;=EOMONTH(AC$5,0)),"◆","")),IF(MAX('制度詳細'!$H$19,AC$5)&lt;=MIN(IF('制度詳細'!$I$19="",EOMONTH(AC$5,0),'制度詳細'!$I$19),EOMONTH(AC$5,0)),"■",IF(AND('制度詳細'!$J$19&lt;&gt;"",'制度詳細'!$J$19&gt;=AC$5,'制度詳細'!$J$19&lt;=EOMONTH(AC$5,0)),"◆","")))</x:f>
      </x:c>
      <x:c r="AD19" s="57" t="str">
        <x:f>IF('制度詳細'!$H$19="",IF('制度詳細'!$J$19="","",IF(AND('制度詳細'!$J$19&gt;=AD$5,'制度詳細'!$J$19&lt;=EOMONTH(AD$5,0)),"◆","")),IF(MAX('制度詳細'!$H$19,AD$5)&lt;=MIN(IF('制度詳細'!$I$19="",EOMONTH(AD$5,0),'制度詳細'!$I$19),EOMONTH(AD$5,0)),"■",IF(AND('制度詳細'!$J$19&lt;&gt;"",'制度詳細'!$J$19&gt;=AD$5,'制度詳細'!$J$19&lt;=EOMONTH(AD$5,0)),"◆","")))</x:f>
      </x:c>
      <x:c r="AE19" s="57" t="str">
        <x:f>IF('制度詳細'!$H$19="",IF('制度詳細'!$J$19="","",IF(AND('制度詳細'!$J$19&gt;=AE$5,'制度詳細'!$J$19&lt;=EOMONTH(AE$5,0)),"◆","")),IF(MAX('制度詳細'!$H$19,AE$5)&lt;=MIN(IF('制度詳細'!$I$19="",EOMONTH(AE$5,0),'制度詳細'!$I$19),EOMONTH(AE$5,0)),"■",IF(AND('制度詳細'!$J$19&lt;&gt;"",'制度詳細'!$J$19&gt;=AE$5,'制度詳細'!$J$19&lt;=EOMONTH(AE$5,0)),"◆","")))</x:f>
      </x:c>
      <x:c r="AF19" s="57" t="str">
        <x:f>IF('制度詳細'!$H$19="",IF('制度詳細'!$J$19="","",IF(AND('制度詳細'!$J$19&gt;=AF$5,'制度詳細'!$J$19&lt;=EOMONTH(AF$5,0)),"◆","")),IF(MAX('制度詳細'!$H$19,AF$5)&lt;=MIN(IF('制度詳細'!$I$19="",EOMONTH(AF$5,0),'制度詳細'!$I$19),EOMONTH(AF$5,0)),"■",IF(AND('制度詳細'!$J$19&lt;&gt;"",'制度詳細'!$J$19&gt;=AF$5,'制度詳細'!$J$19&lt;=EOMONTH(AF$5,0)),"◆","")))</x:f>
      </x:c>
      <x:c r="AG19" s="57" t="str">
        <x:f>IF('制度詳細'!$H$19="",IF('制度詳細'!$J$19="","",IF(AND('制度詳細'!$J$19&gt;=AG$5,'制度詳細'!$J$19&lt;=EOMONTH(AG$5,0)),"◆","")),IF(MAX('制度詳細'!$H$19,AG$5)&lt;=MIN(IF('制度詳細'!$I$19="",EOMONTH(AG$5,0),'制度詳細'!$I$19),EOMONTH(AG$5,0)),"■",IF(AND('制度詳細'!$J$19&lt;&gt;"",'制度詳細'!$J$19&gt;=AG$5,'制度詳細'!$J$19&lt;=EOMONTH(AG$5,0)),"◆","")))</x:f>
      </x:c>
      <x:c r="AH19" s="57" t="str">
        <x:f>IF('制度詳細'!$H$19="",IF('制度詳細'!$J$19="","",IF(AND('制度詳細'!$J$19&gt;=AH$5,'制度詳細'!$J$19&lt;=EOMONTH(AH$5,0)),"◆","")),IF(MAX('制度詳細'!$H$19,AH$5)&lt;=MIN(IF('制度詳細'!$I$19="",EOMONTH(AH$5,0),'制度詳細'!$I$19),EOMONTH(AH$5,0)),"■",IF(AND('制度詳細'!$J$19&lt;&gt;"",'制度詳細'!$J$19&gt;=AH$5,'制度詳細'!$J$19&lt;=EOMONTH(AH$5,0)),"◆","")))</x:f>
      </x:c>
      <x:c r="AI19" s="57" t="str">
        <x:f>IF('制度詳細'!$H$19="",IF('制度詳細'!$J$19="","",IF(AND('制度詳細'!$J$19&gt;=AI$5,'制度詳細'!$J$19&lt;=EOMONTH(AI$5,0)),"◆","")),IF(MAX('制度詳細'!$H$19,AI$5)&lt;=MIN(IF('制度詳細'!$I$19="",EOMONTH(AI$5,0),'制度詳細'!$I$19),EOMONTH(AI$5,0)),"■",IF(AND('制度詳細'!$J$19&lt;&gt;"",'制度詳細'!$J$19&gt;=AI$5,'制度詳細'!$J$19&lt;=EOMONTH(AI$5,0)),"◆","")))</x:f>
      </x:c>
      <x:c r="AJ19" s="57" t="str">
        <x:f>IF('制度詳細'!$H$19="",IF('制度詳細'!$J$19="","",IF(AND('制度詳細'!$J$19&gt;=AJ$5,'制度詳細'!$J$19&lt;=EOMONTH(AJ$5,0)),"◆","")),IF(MAX('制度詳細'!$H$19,AJ$5)&lt;=MIN(IF('制度詳細'!$I$19="",EOMONTH(AJ$5,0),'制度詳細'!$I$19),EOMONTH(AJ$5,0)),"■",IF(AND('制度詳細'!$J$19&lt;&gt;"",'制度詳細'!$J$19&gt;=AJ$5,'制度詳細'!$J$19&lt;=EOMONTH(AJ$5,0)),"◆","")))</x:f>
      </x:c>
      <x:c r="AK19" s="57" t="str">
        <x:f>IF('制度詳細'!$H$19="",IF('制度詳細'!$J$19="","",IF(AND('制度詳細'!$J$19&gt;=AK$5,'制度詳細'!$J$19&lt;=EOMONTH(AK$5,0)),"◆","")),IF(MAX('制度詳細'!$H$19,AK$5)&lt;=MIN(IF('制度詳細'!$I$19="",EOMONTH(AK$5,0),'制度詳細'!$I$19),EOMONTH(AK$5,0)),"■",IF(AND('制度詳細'!$J$19&lt;&gt;"",'制度詳細'!$J$19&gt;=AK$5,'制度詳細'!$J$19&lt;=EOMONTH(AK$5,0)),"◆","")))</x:f>
      </x:c>
      <x:c r="AL19" s="57" t="str">
        <x:f>IF('制度詳細'!$H$19="",IF('制度詳細'!$J$19="","",IF(AND('制度詳細'!$J$19&gt;=AL$5,'制度詳細'!$J$19&lt;=EOMONTH(AL$5,0)),"◆","")),IF(MAX('制度詳細'!$H$19,AL$5)&lt;=MIN(IF('制度詳細'!$I$19="",EOMONTH(AL$5,0),'制度詳細'!$I$19),EOMONTH(AL$5,0)),"■",IF(AND('制度詳細'!$J$19&lt;&gt;"",'制度詳細'!$J$19&gt;=AL$5,'制度詳細'!$J$19&lt;=EOMONTH(AL$5,0)),"◆","")))</x:f>
      </x:c>
      <x:c r="AM19" s="57" t="str">
        <x:f>IF('制度詳細'!$H$19="",IF('制度詳細'!$J$19="","",IF(AND('制度詳細'!$J$19&gt;=AM$5,'制度詳細'!$J$19&lt;=EOMONTH(AM$5,0)),"◆","")),IF(MAX('制度詳細'!$H$19,AM$5)&lt;=MIN(IF('制度詳細'!$I$19="",EOMONTH(AM$5,0),'制度詳細'!$I$19),EOMONTH(AM$5,0)),"■",IF(AND('制度詳細'!$J$19&lt;&gt;"",'制度詳細'!$J$19&gt;=AM$5,'制度詳細'!$J$19&lt;=EOMONTH(AM$5,0)),"◆","")))</x:f>
      </x:c>
      <x:c r="AN19" s="57" t="str">
        <x:f>IF('制度詳細'!$H$19="",IF('制度詳細'!$J$19="","",IF(AND('制度詳細'!$J$19&gt;=AN$5,'制度詳細'!$J$19&lt;=EOMONTH(AN$5,0)),"◆","")),IF(MAX('制度詳細'!$H$19,AN$5)&lt;=MIN(IF('制度詳細'!$I$19="",EOMONTH(AN$5,0),'制度詳細'!$I$19),EOMONTH(AN$5,0)),"■",IF(AND('制度詳細'!$J$19&lt;&gt;"",'制度詳細'!$J$19&gt;=AN$5,'制度詳細'!$J$19&lt;=EOMONTH(AN$5,0)),"◆","")))</x:f>
      </x:c>
      <x:c r="AO19" s="57" t="str">
        <x:f>IF('制度詳細'!$H$19="",IF('制度詳細'!$J$19="","",IF(AND('制度詳細'!$J$19&gt;=AO$5,'制度詳細'!$J$19&lt;=EOMONTH(AO$5,0)),"◆","")),IF(MAX('制度詳細'!$H$19,AO$5)&lt;=MIN(IF('制度詳細'!$I$19="",EOMONTH(AO$5,0),'制度詳細'!$I$19),EOMONTH(AO$5,0)),"■",IF(AND('制度詳細'!$J$19&lt;&gt;"",'制度詳細'!$J$19&gt;=AO$5,'制度詳細'!$J$19&lt;=EOMONTH(AO$5,0)),"◆","")))</x:f>
      </x:c>
      <x:c r="AP19" s="57" t="str">
        <x:f>IF('制度詳細'!$H$19="",IF('制度詳細'!$J$19="","",IF(AND('制度詳細'!$J$19&gt;=AP$5,'制度詳細'!$J$19&lt;=EOMONTH(AP$5,0)),"◆","")),IF(MAX('制度詳細'!$H$19,AP$5)&lt;=MIN(IF('制度詳細'!$I$19="",EOMONTH(AP$5,0),'制度詳細'!$I$19),EOMONTH(AP$5,0)),"■",IF(AND('制度詳細'!$J$19&lt;&gt;"",'制度詳細'!$J$19&gt;=AP$5,'制度詳細'!$J$19&lt;=EOMONTH(AP$5,0)),"◆","")))</x:f>
      </x:c>
      <x:c r="AQ19" s="57" t="str">
        <x:f>IF('制度詳細'!$H$19="",IF('制度詳細'!$J$19="","",IF(AND('制度詳細'!$J$19&gt;=AQ$5,'制度詳細'!$J$19&lt;=EOMONTH(AQ$5,0)),"◆","")),IF(MAX('制度詳細'!$H$19,AQ$5)&lt;=MIN(IF('制度詳細'!$I$19="",EOMONTH(AQ$5,0),'制度詳細'!$I$19),EOMONTH(AQ$5,0)),"■",IF(AND('制度詳細'!$J$19&lt;&gt;"",'制度詳細'!$J$19&gt;=AQ$5,'制度詳細'!$J$19&lt;=EOMONTH(AQ$5,0)),"◆","")))</x:f>
      </x:c>
      <x:c r="AR19" s="57" t="str">
        <x:f>IF('制度詳細'!$H$19="",IF('制度詳細'!$J$19="","",IF(AND('制度詳細'!$J$19&gt;=AR$5,'制度詳細'!$J$19&lt;=EOMONTH(AR$5,0)),"◆","")),IF(MAX('制度詳細'!$H$19,AR$5)&lt;=MIN(IF('制度詳細'!$I$19="",EOMONTH(AR$5,0),'制度詳細'!$I$19),EOMONTH(AR$5,0)),"■",IF(AND('制度詳細'!$J$19&lt;&gt;"",'制度詳細'!$J$19&gt;=AR$5,'制度詳細'!$J$19&lt;=EOMONTH(AR$5,0)),"◆","")))</x:f>
      </x:c>
      <x:c r="AS19" s="57" t="str">
        <x:f>IF('制度詳細'!$H$19="",IF('制度詳細'!$J$19="","",IF(AND('制度詳細'!$J$19&gt;=AS$5,'制度詳細'!$J$19&lt;=EOMONTH(AS$5,0)),"◆","")),IF(MAX('制度詳細'!$H$19,AS$5)&lt;=MIN(IF('制度詳細'!$I$19="",EOMONTH(AS$5,0),'制度詳細'!$I$19),EOMONTH(AS$5,0)),"■",IF(AND('制度詳細'!$J$19&lt;&gt;"",'制度詳細'!$J$19&gt;=AS$5,'制度詳細'!$J$19&lt;=EOMONTH(AS$5,0)),"◆","")))</x:f>
      </x:c>
      <x:c r="AT19" s="57" t="str">
        <x:f>IF('制度詳細'!$H$19="",IF('制度詳細'!$J$19="","",IF(AND('制度詳細'!$J$19&gt;=AT$5,'制度詳細'!$J$19&lt;=EOMONTH(AT$5,0)),"◆","")),IF(MAX('制度詳細'!$H$19,AT$5)&lt;=MIN(IF('制度詳細'!$I$19="",EOMONTH(AT$5,0),'制度詳細'!$I$19),EOMONTH(AT$5,0)),"■",IF(AND('制度詳細'!$J$19&lt;&gt;"",'制度詳細'!$J$19&gt;=AT$5,'制度詳細'!$J$19&lt;=EOMONTH(AT$5,0)),"◆","")))</x:f>
      </x:c>
      <x:c r="AU19" s="57" t="str">
        <x:f>IF('制度詳細'!$H$19="",IF('制度詳細'!$J$19="","",IF(AND('制度詳細'!$J$19&gt;=AU$5,'制度詳細'!$J$19&lt;=EOMONTH(AU$5,0)),"◆","")),IF(MAX('制度詳細'!$H$19,AU$5)&lt;=MIN(IF('制度詳細'!$I$19="",EOMONTH(AU$5,0),'制度詳細'!$I$19),EOMONTH(AU$5,0)),"■",IF(AND('制度詳細'!$J$19&lt;&gt;"",'制度詳細'!$J$19&gt;=AU$5,'制度詳細'!$J$19&lt;=EOMONTH(AU$5,0)),"◆","")))</x:f>
      </x:c>
      <x:c r="AV19" s="57" t="str">
        <x:f>IF('制度詳細'!$H$19="",IF('制度詳細'!$J$19="","",IF(AND('制度詳細'!$J$19&gt;=AV$5,'制度詳細'!$J$19&lt;=EOMONTH(AV$5,0)),"◆","")),IF(MAX('制度詳細'!$H$19,AV$5)&lt;=MIN(IF('制度詳細'!$I$19="",EOMONTH(AV$5,0),'制度詳細'!$I$19),EOMONTH(AV$5,0)),"■",IF(AND('制度詳細'!$J$19&lt;&gt;"",'制度詳細'!$J$19&gt;=AV$5,'制度詳細'!$J$19&lt;=EOMONTH(AV$5,0)),"◆","")))</x:f>
      </x:c>
      <x:c r="AW19" s="57" t="str">
        <x:f>IF('制度詳細'!$H$19="",IF('制度詳細'!$J$19="","",IF(AND('制度詳細'!$J$19&gt;=AW$5,'制度詳細'!$J$19&lt;=EOMONTH(AW$5,0)),"◆","")),IF(MAX('制度詳細'!$H$19,AW$5)&lt;=MIN(IF('制度詳細'!$I$19="",EOMONTH(AW$5,0),'制度詳細'!$I$19),EOMONTH(AW$5,0)),"■",IF(AND('制度詳細'!$J$19&lt;&gt;"",'制度詳細'!$J$19&gt;=AW$5,'制度詳細'!$J$19&lt;=EOMONTH(AW$5,0)),"◆","")))</x:f>
      </x:c>
      <x:c r="AX19" s="57" t="str">
        <x:f>IF('制度詳細'!$H$19="",IF('制度詳細'!$J$19="","",IF(AND('制度詳細'!$J$19&gt;=AX$5,'制度詳細'!$J$19&lt;=EOMONTH(AX$5,0)),"◆","")),IF(MAX('制度詳細'!$H$19,AX$5)&lt;=MIN(IF('制度詳細'!$I$19="",EOMONTH(AX$5,0),'制度詳細'!$I$19),EOMONTH(AX$5,0)),"■",IF(AND('制度詳細'!$J$19&lt;&gt;"",'制度詳細'!$J$19&gt;=AX$5,'制度詳細'!$J$19&lt;=EOMONTH(AX$5,0)),"◆","")))</x:f>
      </x:c>
      <x:c r="AY19" s="57" t="str">
        <x:f>IF('制度詳細'!$H$19="",IF('制度詳細'!$J$19="","",IF(AND('制度詳細'!$J$19&gt;=AY$5,'制度詳細'!$J$19&lt;=EOMONTH(AY$5,0)),"◆","")),IF(MAX('制度詳細'!$H$19,AY$5)&lt;=MIN(IF('制度詳細'!$I$19="",EOMONTH(AY$5,0),'制度詳細'!$I$19),EOMONTH(AY$5,0)),"■",IF(AND('制度詳細'!$J$19&lt;&gt;"",'制度詳細'!$J$19&gt;=AY$5,'制度詳細'!$J$19&lt;=EOMONTH(AY$5,0)),"◆","")))</x:f>
      </x:c>
      <x:c r="AZ19" s="57" t="str">
        <x:f>IF('制度詳細'!$H$19="",IF('制度詳細'!$J$19="","",IF(AND('制度詳細'!$J$19&gt;=AZ$5,'制度詳細'!$J$19&lt;=EOMONTH(AZ$5,0)),"◆","")),IF(MAX('制度詳細'!$H$19,AZ$5)&lt;=MIN(IF('制度詳細'!$I$19="",EOMONTH(AZ$5,0),'制度詳細'!$I$19),EOMONTH(AZ$5,0)),"■",IF(AND('制度詳細'!$J$19&lt;&gt;"",'制度詳細'!$J$19&gt;=AZ$5,'制度詳細'!$J$19&lt;=EOMONTH(AZ$5,0)),"◆","")))</x:f>
      </x:c>
      <x:c r="BA19" s="57" t="str">
        <x:f>IF('制度詳細'!$H$19="",IF('制度詳細'!$J$19="","",IF(AND('制度詳細'!$J$19&gt;=BA$5,'制度詳細'!$J$19&lt;=EOMONTH(BA$5,0)),"◆","")),IF(MAX('制度詳細'!$H$19,BA$5)&lt;=MIN(IF('制度詳細'!$I$19="",EOMONTH(BA$5,0),'制度詳細'!$I$19),EOMONTH(BA$5,0)),"■",IF(AND('制度詳細'!$J$19&lt;&gt;"",'制度詳細'!$J$19&gt;=BA$5,'制度詳細'!$J$19&lt;=EOMONTH(BA$5,0)),"◆","")))</x:f>
        <x:v>■</x:v>
      </x:c>
      <x:c r="BB19" s="57" t="str">
        <x:f>IF('制度詳細'!$H$19="",IF('制度詳細'!$J$19="","",IF(AND('制度詳細'!$J$19&gt;=BB$5,'制度詳細'!$J$19&lt;=EOMONTH(BB$5,0)),"◆","")),IF(MAX('制度詳細'!$H$19,BB$5)&lt;=MIN(IF('制度詳細'!$I$19="",EOMONTH(BB$5,0),'制度詳細'!$I$19),EOMONTH(BB$5,0)),"■",IF(AND('制度詳細'!$J$19&lt;&gt;"",'制度詳細'!$J$19&gt;=BB$5,'制度詳細'!$J$19&lt;=EOMONTH(BB$5,0)),"◆","")))</x:f>
        <x:v>■</x:v>
      </x:c>
      <x:c r="BC19" s="57" t="str">
        <x:f>IF('制度詳細'!$H$19="",IF('制度詳細'!$J$19="","",IF(AND('制度詳細'!$J$19&gt;=BC$5,'制度詳細'!$J$19&lt;=EOMONTH(BC$5,0)),"◆","")),IF(MAX('制度詳細'!$H$19,BC$5)&lt;=MIN(IF('制度詳細'!$I$19="",EOMONTH(BC$5,0),'制度詳細'!$I$19),EOMONTH(BC$5,0)),"■",IF(AND('制度詳細'!$J$19&lt;&gt;"",'制度詳細'!$J$19&gt;=BC$5,'制度詳細'!$J$19&lt;=EOMONTH(BC$5,0)),"◆","")))</x:f>
        <x:v>■</x:v>
      </x:c>
      <x:c r="BD19" s="57" t="str">
        <x:f>IF('制度詳細'!$H$19="",IF('制度詳細'!$J$19="","",IF(AND('制度詳細'!$J$19&gt;=BD$5,'制度詳細'!$J$19&lt;=EOMONTH(BD$5,0)),"◆","")),IF(MAX('制度詳細'!$H$19,BD$5)&lt;=MIN(IF('制度詳細'!$I$19="",EOMONTH(BD$5,0),'制度詳細'!$I$19),EOMONTH(BD$5,0)),"■",IF(AND('制度詳細'!$J$19&lt;&gt;"",'制度詳細'!$J$19&gt;=BD$5,'制度詳細'!$J$19&lt;=EOMONTH(BD$5,0)),"◆","")))</x:f>
        <x:v>■</x:v>
      </x:c>
      <x:c r="BE19" s="57" t="str">
        <x:f>IF('制度詳細'!$H$19="",IF('制度詳細'!$J$19="","",IF(AND('制度詳細'!$J$19&gt;=BE$5,'制度詳細'!$J$19&lt;=EOMONTH(BE$5,0)),"◆","")),IF(MAX('制度詳細'!$H$19,BE$5)&lt;=MIN(IF('制度詳細'!$I$19="",EOMONTH(BE$5,0),'制度詳細'!$I$19),EOMONTH(BE$5,0)),"■",IF(AND('制度詳細'!$J$19&lt;&gt;"",'制度詳細'!$J$19&gt;=BE$5,'制度詳細'!$J$19&lt;=EOMONTH(BE$5,0)),"◆","")))</x:f>
        <x:v>■</x:v>
      </x:c>
      <x:c r="BF19" s="57" t="str">
        <x:f>IF('制度詳細'!$H$19="",IF('制度詳細'!$J$19="","",IF(AND('制度詳細'!$J$19&gt;=BF$5,'制度詳細'!$J$19&lt;=EOMONTH(BF$5,0)),"◆","")),IF(MAX('制度詳細'!$H$19,BF$5)&lt;=MIN(IF('制度詳細'!$I$19="",EOMONTH(BF$5,0),'制度詳細'!$I$19),EOMONTH(BF$5,0)),"■",IF(AND('制度詳細'!$J$19&lt;&gt;"",'制度詳細'!$J$19&gt;=BF$5,'制度詳細'!$J$19&lt;=EOMONTH(BF$5,0)),"◆","")))</x:f>
        <x:v>■</x:v>
      </x:c>
      <x:c r="BG19" s="57" t="str">
        <x:f>IF('制度詳細'!$H$19="",IF('制度詳細'!$J$19="","",IF(AND('制度詳細'!$J$19&gt;=BG$5,'制度詳細'!$J$19&lt;=EOMONTH(BG$5,0)),"◆","")),IF(MAX('制度詳細'!$H$19,BG$5)&lt;=MIN(IF('制度詳細'!$I$19="",EOMONTH(BG$5,0),'制度詳細'!$I$19),EOMONTH(BG$5,0)),"■",IF(AND('制度詳細'!$J$19&lt;&gt;"",'制度詳細'!$J$19&gt;=BG$5,'制度詳細'!$J$19&lt;=EOMONTH(BG$5,0)),"◆","")))</x:f>
        <x:v>■</x:v>
      </x:c>
      <x:c r="BH19" s="57" t="str">
        <x:f>IF('制度詳細'!$H$19="",IF('制度詳細'!$J$19="","",IF(AND('制度詳細'!$J$19&gt;=BH$5,'制度詳細'!$J$19&lt;=EOMONTH(BH$5,0)),"◆","")),IF(MAX('制度詳細'!$H$19,BH$5)&lt;=MIN(IF('制度詳細'!$I$19="",EOMONTH(BH$5,0),'制度詳細'!$I$19),EOMONTH(BH$5,0)),"■",IF(AND('制度詳細'!$J$19&lt;&gt;"",'制度詳細'!$J$19&gt;=BH$5,'制度詳細'!$J$19&lt;=EOMONTH(BH$5,0)),"◆","")))</x:f>
        <x:v>■</x:v>
      </x:c>
      <x:c r="BI19" s="57" t="str">
        <x:f>IF('制度詳細'!$H$19="",IF('制度詳細'!$J$19="","",IF(AND('制度詳細'!$J$19&gt;=BI$5,'制度詳細'!$J$19&lt;=EOMONTH(BI$5,0)),"◆","")),IF(MAX('制度詳細'!$H$19,BI$5)&lt;=MIN(IF('制度詳細'!$I$19="",EOMONTH(BI$5,0),'制度詳細'!$I$19),EOMONTH(BI$5,0)),"■",IF(AND('制度詳細'!$J$19&lt;&gt;"",'制度詳細'!$J$19&gt;=BI$5,'制度詳細'!$J$19&lt;=EOMONTH(BI$5,0)),"◆","")))</x:f>
        <x:v>■</x:v>
      </x:c>
      <x:c r="BJ19" s="57" t="str">
        <x:f>IF('制度詳細'!$H$19="",IF('制度詳細'!$J$19="","",IF(AND('制度詳細'!$J$19&gt;=BJ$5,'制度詳細'!$J$19&lt;=EOMONTH(BJ$5,0)),"◆","")),IF(MAX('制度詳細'!$H$19,BJ$5)&lt;=MIN(IF('制度詳細'!$I$19="",EOMONTH(BJ$5,0),'制度詳細'!$I$19),EOMONTH(BJ$5,0)),"■",IF(AND('制度詳細'!$J$19&lt;&gt;"",'制度詳細'!$J$19&gt;=BJ$5,'制度詳細'!$J$19&lt;=EOMONTH(BJ$5,0)),"◆","")))</x:f>
        <x:v>■</x:v>
      </x:c>
      <x:c r="BK19" s="57" t="str">
        <x:f>IF('制度詳細'!$H$19="",IF('制度詳細'!$J$19="","",IF(AND('制度詳細'!$J$19&gt;=BK$5,'制度詳細'!$J$19&lt;=EOMONTH(BK$5,0)),"◆","")),IF(MAX('制度詳細'!$H$19,BK$5)&lt;=MIN(IF('制度詳細'!$I$19="",EOMONTH(BK$5,0),'制度詳細'!$I$19),EOMONTH(BK$5,0)),"■",IF(AND('制度詳細'!$J$19&lt;&gt;"",'制度詳細'!$J$19&gt;=BK$5,'制度詳細'!$J$19&lt;=EOMONTH(BK$5,0)),"◆","")))</x:f>
        <x:v>■</x:v>
      </x:c>
      <x:c r="BL19" s="57" t="str">
        <x:f>IF('制度詳細'!$H$19="",IF('制度詳細'!$J$19="","",IF(AND('制度詳細'!$J$19&gt;=BL$5,'制度詳細'!$J$19&lt;=EOMONTH(BL$5,0)),"◆","")),IF(MAX('制度詳細'!$H$19,BL$5)&lt;=MIN(IF('制度詳細'!$I$19="",EOMONTH(BL$5,0),'制度詳細'!$I$19),EOMONTH(BL$5,0)),"■",IF(AND('制度詳細'!$J$19&lt;&gt;"",'制度詳細'!$J$19&gt;=BL$5,'制度詳細'!$J$19&lt;=EOMONTH(BL$5,0)),"◆","")))</x:f>
        <x:v>■</x:v>
      </x:c>
      <x:c r="BM19" s="57" t="str">
        <x:f>IF('制度詳細'!$H$19="",IF('制度詳細'!$J$19="","",IF(AND('制度詳細'!$J$19&gt;=BM$5,'制度詳細'!$J$19&lt;=EOMONTH(BM$5,0)),"◆","")),IF(MAX('制度詳細'!$H$19,BM$5)&lt;=MIN(IF('制度詳細'!$I$19="",EOMONTH(BM$5,0),'制度詳細'!$I$19),EOMONTH(BM$5,0)),"■",IF(AND('制度詳細'!$J$19&lt;&gt;"",'制度詳細'!$J$19&gt;=BM$5,'制度詳細'!$J$19&lt;=EOMONTH(BM$5,0)),"◆","")))</x:f>
        <x:v>■</x:v>
      </x:c>
      <x:c r="BN19" s="57" t="str">
        <x:f>IF('制度詳細'!$H$19="",IF('制度詳細'!$J$19="","",IF(AND('制度詳細'!$J$19&gt;=BN$5,'制度詳細'!$J$19&lt;=EOMONTH(BN$5,0)),"◆","")),IF(MAX('制度詳細'!$H$19,BN$5)&lt;=MIN(IF('制度詳細'!$I$19="",EOMONTH(BN$5,0),'制度詳細'!$I$19),EOMONTH(BN$5,0)),"■",IF(AND('制度詳細'!$J$19&lt;&gt;"",'制度詳細'!$J$19&gt;=BN$5,'制度詳細'!$J$19&lt;=EOMONTH(BN$5,0)),"◆","")))</x:f>
        <x:v>■</x:v>
      </x:c>
      <x:c r="BO19" s="57" t="str">
        <x:f>IF('制度詳細'!$H$19="",IF('制度詳細'!$J$19="","",IF(AND('制度詳細'!$J$19&gt;=BO$5,'制度詳細'!$J$19&lt;=EOMONTH(BO$5,0)),"◆","")),IF(MAX('制度詳細'!$H$19,BO$5)&lt;=MIN(IF('制度詳細'!$I$19="",EOMONTH(BO$5,0),'制度詳細'!$I$19),EOMONTH(BO$5,0)),"■",IF(AND('制度詳細'!$J$19&lt;&gt;"",'制度詳細'!$J$19&gt;=BO$5,'制度詳細'!$J$19&lt;=EOMONTH(BO$5,0)),"◆","")))</x:f>
        <x:v>■</x:v>
      </x:c>
      <x:c r="BP19" s="57" t="str">
        <x:f>IF('制度詳細'!$H$19="",IF('制度詳細'!$J$19="","",IF(AND('制度詳細'!$J$19&gt;=BP$5,'制度詳細'!$J$19&lt;=EOMONTH(BP$5,0)),"◆","")),IF(MAX('制度詳細'!$H$19,BP$5)&lt;=MIN(IF('制度詳細'!$I$19="",EOMONTH(BP$5,0),'制度詳細'!$I$19),EOMONTH(BP$5,0)),"■",IF(AND('制度詳細'!$J$19&lt;&gt;"",'制度詳細'!$J$19&gt;=BP$5,'制度詳細'!$J$19&lt;=EOMONTH(BP$5,0)),"◆","")))</x:f>
        <x:v>■</x:v>
      </x:c>
      <x:c r="BQ19" s="57" t="str">
        <x:f>IF('制度詳細'!$H$19="",IF('制度詳細'!$J$19="","",IF(AND('制度詳細'!$J$19&gt;=BQ$5,'制度詳細'!$J$19&lt;=EOMONTH(BQ$5,0)),"◆","")),IF(MAX('制度詳細'!$H$19,BQ$5)&lt;=MIN(IF('制度詳細'!$I$19="",EOMONTH(BQ$5,0),'制度詳細'!$I$19),EOMONTH(BQ$5,0)),"■",IF(AND('制度詳細'!$J$19&lt;&gt;"",'制度詳細'!$J$19&gt;=BQ$5,'制度詳細'!$J$19&lt;=EOMONTH(BQ$5,0)),"◆","")))</x:f>
        <x:v>■</x:v>
      </x:c>
      <x:c r="BR19" s="57" t="str">
        <x:f>IF('制度詳細'!$H$19="",IF('制度詳細'!$J$19="","",IF(AND('制度詳細'!$J$19&gt;=BR$5,'制度詳細'!$J$19&lt;=EOMONTH(BR$5,0)),"◆","")),IF(MAX('制度詳細'!$H$19,BR$5)&lt;=MIN(IF('制度詳細'!$I$19="",EOMONTH(BR$5,0),'制度詳細'!$I$19),EOMONTH(BR$5,0)),"■",IF(AND('制度詳細'!$J$19&lt;&gt;"",'制度詳細'!$J$19&gt;=BR$5,'制度詳細'!$J$19&lt;=EOMONTH(BR$5,0)),"◆","")))</x:f>
        <x:v>■</x:v>
      </x:c>
      <x:c r="BS19" s="57" t="str">
        <x:f>IF('制度詳細'!$H$19="",IF('制度詳細'!$J$19="","",IF(AND('制度詳細'!$J$19&gt;=BS$5,'制度詳細'!$J$19&lt;=EOMONTH(BS$5,0)),"◆","")),IF(MAX('制度詳細'!$H$19,BS$5)&lt;=MIN(IF('制度詳細'!$I$19="",EOMONTH(BS$5,0),'制度詳細'!$I$19),EOMONTH(BS$5,0)),"■",IF(AND('制度詳細'!$J$19&lt;&gt;"",'制度詳細'!$J$19&gt;=BS$5,'制度詳細'!$J$19&lt;=EOMONTH(BS$5,0)),"◆","")))</x:f>
        <x:v>■</x:v>
      </x:c>
      <x:c r="BT19" s="57" t="str">
        <x:f>IF('制度詳細'!$H$19="",IF('制度詳細'!$J$19="","",IF(AND('制度詳細'!$J$19&gt;=BT$5,'制度詳細'!$J$19&lt;=EOMONTH(BT$5,0)),"◆","")),IF(MAX('制度詳細'!$H$19,BT$5)&lt;=MIN(IF('制度詳細'!$I$19="",EOMONTH(BT$5,0),'制度詳細'!$I$19),EOMONTH(BT$5,0)),"■",IF(AND('制度詳細'!$J$19&lt;&gt;"",'制度詳細'!$J$19&gt;=BT$5,'制度詳細'!$J$19&lt;=EOMONTH(BT$5,0)),"◆","")))</x:f>
        <x:v>■</x:v>
      </x:c>
      <x:c r="BU19" s="57" t="str">
        <x:f>IF('制度詳細'!$H$19="",IF('制度詳細'!$J$19="","",IF(AND('制度詳細'!$J$19&gt;=BU$5,'制度詳細'!$J$19&lt;=EOMONTH(BU$5,0)),"◆","")),IF(MAX('制度詳細'!$H$19,BU$5)&lt;=MIN(IF('制度詳細'!$I$19="",EOMONTH(BU$5,0),'制度詳細'!$I$19),EOMONTH(BU$5,0)),"■",IF(AND('制度詳細'!$J$19&lt;&gt;"",'制度詳細'!$J$19&gt;=BU$5,'制度詳細'!$J$19&lt;=EOMONTH(BU$5,0)),"◆","")))</x:f>
        <x:v>■</x:v>
      </x:c>
      <x:c r="BV19" s="57" t="str">
        <x:f>IF('制度詳細'!$H$19="",IF('制度詳細'!$J$19="","",IF(AND('制度詳細'!$J$19&gt;=BV$5,'制度詳細'!$J$19&lt;=EOMONTH(BV$5,0)),"◆","")),IF(MAX('制度詳細'!$H$19,BV$5)&lt;=MIN(IF('制度詳細'!$I$19="",EOMONTH(BV$5,0),'制度詳細'!$I$19),EOMONTH(BV$5,0)),"■",IF(AND('制度詳細'!$J$19&lt;&gt;"",'制度詳細'!$J$19&gt;=BV$5,'制度詳細'!$J$19&lt;=EOMONTH(BV$5,0)),"◆","")))</x:f>
        <x:v>■</x:v>
      </x:c>
      <x:c r="BW19" s="57" t="str">
        <x:f>IF('制度詳細'!$H$19="",IF('制度詳細'!$J$19="","",IF(AND('制度詳細'!$J$19&gt;=BW$5,'制度詳細'!$J$19&lt;=EOMONTH(BW$5,0)),"◆","")),IF(MAX('制度詳細'!$H$19,BW$5)&lt;=MIN(IF('制度詳細'!$I$19="",EOMONTH(BW$5,0),'制度詳細'!$I$19),EOMONTH(BW$5,0)),"■",IF(AND('制度詳細'!$J$19&lt;&gt;"",'制度詳細'!$J$19&gt;=BW$5,'制度詳細'!$J$19&lt;=EOMONTH(BW$5,0)),"◆","")))</x:f>
        <x:v>■</x:v>
      </x:c>
      <x:c r="BX19" s="57" t="str">
        <x:f>IF('制度詳細'!$H$19="",IF('制度詳細'!$J$19="","",IF(AND('制度詳細'!$J$19&gt;=BX$5,'制度詳細'!$J$19&lt;=EOMONTH(BX$5,0)),"◆","")),IF(MAX('制度詳細'!$H$19,BX$5)&lt;=MIN(IF('制度詳細'!$I$19="",EOMONTH(BX$5,0),'制度詳細'!$I$19),EOMONTH(BX$5,0)),"■",IF(AND('制度詳細'!$J$19&lt;&gt;"",'制度詳細'!$J$19&gt;=BX$5,'制度詳細'!$J$19&lt;=EOMONTH(BX$5,0)),"◆","")))</x:f>
        <x:v>■</x:v>
      </x:c>
      <x:c r="BY19" s="57" t="str">
        <x:f>IF('制度詳細'!$H$19="",IF('制度詳細'!$J$19="","",IF(AND('制度詳細'!$J$19&gt;=BY$5,'制度詳細'!$J$19&lt;=EOMONTH(BY$5,0)),"◆","")),IF(MAX('制度詳細'!$H$19,BY$5)&lt;=MIN(IF('制度詳細'!$I$19="",EOMONTH(BY$5,0),'制度詳細'!$I$19),EOMONTH(BY$5,0)),"■",IF(AND('制度詳細'!$J$19&lt;&gt;"",'制度詳細'!$J$19&gt;=BY$5,'制度詳細'!$J$19&lt;=EOMONTH(BY$5,0)),"◆","")))</x:f>
      </x:c>
      <x:c r="BZ19" s="57" t="str">
        <x:f>IF('制度詳細'!$H$19="",IF('制度詳細'!$J$19="","",IF(AND('制度詳細'!$J$19&gt;=BZ$5,'制度詳細'!$J$19&lt;=EOMONTH(BZ$5,0)),"◆","")),IF(MAX('制度詳細'!$H$19,BZ$5)&lt;=MIN(IF('制度詳細'!$I$19="",EOMONTH(BZ$5,0),'制度詳細'!$I$19),EOMONTH(BZ$5,0)),"■",IF(AND('制度詳細'!$J$19&lt;&gt;"",'制度詳細'!$J$19&gt;=BZ$5,'制度詳細'!$J$19&lt;=EOMONTH(BZ$5,0)),"◆","")))</x:f>
      </x:c>
      <x:c r="CA19" s="57" t="str">
        <x:f>IF('制度詳細'!$H$19="",IF('制度詳細'!$J$19="","",IF(AND('制度詳細'!$J$19&gt;=CA$5,'制度詳細'!$J$19&lt;=EOMONTH(CA$5,0)),"◆","")),IF(MAX('制度詳細'!$H$19,CA$5)&lt;=MIN(IF('制度詳細'!$I$19="",EOMONTH(CA$5,0),'制度詳細'!$I$19),EOMONTH(CA$5,0)),"■",IF(AND('制度詳細'!$J$19&lt;&gt;"",'制度詳細'!$J$19&gt;=CA$5,'制度詳細'!$J$19&lt;=EOMONTH(CA$5,0)),"◆","")))</x:f>
      </x:c>
      <x:c r="CB19" s="57" t="str">
        <x:f>IF('制度詳細'!$H$19="",IF('制度詳細'!$J$19="","",IF(AND('制度詳細'!$J$19&gt;=CB$5,'制度詳細'!$J$19&lt;=EOMONTH(CB$5,0)),"◆","")),IF(MAX('制度詳細'!$H$19,CB$5)&lt;=MIN(IF('制度詳細'!$I$19="",EOMONTH(CB$5,0),'制度詳細'!$I$19),EOMONTH(CB$5,0)),"■",IF(AND('制度詳細'!$J$19&lt;&gt;"",'制度詳細'!$J$19&gt;=CB$5,'制度詳細'!$J$19&lt;=EOMONTH(CB$5,0)),"◆","")))</x:f>
      </x:c>
      <x:c r="CC19" s="57" t="str">
        <x:f>IF('制度詳細'!$H$19="",IF('制度詳細'!$J$19="","",IF(AND('制度詳細'!$J$19&gt;=CC$5,'制度詳細'!$J$19&lt;=EOMONTH(CC$5,0)),"◆","")),IF(MAX('制度詳細'!$H$19,CC$5)&lt;=MIN(IF('制度詳細'!$I$19="",EOMONTH(CC$5,0),'制度詳細'!$I$19),EOMONTH(CC$5,0)),"■",IF(AND('制度詳細'!$J$19&lt;&gt;"",'制度詳細'!$J$19&gt;=CC$5,'制度詳細'!$J$19&lt;=EOMONTH(CC$5,0)),"◆","")))</x:f>
      </x:c>
      <x:c r="CD19" s="57" t="str">
        <x:f>IF('制度詳細'!$H$19="",IF('制度詳細'!$J$19="","",IF(AND('制度詳細'!$J$19&gt;=CD$5,'制度詳細'!$J$19&lt;=EOMONTH(CD$5,0)),"◆","")),IF(MAX('制度詳細'!$H$19,CD$5)&lt;=MIN(IF('制度詳細'!$I$19="",EOMONTH(CD$5,0),'制度詳細'!$I$19),EOMONTH(CD$5,0)),"■",IF(AND('制度詳細'!$J$19&lt;&gt;"",'制度詳細'!$J$19&gt;=CD$5,'制度詳細'!$J$19&lt;=EOMONTH(CD$5,0)),"◆","")))</x:f>
      </x:c>
      <x:c r="CE19" s="57" t="str">
        <x:f>IF('制度詳細'!$H$19="",IF('制度詳細'!$J$19="","",IF(AND('制度詳細'!$J$19&gt;=CE$5,'制度詳細'!$J$19&lt;=EOMONTH(CE$5,0)),"◆","")),IF(MAX('制度詳細'!$H$19,CE$5)&lt;=MIN(IF('制度詳細'!$I$19="",EOMONTH(CE$5,0),'制度詳細'!$I$19),EOMONTH(CE$5,0)),"■",IF(AND('制度詳細'!$J$19&lt;&gt;"",'制度詳細'!$J$19&gt;=CE$5,'制度詳細'!$J$19&lt;=EOMONTH(CE$5,0)),"◆","")))</x:f>
      </x:c>
      <x:c r="CF19" s="57" t="str">
        <x:f>IF('制度詳細'!$H$19="",IF('制度詳細'!$J$19="","",IF(AND('制度詳細'!$J$19&gt;=CF$5,'制度詳細'!$J$19&lt;=EOMONTH(CF$5,0)),"◆","")),IF(MAX('制度詳細'!$H$19,CF$5)&lt;=MIN(IF('制度詳細'!$I$19="",EOMONTH(CF$5,0),'制度詳細'!$I$19),EOMONTH(CF$5,0)),"■",IF(AND('制度詳細'!$J$19&lt;&gt;"",'制度詳細'!$J$19&gt;=CF$5,'制度詳細'!$J$19&lt;=EOMONTH(CF$5,0)),"◆","")))</x:f>
      </x:c>
      <x:c r="CG19" s="57" t="str">
        <x:f>IF('制度詳細'!$H$19="",IF('制度詳細'!$J$19="","",IF(AND('制度詳細'!$J$19&gt;=CG$5,'制度詳細'!$J$19&lt;=EOMONTH(CG$5,0)),"◆","")),IF(MAX('制度詳細'!$H$19,CG$5)&lt;=MIN(IF('制度詳細'!$I$19="",EOMONTH(CG$5,0),'制度詳細'!$I$19),EOMONTH(CG$5,0)),"■",IF(AND('制度詳細'!$J$19&lt;&gt;"",'制度詳細'!$J$19&gt;=CG$5,'制度詳細'!$J$19&lt;=EOMONTH(CG$5,0)),"◆","")))</x:f>
      </x:c>
      <x:c r="CH19" s="57" t="str">
        <x:f>IF('制度詳細'!$H$19="",IF('制度詳細'!$J$19="","",IF(AND('制度詳細'!$J$19&gt;=CH$5,'制度詳細'!$J$19&lt;=EOMONTH(CH$5,0)),"◆","")),IF(MAX('制度詳細'!$H$19,CH$5)&lt;=MIN(IF('制度詳細'!$I$19="",EOMONTH(CH$5,0),'制度詳細'!$I$19),EOMONTH(CH$5,0)),"■",IF(AND('制度詳細'!$J$19&lt;&gt;"",'制度詳細'!$J$19&gt;=CH$5,'制度詳細'!$J$19&lt;=EOMONTH(CH$5,0)),"◆","")))</x:f>
      </x:c>
      <x:c r="CI19" s="57" t="str">
        <x:f>IF('制度詳細'!$H$19="",IF('制度詳細'!$J$19="","",IF(AND('制度詳細'!$J$19&gt;=CI$5,'制度詳細'!$J$19&lt;=EOMONTH(CI$5,0)),"◆","")),IF(MAX('制度詳細'!$H$19,CI$5)&lt;=MIN(IF('制度詳細'!$I$19="",EOMONTH(CI$5,0),'制度詳細'!$I$19),EOMONTH(CI$5,0)),"■",IF(AND('制度詳細'!$J$19&lt;&gt;"",'制度詳細'!$J$19&gt;=CI$5,'制度詳細'!$J$19&lt;=EOMONTH(CI$5,0)),"◆","")))</x:f>
      </x:c>
      <x:c r="CJ19" s="57" t="str">
        <x:f>IF('制度詳細'!$H$19="",IF('制度詳細'!$J$19="","",IF(AND('制度詳細'!$J$19&gt;=CJ$5,'制度詳細'!$J$19&lt;=EOMONTH(CJ$5,0)),"◆","")),IF(MAX('制度詳細'!$H$19,CJ$5)&lt;=MIN(IF('制度詳細'!$I$19="",EOMONTH(CJ$5,0),'制度詳細'!$I$19),EOMONTH(CJ$5,0)),"■",IF(AND('制度詳細'!$J$19&lt;&gt;"",'制度詳細'!$J$19&gt;=CJ$5,'制度詳細'!$J$19&lt;=EOMONTH(CJ$5,0)),"◆","")))</x:f>
      </x:c>
      <x:c r="CK19" s="57" t="str">
        <x:f>IF('制度詳細'!$H$19="",IF('制度詳細'!$J$19="","",IF(AND('制度詳細'!$J$19&gt;=CK$5,'制度詳細'!$J$19&lt;=EOMONTH(CK$5,0)),"◆","")),IF(MAX('制度詳細'!$H$19,CK$5)&lt;=MIN(IF('制度詳細'!$I$19="",EOMONTH(CK$5,0),'制度詳細'!$I$19),EOMONTH(CK$5,0)),"■",IF(AND('制度詳細'!$J$19&lt;&gt;"",'制度詳細'!$J$19&gt;=CK$5,'制度詳細'!$J$19&lt;=EOMONTH(CK$5,0)),"◆","")))</x:f>
      </x:c>
      <x:c r="CL19" s="57" t="str">
        <x:f>IF('制度詳細'!$H$19="",IF('制度詳細'!$J$19="","",IF(AND('制度詳細'!$J$19&gt;=CL$5,'制度詳細'!$J$19&lt;=EOMONTH(CL$5,0)),"◆","")),IF(MAX('制度詳細'!$H$19,CL$5)&lt;=MIN(IF('制度詳細'!$I$19="",EOMONTH(CL$5,0),'制度詳細'!$I$19),EOMONTH(CL$5,0)),"■",IF(AND('制度詳細'!$J$19&lt;&gt;"",'制度詳細'!$J$19&gt;=CL$5,'制度詳細'!$J$19&lt;=EOMONTH(CL$5,0)),"◆","")))</x:f>
      </x:c>
      <x:c r="CM19" s="57" t="str">
        <x:f>IF('制度詳細'!$H$19="",IF('制度詳細'!$J$19="","",IF(AND('制度詳細'!$J$19&gt;=CM$5,'制度詳細'!$J$19&lt;=EOMONTH(CM$5,0)),"◆","")),IF(MAX('制度詳細'!$H$19,CM$5)&lt;=MIN(IF('制度詳細'!$I$19="",EOMONTH(CM$5,0),'制度詳細'!$I$19),EOMONTH(CM$5,0)),"■",IF(AND('制度詳細'!$J$19&lt;&gt;"",'制度詳細'!$J$19&gt;=CM$5,'制度詳細'!$J$19&lt;=EOMONTH(CM$5,0)),"◆","")))</x:f>
      </x:c>
      <x:c r="CN19" s="57" t="str">
        <x:f>IF('制度詳細'!$H$19="",IF('制度詳細'!$J$19="","",IF(AND('制度詳細'!$J$19&gt;=CN$5,'制度詳細'!$J$19&lt;=EOMONTH(CN$5,0)),"◆","")),IF(MAX('制度詳細'!$H$19,CN$5)&lt;=MIN(IF('制度詳細'!$I$19="",EOMONTH(CN$5,0),'制度詳細'!$I$19),EOMONTH(CN$5,0)),"■",IF(AND('制度詳細'!$J$19&lt;&gt;"",'制度詳細'!$J$19&gt;=CN$5,'制度詳細'!$J$19&lt;=EOMONTH(CN$5,0)),"◆","")))</x:f>
      </x:c>
      <x:c r="CO19" s="57" t="str">
        <x:f>IF('制度詳細'!$H$19="",IF('制度詳細'!$J$19="","",IF(AND('制度詳細'!$J$19&gt;=CO$5,'制度詳細'!$J$19&lt;=EOMONTH(CO$5,0)),"◆","")),IF(MAX('制度詳細'!$H$19,CO$5)&lt;=MIN(IF('制度詳細'!$I$19="",EOMONTH(CO$5,0),'制度詳細'!$I$19),EOMONTH(CO$5,0)),"■",IF(AND('制度詳細'!$J$19&lt;&gt;"",'制度詳細'!$J$19&gt;=CO$5,'制度詳細'!$J$19&lt;=EOMONTH(CO$5,0)),"◆","")))</x:f>
      </x:c>
      <x:c r="CP19" s="57" t="str">
        <x:f>IF('制度詳細'!$H$19="",IF('制度詳細'!$J$19="","",IF(AND('制度詳細'!$J$19&gt;=CP$5,'制度詳細'!$J$19&lt;=EOMONTH(CP$5,0)),"◆","")),IF(MAX('制度詳細'!$H$19,CP$5)&lt;=MIN(IF('制度詳細'!$I$19="",EOMONTH(CP$5,0),'制度詳細'!$I$19),EOMONTH(CP$5,0)),"■",IF(AND('制度詳細'!$J$19&lt;&gt;"",'制度詳細'!$J$19&gt;=CP$5,'制度詳細'!$J$19&lt;=EOMONTH(CP$5,0)),"◆","")))</x:f>
      </x:c>
      <x:c r="CQ19" s="57" t="str">
        <x:f>IF('制度詳細'!$H$19="",IF('制度詳細'!$J$19="","",IF(AND('制度詳細'!$J$19&gt;=CQ$5,'制度詳細'!$J$19&lt;=EOMONTH(CQ$5,0)),"◆","")),IF(MAX('制度詳細'!$H$19,CQ$5)&lt;=MIN(IF('制度詳細'!$I$19="",EOMONTH(CQ$5,0),'制度詳細'!$I$19),EOMONTH(CQ$5,0)),"■",IF(AND('制度詳細'!$J$19&lt;&gt;"",'制度詳細'!$J$19&gt;=CQ$5,'制度詳細'!$J$19&lt;=EOMONTH(CQ$5,0)),"◆","")))</x:f>
      </x:c>
      <x:c r="CR19" s="57" t="str">
        <x:f>IF('制度詳細'!$H$19="",IF('制度詳細'!$J$19="","",IF(AND('制度詳細'!$J$19&gt;=CR$5,'制度詳細'!$J$19&lt;=EOMONTH(CR$5,0)),"◆","")),IF(MAX('制度詳細'!$H$19,CR$5)&lt;=MIN(IF('制度詳細'!$I$19="",EOMONTH(CR$5,0),'制度詳細'!$I$19),EOMONTH(CR$5,0)),"■",IF(AND('制度詳細'!$J$19&lt;&gt;"",'制度詳細'!$J$19&gt;=CR$5,'制度詳細'!$J$19&lt;=EOMONTH(CR$5,0)),"◆","")))</x:f>
      </x:c>
      <x:c r="CS19" s="57" t="str">
        <x:f>IF('制度詳細'!$H$19="",IF('制度詳細'!$J$19="","",IF(AND('制度詳細'!$J$19&gt;=CS$5,'制度詳細'!$J$19&lt;=EOMONTH(CS$5,0)),"◆","")),IF(MAX('制度詳細'!$H$19,CS$5)&lt;=MIN(IF('制度詳細'!$I$19="",EOMONTH(CS$5,0),'制度詳細'!$I$19),EOMONTH(CS$5,0)),"■",IF(AND('制度詳細'!$J$19&lt;&gt;"",'制度詳細'!$J$19&gt;=CS$5,'制度詳細'!$J$19&lt;=EOMONTH(CS$5,0)),"◆","")))</x:f>
      </x:c>
      <x:c r="CT19" s="57" t="str">
        <x:f>IF('制度詳細'!$H$19="",IF('制度詳細'!$J$19="","",IF(AND('制度詳細'!$J$19&gt;=CT$5,'制度詳細'!$J$19&lt;=EOMONTH(CT$5,0)),"◆","")),IF(MAX('制度詳細'!$H$19,CT$5)&lt;=MIN(IF('制度詳細'!$I$19="",EOMONTH(CT$5,0),'制度詳細'!$I$19),EOMONTH(CT$5,0)),"■",IF(AND('制度詳細'!$J$19&lt;&gt;"",'制度詳細'!$J$19&gt;=CT$5,'制度詳細'!$J$19&lt;=EOMONTH(CT$5,0)),"◆","")))</x:f>
      </x:c>
      <x:c r="CU19" s="57" t="str">
        <x:f>IF('制度詳細'!$H$19="",IF('制度詳細'!$J$19="","",IF(AND('制度詳細'!$J$19&gt;=CU$5,'制度詳細'!$J$19&lt;=EOMONTH(CU$5,0)),"◆","")),IF(MAX('制度詳細'!$H$19,CU$5)&lt;=MIN(IF('制度詳細'!$I$19="",EOMONTH(CU$5,0),'制度詳細'!$I$19),EOMONTH(CU$5,0)),"■",IF(AND('制度詳細'!$J$19&lt;&gt;"",'制度詳細'!$J$19&gt;=CU$5,'制度詳細'!$J$19&lt;=EOMONTH(CU$5,0)),"◆","")))</x:f>
      </x:c>
      <x:c r="CV19" s="57" t="str">
        <x:f>IF('制度詳細'!$H$19="",IF('制度詳細'!$J$19="","",IF(AND('制度詳細'!$J$19&gt;=CV$5,'制度詳細'!$J$19&lt;=EOMONTH(CV$5,0)),"◆","")),IF(MAX('制度詳細'!$H$19,CV$5)&lt;=MIN(IF('制度詳細'!$I$19="",EOMONTH(CV$5,0),'制度詳細'!$I$19),EOMONTH(CV$5,0)),"■",IF(AND('制度詳細'!$J$19&lt;&gt;"",'制度詳細'!$J$19&gt;=CV$5,'制度詳細'!$J$19&lt;=EOMONTH(CV$5,0)),"◆","")))</x:f>
      </x:c>
      <x:c r="CW19" s="1"/>
      <x:c r="CX19" s="1"/>
      <x:c r="CY19" s="1"/>
      <x:c r="CZ19" s="1"/>
      <x:c r="DA19" s="1"/>
      <x:c r="DB19" s="1"/>
      <x:c r="DC19" s="1"/>
      <x:c r="DD19" s="1"/>
    </x:row>
    <x:row r="20" ht="27" customHeight="1">
      <x:c r="A20" s="53" t="str">
        <x:v>ID06</x:v>
      </x:c>
      <x:c r="B20" s="53" t="str">
        <x:v>インドネシア</x:v>
      </x:c>
      <x:c r="C20" s="53" t="str">
        <x:v>商業生産開始の期限</x:v>
      </x:c>
      <x:c r="D20" s="53" t="str">
        <x:v>BEV</x:v>
      </x:c>
      <x:c r="E20" s="57" t="str">
        <x:f>IF('制度詳細'!$H$20="",IF('制度詳細'!$J$20="","",IF(AND('制度詳細'!$J$20&gt;=E$5,'制度詳細'!$J$20&lt;=EOMONTH(E$5,0)),"◆","")),IF(MAX('制度詳細'!$H$20,E$5)&lt;=MIN(IF('制度詳細'!$I$20="",EOMONTH(E$5,0),'制度詳細'!$I$20),EOMONTH(E$5,0)),"■",IF(AND('制度詳細'!$J$20&lt;&gt;"",'制度詳細'!$J$20&gt;=E$5,'制度詳細'!$J$20&lt;=EOMONTH(E$5,0)),"◆","")))</x:f>
      </x:c>
      <x:c r="F20" s="57" t="str">
        <x:f>IF('制度詳細'!$H$20="",IF('制度詳細'!$J$20="","",IF(AND('制度詳細'!$J$20&gt;=F$5,'制度詳細'!$J$20&lt;=EOMONTH(F$5,0)),"◆","")),IF(MAX('制度詳細'!$H$20,F$5)&lt;=MIN(IF('制度詳細'!$I$20="",EOMONTH(F$5,0),'制度詳細'!$I$20),EOMONTH(F$5,0)),"■",IF(AND('制度詳細'!$J$20&lt;&gt;"",'制度詳細'!$J$20&gt;=F$5,'制度詳細'!$J$20&lt;=EOMONTH(F$5,0)),"◆","")))</x:f>
      </x:c>
      <x:c r="G20" s="57" t="str">
        <x:f>IF('制度詳細'!$H$20="",IF('制度詳細'!$J$20="","",IF(AND('制度詳細'!$J$20&gt;=G$5,'制度詳細'!$J$20&lt;=EOMONTH(G$5,0)),"◆","")),IF(MAX('制度詳細'!$H$20,G$5)&lt;=MIN(IF('制度詳細'!$I$20="",EOMONTH(G$5,0),'制度詳細'!$I$20),EOMONTH(G$5,0)),"■",IF(AND('制度詳細'!$J$20&lt;&gt;"",'制度詳細'!$J$20&gt;=G$5,'制度詳細'!$J$20&lt;=EOMONTH(G$5,0)),"◆","")))</x:f>
      </x:c>
      <x:c r="H20" s="57" t="str">
        <x:f>IF('制度詳細'!$H$20="",IF('制度詳細'!$J$20="","",IF(AND('制度詳細'!$J$20&gt;=H$5,'制度詳細'!$J$20&lt;=EOMONTH(H$5,0)),"◆","")),IF(MAX('制度詳細'!$H$20,H$5)&lt;=MIN(IF('制度詳細'!$I$20="",EOMONTH(H$5,0),'制度詳細'!$I$20),EOMONTH(H$5,0)),"■",IF(AND('制度詳細'!$J$20&lt;&gt;"",'制度詳細'!$J$20&gt;=H$5,'制度詳細'!$J$20&lt;=EOMONTH(H$5,0)),"◆","")))</x:f>
      </x:c>
      <x:c r="I20" s="57" t="str">
        <x:f>IF('制度詳細'!$H$20="",IF('制度詳細'!$J$20="","",IF(AND('制度詳細'!$J$20&gt;=I$5,'制度詳細'!$J$20&lt;=EOMONTH(I$5,0)),"◆","")),IF(MAX('制度詳細'!$H$20,I$5)&lt;=MIN(IF('制度詳細'!$I$20="",EOMONTH(I$5,0),'制度詳細'!$I$20),EOMONTH(I$5,0)),"■",IF(AND('制度詳細'!$J$20&lt;&gt;"",'制度詳細'!$J$20&gt;=I$5,'制度詳細'!$J$20&lt;=EOMONTH(I$5,0)),"◆","")))</x:f>
      </x:c>
      <x:c r="J20" s="57" t="str">
        <x:f>IF('制度詳細'!$H$20="",IF('制度詳細'!$J$20="","",IF(AND('制度詳細'!$J$20&gt;=J$5,'制度詳細'!$J$20&lt;=EOMONTH(J$5,0)),"◆","")),IF(MAX('制度詳細'!$H$20,J$5)&lt;=MIN(IF('制度詳細'!$I$20="",EOMONTH(J$5,0),'制度詳細'!$I$20),EOMONTH(J$5,0)),"■",IF(AND('制度詳細'!$J$20&lt;&gt;"",'制度詳細'!$J$20&gt;=J$5,'制度詳細'!$J$20&lt;=EOMONTH(J$5,0)),"◆","")))</x:f>
      </x:c>
      <x:c r="K20" s="57" t="str">
        <x:f>IF('制度詳細'!$H$20="",IF('制度詳細'!$J$20="","",IF(AND('制度詳細'!$J$20&gt;=K$5,'制度詳細'!$J$20&lt;=EOMONTH(K$5,0)),"◆","")),IF(MAX('制度詳細'!$H$20,K$5)&lt;=MIN(IF('制度詳細'!$I$20="",EOMONTH(K$5,0),'制度詳細'!$I$20),EOMONTH(K$5,0)),"■",IF(AND('制度詳細'!$J$20&lt;&gt;"",'制度詳細'!$J$20&gt;=K$5,'制度詳細'!$J$20&lt;=EOMONTH(K$5,0)),"◆","")))</x:f>
      </x:c>
      <x:c r="L20" s="57" t="str">
        <x:f>IF('制度詳細'!$H$20="",IF('制度詳細'!$J$20="","",IF(AND('制度詳細'!$J$20&gt;=L$5,'制度詳細'!$J$20&lt;=EOMONTH(L$5,0)),"◆","")),IF(MAX('制度詳細'!$H$20,L$5)&lt;=MIN(IF('制度詳細'!$I$20="",EOMONTH(L$5,0),'制度詳細'!$I$20),EOMONTH(L$5,0)),"■",IF(AND('制度詳細'!$J$20&lt;&gt;"",'制度詳細'!$J$20&gt;=L$5,'制度詳細'!$J$20&lt;=EOMONTH(L$5,0)),"◆","")))</x:f>
      </x:c>
      <x:c r="M20" s="57" t="str">
        <x:f>IF('制度詳細'!$H$20="",IF('制度詳細'!$J$20="","",IF(AND('制度詳細'!$J$20&gt;=M$5,'制度詳細'!$J$20&lt;=EOMONTH(M$5,0)),"◆","")),IF(MAX('制度詳細'!$H$20,M$5)&lt;=MIN(IF('制度詳細'!$I$20="",EOMONTH(M$5,0),'制度詳細'!$I$20),EOMONTH(M$5,0)),"■",IF(AND('制度詳細'!$J$20&lt;&gt;"",'制度詳細'!$J$20&gt;=M$5,'制度詳細'!$J$20&lt;=EOMONTH(M$5,0)),"◆","")))</x:f>
      </x:c>
      <x:c r="N20" s="57" t="str">
        <x:f>IF('制度詳細'!$H$20="",IF('制度詳細'!$J$20="","",IF(AND('制度詳細'!$J$20&gt;=N$5,'制度詳細'!$J$20&lt;=EOMONTH(N$5,0)),"◆","")),IF(MAX('制度詳細'!$H$20,N$5)&lt;=MIN(IF('制度詳細'!$I$20="",EOMONTH(N$5,0),'制度詳細'!$I$20),EOMONTH(N$5,0)),"■",IF(AND('制度詳細'!$J$20&lt;&gt;"",'制度詳細'!$J$20&gt;=N$5,'制度詳細'!$J$20&lt;=EOMONTH(N$5,0)),"◆","")))</x:f>
      </x:c>
      <x:c r="O20" s="57" t="str">
        <x:f>IF('制度詳細'!$H$20="",IF('制度詳細'!$J$20="","",IF(AND('制度詳細'!$J$20&gt;=O$5,'制度詳細'!$J$20&lt;=EOMONTH(O$5,0)),"◆","")),IF(MAX('制度詳細'!$H$20,O$5)&lt;=MIN(IF('制度詳細'!$I$20="",EOMONTH(O$5,0),'制度詳細'!$I$20),EOMONTH(O$5,0)),"■",IF(AND('制度詳細'!$J$20&lt;&gt;"",'制度詳細'!$J$20&gt;=O$5,'制度詳細'!$J$20&lt;=EOMONTH(O$5,0)),"◆","")))</x:f>
      </x:c>
      <x:c r="P20" s="57" t="str">
        <x:f>IF('制度詳細'!$H$20="",IF('制度詳細'!$J$20="","",IF(AND('制度詳細'!$J$20&gt;=P$5,'制度詳細'!$J$20&lt;=EOMONTH(P$5,0)),"◆","")),IF(MAX('制度詳細'!$H$20,P$5)&lt;=MIN(IF('制度詳細'!$I$20="",EOMONTH(P$5,0),'制度詳細'!$I$20),EOMONTH(P$5,0)),"■",IF(AND('制度詳細'!$J$20&lt;&gt;"",'制度詳細'!$J$20&gt;=P$5,'制度詳細'!$J$20&lt;=EOMONTH(P$5,0)),"◆","")))</x:f>
      </x:c>
      <x:c r="Q20" s="57" t="str">
        <x:f>IF('制度詳細'!$H$20="",IF('制度詳細'!$J$20="","",IF(AND('制度詳細'!$J$20&gt;=Q$5,'制度詳細'!$J$20&lt;=EOMONTH(Q$5,0)),"◆","")),IF(MAX('制度詳細'!$H$20,Q$5)&lt;=MIN(IF('制度詳細'!$I$20="",EOMONTH(Q$5,0),'制度詳細'!$I$20),EOMONTH(Q$5,0)),"■",IF(AND('制度詳細'!$J$20&lt;&gt;"",'制度詳細'!$J$20&gt;=Q$5,'制度詳細'!$J$20&lt;=EOMONTH(Q$5,0)),"◆","")))</x:f>
      </x:c>
      <x:c r="R20" s="57" t="str">
        <x:f>IF('制度詳細'!$H$20="",IF('制度詳細'!$J$20="","",IF(AND('制度詳細'!$J$20&gt;=R$5,'制度詳細'!$J$20&lt;=EOMONTH(R$5,0)),"◆","")),IF(MAX('制度詳細'!$H$20,R$5)&lt;=MIN(IF('制度詳細'!$I$20="",EOMONTH(R$5,0),'制度詳細'!$I$20),EOMONTH(R$5,0)),"■",IF(AND('制度詳細'!$J$20&lt;&gt;"",'制度詳細'!$J$20&gt;=R$5,'制度詳細'!$J$20&lt;=EOMONTH(R$5,0)),"◆","")))</x:f>
      </x:c>
      <x:c r="S20" s="57" t="str">
        <x:f>IF('制度詳細'!$H$20="",IF('制度詳細'!$J$20="","",IF(AND('制度詳細'!$J$20&gt;=S$5,'制度詳細'!$J$20&lt;=EOMONTH(S$5,0)),"◆","")),IF(MAX('制度詳細'!$H$20,S$5)&lt;=MIN(IF('制度詳細'!$I$20="",EOMONTH(S$5,0),'制度詳細'!$I$20),EOMONTH(S$5,0)),"■",IF(AND('制度詳細'!$J$20&lt;&gt;"",'制度詳細'!$J$20&gt;=S$5,'制度詳細'!$J$20&lt;=EOMONTH(S$5,0)),"◆","")))</x:f>
      </x:c>
      <x:c r="T20" s="57" t="str">
        <x:f>IF('制度詳細'!$H$20="",IF('制度詳細'!$J$20="","",IF(AND('制度詳細'!$J$20&gt;=T$5,'制度詳細'!$J$20&lt;=EOMONTH(T$5,0)),"◆","")),IF(MAX('制度詳細'!$H$20,T$5)&lt;=MIN(IF('制度詳細'!$I$20="",EOMONTH(T$5,0),'制度詳細'!$I$20),EOMONTH(T$5,0)),"■",IF(AND('制度詳細'!$J$20&lt;&gt;"",'制度詳細'!$J$20&gt;=T$5,'制度詳細'!$J$20&lt;=EOMONTH(T$5,0)),"◆","")))</x:f>
      </x:c>
      <x:c r="U20" s="57" t="str">
        <x:f>IF('制度詳細'!$H$20="",IF('制度詳細'!$J$20="","",IF(AND('制度詳細'!$J$20&gt;=U$5,'制度詳細'!$J$20&lt;=EOMONTH(U$5,0)),"◆","")),IF(MAX('制度詳細'!$H$20,U$5)&lt;=MIN(IF('制度詳細'!$I$20="",EOMONTH(U$5,0),'制度詳細'!$I$20),EOMONTH(U$5,0)),"■",IF(AND('制度詳細'!$J$20&lt;&gt;"",'制度詳細'!$J$20&gt;=U$5,'制度詳細'!$J$20&lt;=EOMONTH(U$5,0)),"◆","")))</x:f>
      </x:c>
      <x:c r="V20" s="57" t="str">
        <x:f>IF('制度詳細'!$H$20="",IF('制度詳細'!$J$20="","",IF(AND('制度詳細'!$J$20&gt;=V$5,'制度詳細'!$J$20&lt;=EOMONTH(V$5,0)),"◆","")),IF(MAX('制度詳細'!$H$20,V$5)&lt;=MIN(IF('制度詳細'!$I$20="",EOMONTH(V$5,0),'制度詳細'!$I$20),EOMONTH(V$5,0)),"■",IF(AND('制度詳細'!$J$20&lt;&gt;"",'制度詳細'!$J$20&gt;=V$5,'制度詳細'!$J$20&lt;=EOMONTH(V$5,0)),"◆","")))</x:f>
      </x:c>
      <x:c r="W20" s="57" t="str">
        <x:f>IF('制度詳細'!$H$20="",IF('制度詳細'!$J$20="","",IF(AND('制度詳細'!$J$20&gt;=W$5,'制度詳細'!$J$20&lt;=EOMONTH(W$5,0)),"◆","")),IF(MAX('制度詳細'!$H$20,W$5)&lt;=MIN(IF('制度詳細'!$I$20="",EOMONTH(W$5,0),'制度詳細'!$I$20),EOMONTH(W$5,0)),"■",IF(AND('制度詳細'!$J$20&lt;&gt;"",'制度詳細'!$J$20&gt;=W$5,'制度詳細'!$J$20&lt;=EOMONTH(W$5,0)),"◆","")))</x:f>
      </x:c>
      <x:c r="X20" s="57" t="str">
        <x:f>IF('制度詳細'!$H$20="",IF('制度詳細'!$J$20="","",IF(AND('制度詳細'!$J$20&gt;=X$5,'制度詳細'!$J$20&lt;=EOMONTH(X$5,0)),"◆","")),IF(MAX('制度詳細'!$H$20,X$5)&lt;=MIN(IF('制度詳細'!$I$20="",EOMONTH(X$5,0),'制度詳細'!$I$20),EOMONTH(X$5,0)),"■",IF(AND('制度詳細'!$J$20&lt;&gt;"",'制度詳細'!$J$20&gt;=X$5,'制度詳細'!$J$20&lt;=EOMONTH(X$5,0)),"◆","")))</x:f>
      </x:c>
      <x:c r="Y20" s="57" t="str">
        <x:f>IF('制度詳細'!$H$20="",IF('制度詳細'!$J$20="","",IF(AND('制度詳細'!$J$20&gt;=Y$5,'制度詳細'!$J$20&lt;=EOMONTH(Y$5,0)),"◆","")),IF(MAX('制度詳細'!$H$20,Y$5)&lt;=MIN(IF('制度詳細'!$I$20="",EOMONTH(Y$5,0),'制度詳細'!$I$20),EOMONTH(Y$5,0)),"■",IF(AND('制度詳細'!$J$20&lt;&gt;"",'制度詳細'!$J$20&gt;=Y$5,'制度詳細'!$J$20&lt;=EOMONTH(Y$5,0)),"◆","")))</x:f>
      </x:c>
      <x:c r="Z20" s="57" t="str">
        <x:f>IF('制度詳細'!$H$20="",IF('制度詳細'!$J$20="","",IF(AND('制度詳細'!$J$20&gt;=Z$5,'制度詳細'!$J$20&lt;=EOMONTH(Z$5,0)),"◆","")),IF(MAX('制度詳細'!$H$20,Z$5)&lt;=MIN(IF('制度詳細'!$I$20="",EOMONTH(Z$5,0),'制度詳細'!$I$20),EOMONTH(Z$5,0)),"■",IF(AND('制度詳細'!$J$20&lt;&gt;"",'制度詳細'!$J$20&gt;=Z$5,'制度詳細'!$J$20&lt;=EOMONTH(Z$5,0)),"◆","")))</x:f>
      </x:c>
      <x:c r="AA20" s="57" t="str">
        <x:f>IF('制度詳細'!$H$20="",IF('制度詳細'!$J$20="","",IF(AND('制度詳細'!$J$20&gt;=AA$5,'制度詳細'!$J$20&lt;=EOMONTH(AA$5,0)),"◆","")),IF(MAX('制度詳細'!$H$20,AA$5)&lt;=MIN(IF('制度詳細'!$I$20="",EOMONTH(AA$5,0),'制度詳細'!$I$20),EOMONTH(AA$5,0)),"■",IF(AND('制度詳細'!$J$20&lt;&gt;"",'制度詳細'!$J$20&gt;=AA$5,'制度詳細'!$J$20&lt;=EOMONTH(AA$5,0)),"◆","")))</x:f>
      </x:c>
      <x:c r="AB20" s="57" t="str">
        <x:f>IF('制度詳細'!$H$20="",IF('制度詳細'!$J$20="","",IF(AND('制度詳細'!$J$20&gt;=AB$5,'制度詳細'!$J$20&lt;=EOMONTH(AB$5,0)),"◆","")),IF(MAX('制度詳細'!$H$20,AB$5)&lt;=MIN(IF('制度詳細'!$I$20="",EOMONTH(AB$5,0),'制度詳細'!$I$20),EOMONTH(AB$5,0)),"■",IF(AND('制度詳細'!$J$20&lt;&gt;"",'制度詳細'!$J$20&gt;=AB$5,'制度詳細'!$J$20&lt;=EOMONTH(AB$5,0)),"◆","")))</x:f>
      </x:c>
      <x:c r="AC20" s="57" t="str">
        <x:f>IF('制度詳細'!$H$20="",IF('制度詳細'!$J$20="","",IF(AND('制度詳細'!$J$20&gt;=AC$5,'制度詳細'!$J$20&lt;=EOMONTH(AC$5,0)),"◆","")),IF(MAX('制度詳細'!$H$20,AC$5)&lt;=MIN(IF('制度詳細'!$I$20="",EOMONTH(AC$5,0),'制度詳細'!$I$20),EOMONTH(AC$5,0)),"■",IF(AND('制度詳細'!$J$20&lt;&gt;"",'制度詳細'!$J$20&gt;=AC$5,'制度詳細'!$J$20&lt;=EOMONTH(AC$5,0)),"◆","")))</x:f>
      </x:c>
      <x:c r="AD20" s="57" t="str">
        <x:f>IF('制度詳細'!$H$20="",IF('制度詳細'!$J$20="","",IF(AND('制度詳細'!$J$20&gt;=AD$5,'制度詳細'!$J$20&lt;=EOMONTH(AD$5,0)),"◆","")),IF(MAX('制度詳細'!$H$20,AD$5)&lt;=MIN(IF('制度詳細'!$I$20="",EOMONTH(AD$5,0),'制度詳細'!$I$20),EOMONTH(AD$5,0)),"■",IF(AND('制度詳細'!$J$20&lt;&gt;"",'制度詳細'!$J$20&gt;=AD$5,'制度詳細'!$J$20&lt;=EOMONTH(AD$5,0)),"◆","")))</x:f>
      </x:c>
      <x:c r="AE20" s="57" t="str">
        <x:f>IF('制度詳細'!$H$20="",IF('制度詳細'!$J$20="","",IF(AND('制度詳細'!$J$20&gt;=AE$5,'制度詳細'!$J$20&lt;=EOMONTH(AE$5,0)),"◆","")),IF(MAX('制度詳細'!$H$20,AE$5)&lt;=MIN(IF('制度詳細'!$I$20="",EOMONTH(AE$5,0),'制度詳細'!$I$20),EOMONTH(AE$5,0)),"■",IF(AND('制度詳細'!$J$20&lt;&gt;"",'制度詳細'!$J$20&gt;=AE$5,'制度詳細'!$J$20&lt;=EOMONTH(AE$5,0)),"◆","")))</x:f>
      </x:c>
      <x:c r="AF20" s="57" t="str">
        <x:f>IF('制度詳細'!$H$20="",IF('制度詳細'!$J$20="","",IF(AND('制度詳細'!$J$20&gt;=AF$5,'制度詳細'!$J$20&lt;=EOMONTH(AF$5,0)),"◆","")),IF(MAX('制度詳細'!$H$20,AF$5)&lt;=MIN(IF('制度詳細'!$I$20="",EOMONTH(AF$5,0),'制度詳細'!$I$20),EOMONTH(AF$5,0)),"■",IF(AND('制度詳細'!$J$20&lt;&gt;"",'制度詳細'!$J$20&gt;=AF$5,'制度詳細'!$J$20&lt;=EOMONTH(AF$5,0)),"◆","")))</x:f>
      </x:c>
      <x:c r="AG20" s="57" t="str">
        <x:f>IF('制度詳細'!$H$20="",IF('制度詳細'!$J$20="","",IF(AND('制度詳細'!$J$20&gt;=AG$5,'制度詳細'!$J$20&lt;=EOMONTH(AG$5,0)),"◆","")),IF(MAX('制度詳細'!$H$20,AG$5)&lt;=MIN(IF('制度詳細'!$I$20="",EOMONTH(AG$5,0),'制度詳細'!$I$20),EOMONTH(AG$5,0)),"■",IF(AND('制度詳細'!$J$20&lt;&gt;"",'制度詳細'!$J$20&gt;=AG$5,'制度詳細'!$J$20&lt;=EOMONTH(AG$5,0)),"◆","")))</x:f>
      </x:c>
      <x:c r="AH20" s="57" t="str">
        <x:f>IF('制度詳細'!$H$20="",IF('制度詳細'!$J$20="","",IF(AND('制度詳細'!$J$20&gt;=AH$5,'制度詳細'!$J$20&lt;=EOMONTH(AH$5,0)),"◆","")),IF(MAX('制度詳細'!$H$20,AH$5)&lt;=MIN(IF('制度詳細'!$I$20="",EOMONTH(AH$5,0),'制度詳細'!$I$20),EOMONTH(AH$5,0)),"■",IF(AND('制度詳細'!$J$20&lt;&gt;"",'制度詳細'!$J$20&gt;=AH$5,'制度詳細'!$J$20&lt;=EOMONTH(AH$5,0)),"◆","")))</x:f>
      </x:c>
      <x:c r="AI20" s="57" t="str">
        <x:f>IF('制度詳細'!$H$20="",IF('制度詳細'!$J$20="","",IF(AND('制度詳細'!$J$20&gt;=AI$5,'制度詳細'!$J$20&lt;=EOMONTH(AI$5,0)),"◆","")),IF(MAX('制度詳細'!$H$20,AI$5)&lt;=MIN(IF('制度詳細'!$I$20="",EOMONTH(AI$5,0),'制度詳細'!$I$20),EOMONTH(AI$5,0)),"■",IF(AND('制度詳細'!$J$20&lt;&gt;"",'制度詳細'!$J$20&gt;=AI$5,'制度詳細'!$J$20&lt;=EOMONTH(AI$5,0)),"◆","")))</x:f>
      </x:c>
      <x:c r="AJ20" s="57" t="str">
        <x:f>IF('制度詳細'!$H$20="",IF('制度詳細'!$J$20="","",IF(AND('制度詳細'!$J$20&gt;=AJ$5,'制度詳細'!$J$20&lt;=EOMONTH(AJ$5,0)),"◆","")),IF(MAX('制度詳細'!$H$20,AJ$5)&lt;=MIN(IF('制度詳細'!$I$20="",EOMONTH(AJ$5,0),'制度詳細'!$I$20),EOMONTH(AJ$5,0)),"■",IF(AND('制度詳細'!$J$20&lt;&gt;"",'制度詳細'!$J$20&gt;=AJ$5,'制度詳細'!$J$20&lt;=EOMONTH(AJ$5,0)),"◆","")))</x:f>
      </x:c>
      <x:c r="AK20" s="57" t="str">
        <x:f>IF('制度詳細'!$H$20="",IF('制度詳細'!$J$20="","",IF(AND('制度詳細'!$J$20&gt;=AK$5,'制度詳細'!$J$20&lt;=EOMONTH(AK$5,0)),"◆","")),IF(MAX('制度詳細'!$H$20,AK$5)&lt;=MIN(IF('制度詳細'!$I$20="",EOMONTH(AK$5,0),'制度詳細'!$I$20),EOMONTH(AK$5,0)),"■",IF(AND('制度詳細'!$J$20&lt;&gt;"",'制度詳細'!$J$20&gt;=AK$5,'制度詳細'!$J$20&lt;=EOMONTH(AK$5,0)),"◆","")))</x:f>
      </x:c>
      <x:c r="AL20" s="57" t="str">
        <x:f>IF('制度詳細'!$H$20="",IF('制度詳細'!$J$20="","",IF(AND('制度詳細'!$J$20&gt;=AL$5,'制度詳細'!$J$20&lt;=EOMONTH(AL$5,0)),"◆","")),IF(MAX('制度詳細'!$H$20,AL$5)&lt;=MIN(IF('制度詳細'!$I$20="",EOMONTH(AL$5,0),'制度詳細'!$I$20),EOMONTH(AL$5,0)),"■",IF(AND('制度詳細'!$J$20&lt;&gt;"",'制度詳細'!$J$20&gt;=AL$5,'制度詳細'!$J$20&lt;=EOMONTH(AL$5,0)),"◆","")))</x:f>
      </x:c>
      <x:c r="AM20" s="57" t="str">
        <x:f>IF('制度詳細'!$H$20="",IF('制度詳細'!$J$20="","",IF(AND('制度詳細'!$J$20&gt;=AM$5,'制度詳細'!$J$20&lt;=EOMONTH(AM$5,0)),"◆","")),IF(MAX('制度詳細'!$H$20,AM$5)&lt;=MIN(IF('制度詳細'!$I$20="",EOMONTH(AM$5,0),'制度詳細'!$I$20),EOMONTH(AM$5,0)),"■",IF(AND('制度詳細'!$J$20&lt;&gt;"",'制度詳細'!$J$20&gt;=AM$5,'制度詳細'!$J$20&lt;=EOMONTH(AM$5,0)),"◆","")))</x:f>
      </x:c>
      <x:c r="AN20" s="57" t="str">
        <x:f>IF('制度詳細'!$H$20="",IF('制度詳細'!$J$20="","",IF(AND('制度詳細'!$J$20&gt;=AN$5,'制度詳細'!$J$20&lt;=EOMONTH(AN$5,0)),"◆","")),IF(MAX('制度詳細'!$H$20,AN$5)&lt;=MIN(IF('制度詳細'!$I$20="",EOMONTH(AN$5,0),'制度詳細'!$I$20),EOMONTH(AN$5,0)),"■",IF(AND('制度詳細'!$J$20&lt;&gt;"",'制度詳細'!$J$20&gt;=AN$5,'制度詳細'!$J$20&lt;=EOMONTH(AN$5,0)),"◆","")))</x:f>
      </x:c>
      <x:c r="AO20" s="57" t="str">
        <x:f>IF('制度詳細'!$H$20="",IF('制度詳細'!$J$20="","",IF(AND('制度詳細'!$J$20&gt;=AO$5,'制度詳細'!$J$20&lt;=EOMONTH(AO$5,0)),"◆","")),IF(MAX('制度詳細'!$H$20,AO$5)&lt;=MIN(IF('制度詳細'!$I$20="",EOMONTH(AO$5,0),'制度詳細'!$I$20),EOMONTH(AO$5,0)),"■",IF(AND('制度詳細'!$J$20&lt;&gt;"",'制度詳細'!$J$20&gt;=AO$5,'制度詳細'!$J$20&lt;=EOMONTH(AO$5,0)),"◆","")))</x:f>
      </x:c>
      <x:c r="AP20" s="57" t="str">
        <x:f>IF('制度詳細'!$H$20="",IF('制度詳細'!$J$20="","",IF(AND('制度詳細'!$J$20&gt;=AP$5,'制度詳細'!$J$20&lt;=EOMONTH(AP$5,0)),"◆","")),IF(MAX('制度詳細'!$H$20,AP$5)&lt;=MIN(IF('制度詳細'!$I$20="",EOMONTH(AP$5,0),'制度詳細'!$I$20),EOMONTH(AP$5,0)),"■",IF(AND('制度詳細'!$J$20&lt;&gt;"",'制度詳細'!$J$20&gt;=AP$5,'制度詳細'!$J$20&lt;=EOMONTH(AP$5,0)),"◆","")))</x:f>
      </x:c>
      <x:c r="AQ20" s="57" t="str">
        <x:f>IF('制度詳細'!$H$20="",IF('制度詳細'!$J$20="","",IF(AND('制度詳細'!$J$20&gt;=AQ$5,'制度詳細'!$J$20&lt;=EOMONTH(AQ$5,0)),"◆","")),IF(MAX('制度詳細'!$H$20,AQ$5)&lt;=MIN(IF('制度詳細'!$I$20="",EOMONTH(AQ$5,0),'制度詳細'!$I$20),EOMONTH(AQ$5,0)),"■",IF(AND('制度詳細'!$J$20&lt;&gt;"",'制度詳細'!$J$20&gt;=AQ$5,'制度詳細'!$J$20&lt;=EOMONTH(AQ$5,0)),"◆","")))</x:f>
      </x:c>
      <x:c r="AR20" s="57" t="str">
        <x:f>IF('制度詳細'!$H$20="",IF('制度詳細'!$J$20="","",IF(AND('制度詳細'!$J$20&gt;=AR$5,'制度詳細'!$J$20&lt;=EOMONTH(AR$5,0)),"◆","")),IF(MAX('制度詳細'!$H$20,AR$5)&lt;=MIN(IF('制度詳細'!$I$20="",EOMONTH(AR$5,0),'制度詳細'!$I$20),EOMONTH(AR$5,0)),"■",IF(AND('制度詳細'!$J$20&lt;&gt;"",'制度詳細'!$J$20&gt;=AR$5,'制度詳細'!$J$20&lt;=EOMONTH(AR$5,0)),"◆","")))</x:f>
      </x:c>
      <x:c r="AS20" s="57" t="str">
        <x:f>IF('制度詳細'!$H$20="",IF('制度詳細'!$J$20="","",IF(AND('制度詳細'!$J$20&gt;=AS$5,'制度詳細'!$J$20&lt;=EOMONTH(AS$5,0)),"◆","")),IF(MAX('制度詳細'!$H$20,AS$5)&lt;=MIN(IF('制度詳細'!$I$20="",EOMONTH(AS$5,0),'制度詳細'!$I$20),EOMONTH(AS$5,0)),"■",IF(AND('制度詳細'!$J$20&lt;&gt;"",'制度詳細'!$J$20&gt;=AS$5,'制度詳細'!$J$20&lt;=EOMONTH(AS$5,0)),"◆","")))</x:f>
      </x:c>
      <x:c r="AT20" s="57" t="str">
        <x:f>IF('制度詳細'!$H$20="",IF('制度詳細'!$J$20="","",IF(AND('制度詳細'!$J$20&gt;=AT$5,'制度詳細'!$J$20&lt;=EOMONTH(AT$5,0)),"◆","")),IF(MAX('制度詳細'!$H$20,AT$5)&lt;=MIN(IF('制度詳細'!$I$20="",EOMONTH(AT$5,0),'制度詳細'!$I$20),EOMONTH(AT$5,0)),"■",IF(AND('制度詳細'!$J$20&lt;&gt;"",'制度詳細'!$J$20&gt;=AT$5,'制度詳細'!$J$20&lt;=EOMONTH(AT$5,0)),"◆","")))</x:f>
      </x:c>
      <x:c r="AU20" s="57" t="str">
        <x:f>IF('制度詳細'!$H$20="",IF('制度詳細'!$J$20="","",IF(AND('制度詳細'!$J$20&gt;=AU$5,'制度詳細'!$J$20&lt;=EOMONTH(AU$5,0)),"◆","")),IF(MAX('制度詳細'!$H$20,AU$5)&lt;=MIN(IF('制度詳細'!$I$20="",EOMONTH(AU$5,0),'制度詳細'!$I$20),EOMONTH(AU$5,0)),"■",IF(AND('制度詳細'!$J$20&lt;&gt;"",'制度詳細'!$J$20&gt;=AU$5,'制度詳細'!$J$20&lt;=EOMONTH(AU$5,0)),"◆","")))</x:f>
      </x:c>
      <x:c r="AV20" s="57" t="str">
        <x:f>IF('制度詳細'!$H$20="",IF('制度詳細'!$J$20="","",IF(AND('制度詳細'!$J$20&gt;=AV$5,'制度詳細'!$J$20&lt;=EOMONTH(AV$5,0)),"◆","")),IF(MAX('制度詳細'!$H$20,AV$5)&lt;=MIN(IF('制度詳細'!$I$20="",EOMONTH(AV$5,0),'制度詳細'!$I$20),EOMONTH(AV$5,0)),"■",IF(AND('制度詳細'!$J$20&lt;&gt;"",'制度詳細'!$J$20&gt;=AV$5,'制度詳細'!$J$20&lt;=EOMONTH(AV$5,0)),"◆","")))</x:f>
      </x:c>
      <x:c r="AW20" s="57" t="str">
        <x:f>IF('制度詳細'!$H$20="",IF('制度詳細'!$J$20="","",IF(AND('制度詳細'!$J$20&gt;=AW$5,'制度詳細'!$J$20&lt;=EOMONTH(AW$5,0)),"◆","")),IF(MAX('制度詳細'!$H$20,AW$5)&lt;=MIN(IF('制度詳細'!$I$20="",EOMONTH(AW$5,0),'制度詳細'!$I$20),EOMONTH(AW$5,0)),"■",IF(AND('制度詳細'!$J$20&lt;&gt;"",'制度詳細'!$J$20&gt;=AW$5,'制度詳細'!$J$20&lt;=EOMONTH(AW$5,0)),"◆","")))</x:f>
      </x:c>
      <x:c r="AX20" s="57" t="str">
        <x:f>IF('制度詳細'!$H$20="",IF('制度詳細'!$J$20="","",IF(AND('制度詳細'!$J$20&gt;=AX$5,'制度詳細'!$J$20&lt;=EOMONTH(AX$5,0)),"◆","")),IF(MAX('制度詳細'!$H$20,AX$5)&lt;=MIN(IF('制度詳細'!$I$20="",EOMONTH(AX$5,0),'制度詳細'!$I$20),EOMONTH(AX$5,0)),"■",IF(AND('制度詳細'!$J$20&lt;&gt;"",'制度詳細'!$J$20&gt;=AX$5,'制度詳細'!$J$20&lt;=EOMONTH(AX$5,0)),"◆","")))</x:f>
      </x:c>
      <x:c r="AY20" s="57" t="str">
        <x:f>IF('制度詳細'!$H$20="",IF('制度詳細'!$J$20="","",IF(AND('制度詳細'!$J$20&gt;=AY$5,'制度詳細'!$J$20&lt;=EOMONTH(AY$5,0)),"◆","")),IF(MAX('制度詳細'!$H$20,AY$5)&lt;=MIN(IF('制度詳細'!$I$20="",EOMONTH(AY$5,0),'制度詳細'!$I$20),EOMONTH(AY$5,0)),"■",IF(AND('制度詳細'!$J$20&lt;&gt;"",'制度詳細'!$J$20&gt;=AY$5,'制度詳細'!$J$20&lt;=EOMONTH(AY$5,0)),"◆","")))</x:f>
      </x:c>
      <x:c r="AZ20" s="57" t="str">
        <x:f>IF('制度詳細'!$H$20="",IF('制度詳細'!$J$20="","",IF(AND('制度詳細'!$J$20&gt;=AZ$5,'制度詳細'!$J$20&lt;=EOMONTH(AZ$5,0)),"◆","")),IF(MAX('制度詳細'!$H$20,AZ$5)&lt;=MIN(IF('制度詳細'!$I$20="",EOMONTH(AZ$5,0),'制度詳細'!$I$20),EOMONTH(AZ$5,0)),"■",IF(AND('制度詳細'!$J$20&lt;&gt;"",'制度詳細'!$J$20&gt;=AZ$5,'制度詳細'!$J$20&lt;=EOMONTH(AZ$5,0)),"◆","")))</x:f>
      </x:c>
      <x:c r="BA20" s="57" t="str">
        <x:f>IF('制度詳細'!$H$20="",IF('制度詳細'!$J$20="","",IF(AND('制度詳細'!$J$20&gt;=BA$5,'制度詳細'!$J$20&lt;=EOMONTH(BA$5,0)),"◆","")),IF(MAX('制度詳細'!$H$20,BA$5)&lt;=MIN(IF('制度詳細'!$I$20="",EOMONTH(BA$5,0),'制度詳細'!$I$20),EOMONTH(BA$5,0)),"■",IF(AND('制度詳細'!$J$20&lt;&gt;"",'制度詳細'!$J$20&gt;=BA$5,'制度詳細'!$J$20&lt;=EOMONTH(BA$5,0)),"◆","")))</x:f>
      </x:c>
      <x:c r="BB20" s="57" t="str">
        <x:f>IF('制度詳細'!$H$20="",IF('制度詳細'!$J$20="","",IF(AND('制度詳細'!$J$20&gt;=BB$5,'制度詳細'!$J$20&lt;=EOMONTH(BB$5,0)),"◆","")),IF(MAX('制度詳細'!$H$20,BB$5)&lt;=MIN(IF('制度詳細'!$I$20="",EOMONTH(BB$5,0),'制度詳細'!$I$20),EOMONTH(BB$5,0)),"■",IF(AND('制度詳細'!$J$20&lt;&gt;"",'制度詳細'!$J$20&gt;=BB$5,'制度詳細'!$J$20&lt;=EOMONTH(BB$5,0)),"◆","")))</x:f>
      </x:c>
      <x:c r="BC20" s="57" t="str">
        <x:f>IF('制度詳細'!$H$20="",IF('制度詳細'!$J$20="","",IF(AND('制度詳細'!$J$20&gt;=BC$5,'制度詳細'!$J$20&lt;=EOMONTH(BC$5,0)),"◆","")),IF(MAX('制度詳細'!$H$20,BC$5)&lt;=MIN(IF('制度詳細'!$I$20="",EOMONTH(BC$5,0),'制度詳細'!$I$20),EOMONTH(BC$5,0)),"■",IF(AND('制度詳細'!$J$20&lt;&gt;"",'制度詳細'!$J$20&gt;=BC$5,'制度詳細'!$J$20&lt;=EOMONTH(BC$5,0)),"◆","")))</x:f>
      </x:c>
      <x:c r="BD20" s="57" t="str">
        <x:f>IF('制度詳細'!$H$20="",IF('制度詳細'!$J$20="","",IF(AND('制度詳細'!$J$20&gt;=BD$5,'制度詳細'!$J$20&lt;=EOMONTH(BD$5,0)),"◆","")),IF(MAX('制度詳細'!$H$20,BD$5)&lt;=MIN(IF('制度詳細'!$I$20="",EOMONTH(BD$5,0),'制度詳細'!$I$20),EOMONTH(BD$5,0)),"■",IF(AND('制度詳細'!$J$20&lt;&gt;"",'制度詳細'!$J$20&gt;=BD$5,'制度詳細'!$J$20&lt;=EOMONTH(BD$5,0)),"◆","")))</x:f>
      </x:c>
      <x:c r="BE20" s="57" t="str">
        <x:f>IF('制度詳細'!$H$20="",IF('制度詳細'!$J$20="","",IF(AND('制度詳細'!$J$20&gt;=BE$5,'制度詳細'!$J$20&lt;=EOMONTH(BE$5,0)),"◆","")),IF(MAX('制度詳細'!$H$20,BE$5)&lt;=MIN(IF('制度詳細'!$I$20="",EOMONTH(BE$5,0),'制度詳細'!$I$20),EOMONTH(BE$5,0)),"■",IF(AND('制度詳細'!$J$20&lt;&gt;"",'制度詳細'!$J$20&gt;=BE$5,'制度詳細'!$J$20&lt;=EOMONTH(BE$5,0)),"◆","")))</x:f>
      </x:c>
      <x:c r="BF20" s="57" t="str">
        <x:f>IF('制度詳細'!$H$20="",IF('制度詳細'!$J$20="","",IF(AND('制度詳細'!$J$20&gt;=BF$5,'制度詳細'!$J$20&lt;=EOMONTH(BF$5,0)),"◆","")),IF(MAX('制度詳細'!$H$20,BF$5)&lt;=MIN(IF('制度詳細'!$I$20="",EOMONTH(BF$5,0),'制度詳細'!$I$20),EOMONTH(BF$5,0)),"■",IF(AND('制度詳細'!$J$20&lt;&gt;"",'制度詳細'!$J$20&gt;=BF$5,'制度詳細'!$J$20&lt;=EOMONTH(BF$5,0)),"◆","")))</x:f>
      </x:c>
      <x:c r="BG20" s="57" t="str">
        <x:f>IF('制度詳細'!$H$20="",IF('制度詳細'!$J$20="","",IF(AND('制度詳細'!$J$20&gt;=BG$5,'制度詳細'!$J$20&lt;=EOMONTH(BG$5,0)),"◆","")),IF(MAX('制度詳細'!$H$20,BG$5)&lt;=MIN(IF('制度詳細'!$I$20="",EOMONTH(BG$5,0),'制度詳細'!$I$20),EOMONTH(BG$5,0)),"■",IF(AND('制度詳細'!$J$20&lt;&gt;"",'制度詳細'!$J$20&gt;=BG$5,'制度詳細'!$J$20&lt;=EOMONTH(BG$5,0)),"◆","")))</x:f>
      </x:c>
      <x:c r="BH20" s="57" t="str">
        <x:f>IF('制度詳細'!$H$20="",IF('制度詳細'!$J$20="","",IF(AND('制度詳細'!$J$20&gt;=BH$5,'制度詳細'!$J$20&lt;=EOMONTH(BH$5,0)),"◆","")),IF(MAX('制度詳細'!$H$20,BH$5)&lt;=MIN(IF('制度詳細'!$I$20="",EOMONTH(BH$5,0),'制度詳細'!$I$20),EOMONTH(BH$5,0)),"■",IF(AND('制度詳細'!$J$20&lt;&gt;"",'制度詳細'!$J$20&gt;=BH$5,'制度詳細'!$J$20&lt;=EOMONTH(BH$5,0)),"◆","")))</x:f>
      </x:c>
      <x:c r="BI20" s="57" t="str">
        <x:f>IF('制度詳細'!$H$20="",IF('制度詳細'!$J$20="","",IF(AND('制度詳細'!$J$20&gt;=BI$5,'制度詳細'!$J$20&lt;=EOMONTH(BI$5,0)),"◆","")),IF(MAX('制度詳細'!$H$20,BI$5)&lt;=MIN(IF('制度詳細'!$I$20="",EOMONTH(BI$5,0),'制度詳細'!$I$20),EOMONTH(BI$5,0)),"■",IF(AND('制度詳細'!$J$20&lt;&gt;"",'制度詳細'!$J$20&gt;=BI$5,'制度詳細'!$J$20&lt;=EOMONTH(BI$5,0)),"◆","")))</x:f>
      </x:c>
      <x:c r="BJ20" s="57" t="str">
        <x:f>IF('制度詳細'!$H$20="",IF('制度詳細'!$J$20="","",IF(AND('制度詳細'!$J$20&gt;=BJ$5,'制度詳細'!$J$20&lt;=EOMONTH(BJ$5,0)),"◆","")),IF(MAX('制度詳細'!$H$20,BJ$5)&lt;=MIN(IF('制度詳細'!$I$20="",EOMONTH(BJ$5,0),'制度詳細'!$I$20),EOMONTH(BJ$5,0)),"■",IF(AND('制度詳細'!$J$20&lt;&gt;"",'制度詳細'!$J$20&gt;=BJ$5,'制度詳細'!$J$20&lt;=EOMONTH(BJ$5,0)),"◆","")))</x:f>
      </x:c>
      <x:c r="BK20" s="57" t="str">
        <x:f>IF('制度詳細'!$H$20="",IF('制度詳細'!$J$20="","",IF(AND('制度詳細'!$J$20&gt;=BK$5,'制度詳細'!$J$20&lt;=EOMONTH(BK$5,0)),"◆","")),IF(MAX('制度詳細'!$H$20,BK$5)&lt;=MIN(IF('制度詳細'!$I$20="",EOMONTH(BK$5,0),'制度詳細'!$I$20),EOMONTH(BK$5,0)),"■",IF(AND('制度詳細'!$J$20&lt;&gt;"",'制度詳細'!$J$20&gt;=BK$5,'制度詳細'!$J$20&lt;=EOMONTH(BK$5,0)),"◆","")))</x:f>
      </x:c>
      <x:c r="BL20" s="57" t="str">
        <x:f>IF('制度詳細'!$H$20="",IF('制度詳細'!$J$20="","",IF(AND('制度詳細'!$J$20&gt;=BL$5,'制度詳細'!$J$20&lt;=EOMONTH(BL$5,0)),"◆","")),IF(MAX('制度詳細'!$H$20,BL$5)&lt;=MIN(IF('制度詳細'!$I$20="",EOMONTH(BL$5,0),'制度詳細'!$I$20),EOMONTH(BL$5,0)),"■",IF(AND('制度詳細'!$J$20&lt;&gt;"",'制度詳細'!$J$20&gt;=BL$5,'制度詳細'!$J$20&lt;=EOMONTH(BL$5,0)),"◆","")))</x:f>
      </x:c>
      <x:c r="BM20" s="57" t="str">
        <x:f>IF('制度詳細'!$H$20="",IF('制度詳細'!$J$20="","",IF(AND('制度詳細'!$J$20&gt;=BM$5,'制度詳細'!$J$20&lt;=EOMONTH(BM$5,0)),"◆","")),IF(MAX('制度詳細'!$H$20,BM$5)&lt;=MIN(IF('制度詳細'!$I$20="",EOMONTH(BM$5,0),'制度詳細'!$I$20),EOMONTH(BM$5,0)),"■",IF(AND('制度詳細'!$J$20&lt;&gt;"",'制度詳細'!$J$20&gt;=BM$5,'制度詳細'!$J$20&lt;=EOMONTH(BM$5,0)),"◆","")))</x:f>
      </x:c>
      <x:c r="BN20" s="57" t="str">
        <x:f>IF('制度詳細'!$H$20="",IF('制度詳細'!$J$20="","",IF(AND('制度詳細'!$J$20&gt;=BN$5,'制度詳細'!$J$20&lt;=EOMONTH(BN$5,0)),"◆","")),IF(MAX('制度詳細'!$H$20,BN$5)&lt;=MIN(IF('制度詳細'!$I$20="",EOMONTH(BN$5,0),'制度詳細'!$I$20),EOMONTH(BN$5,0)),"■",IF(AND('制度詳細'!$J$20&lt;&gt;"",'制度詳細'!$J$20&gt;=BN$5,'制度詳細'!$J$20&lt;=EOMONTH(BN$5,0)),"◆","")))</x:f>
      </x:c>
      <x:c r="BO20" s="57" t="str">
        <x:f>IF('制度詳細'!$H$20="",IF('制度詳細'!$J$20="","",IF(AND('制度詳細'!$J$20&gt;=BO$5,'制度詳細'!$J$20&lt;=EOMONTH(BO$5,0)),"◆","")),IF(MAX('制度詳細'!$H$20,BO$5)&lt;=MIN(IF('制度詳細'!$I$20="",EOMONTH(BO$5,0),'制度詳細'!$I$20),EOMONTH(BO$5,0)),"■",IF(AND('制度詳細'!$J$20&lt;&gt;"",'制度詳細'!$J$20&gt;=BO$5,'制度詳細'!$J$20&lt;=EOMONTH(BO$5,0)),"◆","")))</x:f>
      </x:c>
      <x:c r="BP20" s="57" t="str">
        <x:f>IF('制度詳細'!$H$20="",IF('制度詳細'!$J$20="","",IF(AND('制度詳細'!$J$20&gt;=BP$5,'制度詳細'!$J$20&lt;=EOMONTH(BP$5,0)),"◆","")),IF(MAX('制度詳細'!$H$20,BP$5)&lt;=MIN(IF('制度詳細'!$I$20="",EOMONTH(BP$5,0),'制度詳細'!$I$20),EOMONTH(BP$5,0)),"■",IF(AND('制度詳細'!$J$20&lt;&gt;"",'制度詳細'!$J$20&gt;=BP$5,'制度詳細'!$J$20&lt;=EOMONTH(BP$5,0)),"◆","")))</x:f>
      </x:c>
      <x:c r="BQ20" s="57" t="str">
        <x:f>IF('制度詳細'!$H$20="",IF('制度詳細'!$J$20="","",IF(AND('制度詳細'!$J$20&gt;=BQ$5,'制度詳細'!$J$20&lt;=EOMONTH(BQ$5,0)),"◆","")),IF(MAX('制度詳細'!$H$20,BQ$5)&lt;=MIN(IF('制度詳細'!$I$20="",EOMONTH(BQ$5,0),'制度詳細'!$I$20),EOMONTH(BQ$5,0)),"■",IF(AND('制度詳細'!$J$20&lt;&gt;"",'制度詳細'!$J$20&gt;=BQ$5,'制度詳細'!$J$20&lt;=EOMONTH(BQ$5,0)),"◆","")))</x:f>
      </x:c>
      <x:c r="BR20" s="57" t="str">
        <x:f>IF('制度詳細'!$H$20="",IF('制度詳細'!$J$20="","",IF(AND('制度詳細'!$J$20&gt;=BR$5,'制度詳細'!$J$20&lt;=EOMONTH(BR$5,0)),"◆","")),IF(MAX('制度詳細'!$H$20,BR$5)&lt;=MIN(IF('制度詳細'!$I$20="",EOMONTH(BR$5,0),'制度詳細'!$I$20),EOMONTH(BR$5,0)),"■",IF(AND('制度詳細'!$J$20&lt;&gt;"",'制度詳細'!$J$20&gt;=BR$5,'制度詳細'!$J$20&lt;=EOMONTH(BR$5,0)),"◆","")))</x:f>
      </x:c>
      <x:c r="BS20" s="57" t="str">
        <x:f>IF('制度詳細'!$H$20="",IF('制度詳細'!$J$20="","",IF(AND('制度詳細'!$J$20&gt;=BS$5,'制度詳細'!$J$20&lt;=EOMONTH(BS$5,0)),"◆","")),IF(MAX('制度詳細'!$H$20,BS$5)&lt;=MIN(IF('制度詳細'!$I$20="",EOMONTH(BS$5,0),'制度詳細'!$I$20),EOMONTH(BS$5,0)),"■",IF(AND('制度詳細'!$J$20&lt;&gt;"",'制度詳細'!$J$20&gt;=BS$5,'制度詳細'!$J$20&lt;=EOMONTH(BS$5,0)),"◆","")))</x:f>
      </x:c>
      <x:c r="BT20" s="57" t="str">
        <x:f>IF('制度詳細'!$H$20="",IF('制度詳細'!$J$20="","",IF(AND('制度詳細'!$J$20&gt;=BT$5,'制度詳細'!$J$20&lt;=EOMONTH(BT$5,0)),"◆","")),IF(MAX('制度詳細'!$H$20,BT$5)&lt;=MIN(IF('制度詳細'!$I$20="",EOMONTH(BT$5,0),'制度詳細'!$I$20),EOMONTH(BT$5,0)),"■",IF(AND('制度詳細'!$J$20&lt;&gt;"",'制度詳細'!$J$20&gt;=BT$5,'制度詳細'!$J$20&lt;=EOMONTH(BT$5,0)),"◆","")))</x:f>
      </x:c>
      <x:c r="BU20" s="57" t="str">
        <x:f>IF('制度詳細'!$H$20="",IF('制度詳細'!$J$20="","",IF(AND('制度詳細'!$J$20&gt;=BU$5,'制度詳細'!$J$20&lt;=EOMONTH(BU$5,0)),"◆","")),IF(MAX('制度詳細'!$H$20,BU$5)&lt;=MIN(IF('制度詳細'!$I$20="",EOMONTH(BU$5,0),'制度詳細'!$I$20),EOMONTH(BU$5,0)),"■",IF(AND('制度詳細'!$J$20&lt;&gt;"",'制度詳細'!$J$20&gt;=BU$5,'制度詳細'!$J$20&lt;=EOMONTH(BU$5,0)),"◆","")))</x:f>
      </x:c>
      <x:c r="BV20" s="57" t="str">
        <x:f>IF('制度詳細'!$H$20="",IF('制度詳細'!$J$20="","",IF(AND('制度詳細'!$J$20&gt;=BV$5,'制度詳細'!$J$20&lt;=EOMONTH(BV$5,0)),"◆","")),IF(MAX('制度詳細'!$H$20,BV$5)&lt;=MIN(IF('制度詳細'!$I$20="",EOMONTH(BV$5,0),'制度詳細'!$I$20),EOMONTH(BV$5,0)),"■",IF(AND('制度詳細'!$J$20&lt;&gt;"",'制度詳細'!$J$20&gt;=BV$5,'制度詳細'!$J$20&lt;=EOMONTH(BV$5,0)),"◆","")))</x:f>
      </x:c>
      <x:c r="BW20" s="57" t="str">
        <x:f>IF('制度詳細'!$H$20="",IF('制度詳細'!$J$20="","",IF(AND('制度詳細'!$J$20&gt;=BW$5,'制度詳細'!$J$20&lt;=EOMONTH(BW$5,0)),"◆","")),IF(MAX('制度詳細'!$H$20,BW$5)&lt;=MIN(IF('制度詳細'!$I$20="",EOMONTH(BW$5,0),'制度詳細'!$I$20),EOMONTH(BW$5,0)),"■",IF(AND('制度詳細'!$J$20&lt;&gt;"",'制度詳細'!$J$20&gt;=BW$5,'制度詳細'!$J$20&lt;=EOMONTH(BW$5,0)),"◆","")))</x:f>
      </x:c>
      <x:c r="BX20" s="57" t="str">
        <x:f>IF('制度詳細'!$H$20="",IF('制度詳細'!$J$20="","",IF(AND('制度詳細'!$J$20&gt;=BX$5,'制度詳細'!$J$20&lt;=EOMONTH(BX$5,0)),"◆","")),IF(MAX('制度詳細'!$H$20,BX$5)&lt;=MIN(IF('制度詳細'!$I$20="",EOMONTH(BX$5,0),'制度詳細'!$I$20),EOMONTH(BX$5,0)),"■",IF(AND('制度詳細'!$J$20&lt;&gt;"",'制度詳細'!$J$20&gt;=BX$5,'制度詳細'!$J$20&lt;=EOMONTH(BX$5,0)),"◆","")))</x:f>
      </x:c>
      <x:c r="BY20" s="57" t="str">
        <x:f>IF('制度詳細'!$H$20="",IF('制度詳細'!$J$20="","",IF(AND('制度詳細'!$J$20&gt;=BY$5,'制度詳細'!$J$20&lt;=EOMONTH(BY$5,0)),"◆","")),IF(MAX('制度詳細'!$H$20,BY$5)&lt;=MIN(IF('制度詳細'!$I$20="",EOMONTH(BY$5,0),'制度詳細'!$I$20),EOMONTH(BY$5,0)),"■",IF(AND('制度詳細'!$J$20&lt;&gt;"",'制度詳細'!$J$20&gt;=BY$5,'制度詳細'!$J$20&lt;=EOMONTH(BY$5,0)),"◆","")))</x:f>
        <x:v>■</x:v>
      </x:c>
      <x:c r="BZ20" s="57" t="str">
        <x:f>IF('制度詳細'!$H$20="",IF('制度詳細'!$J$20="","",IF(AND('制度詳細'!$J$20&gt;=BZ$5,'制度詳細'!$J$20&lt;=EOMONTH(BZ$5,0)),"◆","")),IF(MAX('制度詳細'!$H$20,BZ$5)&lt;=MIN(IF('制度詳細'!$I$20="",EOMONTH(BZ$5,0),'制度詳細'!$I$20),EOMONTH(BZ$5,0)),"■",IF(AND('制度詳細'!$J$20&lt;&gt;"",'制度詳細'!$J$20&gt;=BZ$5,'制度詳細'!$J$20&lt;=EOMONTH(BZ$5,0)),"◆","")))</x:f>
      </x:c>
      <x:c r="CA20" s="57" t="str">
        <x:f>IF('制度詳細'!$H$20="",IF('制度詳細'!$J$20="","",IF(AND('制度詳細'!$J$20&gt;=CA$5,'制度詳細'!$J$20&lt;=EOMONTH(CA$5,0)),"◆","")),IF(MAX('制度詳細'!$H$20,CA$5)&lt;=MIN(IF('制度詳細'!$I$20="",EOMONTH(CA$5,0),'制度詳細'!$I$20),EOMONTH(CA$5,0)),"■",IF(AND('制度詳細'!$J$20&lt;&gt;"",'制度詳細'!$J$20&gt;=CA$5,'制度詳細'!$J$20&lt;=EOMONTH(CA$5,0)),"◆","")))</x:f>
      </x:c>
      <x:c r="CB20" s="57" t="str">
        <x:f>IF('制度詳細'!$H$20="",IF('制度詳細'!$J$20="","",IF(AND('制度詳細'!$J$20&gt;=CB$5,'制度詳細'!$J$20&lt;=EOMONTH(CB$5,0)),"◆","")),IF(MAX('制度詳細'!$H$20,CB$5)&lt;=MIN(IF('制度詳細'!$I$20="",EOMONTH(CB$5,0),'制度詳細'!$I$20),EOMONTH(CB$5,0)),"■",IF(AND('制度詳細'!$J$20&lt;&gt;"",'制度詳細'!$J$20&gt;=CB$5,'制度詳細'!$J$20&lt;=EOMONTH(CB$5,0)),"◆","")))</x:f>
      </x:c>
      <x:c r="CC20" s="57" t="str">
        <x:f>IF('制度詳細'!$H$20="",IF('制度詳細'!$J$20="","",IF(AND('制度詳細'!$J$20&gt;=CC$5,'制度詳細'!$J$20&lt;=EOMONTH(CC$5,0)),"◆","")),IF(MAX('制度詳細'!$H$20,CC$5)&lt;=MIN(IF('制度詳細'!$I$20="",EOMONTH(CC$5,0),'制度詳細'!$I$20),EOMONTH(CC$5,0)),"■",IF(AND('制度詳細'!$J$20&lt;&gt;"",'制度詳細'!$J$20&gt;=CC$5,'制度詳細'!$J$20&lt;=EOMONTH(CC$5,0)),"◆","")))</x:f>
      </x:c>
      <x:c r="CD20" s="57" t="str">
        <x:f>IF('制度詳細'!$H$20="",IF('制度詳細'!$J$20="","",IF(AND('制度詳細'!$J$20&gt;=CD$5,'制度詳細'!$J$20&lt;=EOMONTH(CD$5,0)),"◆","")),IF(MAX('制度詳細'!$H$20,CD$5)&lt;=MIN(IF('制度詳細'!$I$20="",EOMONTH(CD$5,0),'制度詳細'!$I$20),EOMONTH(CD$5,0)),"■",IF(AND('制度詳細'!$J$20&lt;&gt;"",'制度詳細'!$J$20&gt;=CD$5,'制度詳細'!$J$20&lt;=EOMONTH(CD$5,0)),"◆","")))</x:f>
      </x:c>
      <x:c r="CE20" s="57" t="str">
        <x:f>IF('制度詳細'!$H$20="",IF('制度詳細'!$J$20="","",IF(AND('制度詳細'!$J$20&gt;=CE$5,'制度詳細'!$J$20&lt;=EOMONTH(CE$5,0)),"◆","")),IF(MAX('制度詳細'!$H$20,CE$5)&lt;=MIN(IF('制度詳細'!$I$20="",EOMONTH(CE$5,0),'制度詳細'!$I$20),EOMONTH(CE$5,0)),"■",IF(AND('制度詳細'!$J$20&lt;&gt;"",'制度詳細'!$J$20&gt;=CE$5,'制度詳細'!$J$20&lt;=EOMONTH(CE$5,0)),"◆","")))</x:f>
      </x:c>
      <x:c r="CF20" s="57" t="str">
        <x:f>IF('制度詳細'!$H$20="",IF('制度詳細'!$J$20="","",IF(AND('制度詳細'!$J$20&gt;=CF$5,'制度詳細'!$J$20&lt;=EOMONTH(CF$5,0)),"◆","")),IF(MAX('制度詳細'!$H$20,CF$5)&lt;=MIN(IF('制度詳細'!$I$20="",EOMONTH(CF$5,0),'制度詳細'!$I$20),EOMONTH(CF$5,0)),"■",IF(AND('制度詳細'!$J$20&lt;&gt;"",'制度詳細'!$J$20&gt;=CF$5,'制度詳細'!$J$20&lt;=EOMONTH(CF$5,0)),"◆","")))</x:f>
      </x:c>
      <x:c r="CG20" s="57" t="str">
        <x:f>IF('制度詳細'!$H$20="",IF('制度詳細'!$J$20="","",IF(AND('制度詳細'!$J$20&gt;=CG$5,'制度詳細'!$J$20&lt;=EOMONTH(CG$5,0)),"◆","")),IF(MAX('制度詳細'!$H$20,CG$5)&lt;=MIN(IF('制度詳細'!$I$20="",EOMONTH(CG$5,0),'制度詳細'!$I$20),EOMONTH(CG$5,0)),"■",IF(AND('制度詳細'!$J$20&lt;&gt;"",'制度詳細'!$J$20&gt;=CG$5,'制度詳細'!$J$20&lt;=EOMONTH(CG$5,0)),"◆","")))</x:f>
      </x:c>
      <x:c r="CH20" s="57" t="str">
        <x:f>IF('制度詳細'!$H$20="",IF('制度詳細'!$J$20="","",IF(AND('制度詳細'!$J$20&gt;=CH$5,'制度詳細'!$J$20&lt;=EOMONTH(CH$5,0)),"◆","")),IF(MAX('制度詳細'!$H$20,CH$5)&lt;=MIN(IF('制度詳細'!$I$20="",EOMONTH(CH$5,0),'制度詳細'!$I$20),EOMONTH(CH$5,0)),"■",IF(AND('制度詳細'!$J$20&lt;&gt;"",'制度詳細'!$J$20&gt;=CH$5,'制度詳細'!$J$20&lt;=EOMONTH(CH$5,0)),"◆","")))</x:f>
      </x:c>
      <x:c r="CI20" s="57" t="str">
        <x:f>IF('制度詳細'!$H$20="",IF('制度詳細'!$J$20="","",IF(AND('制度詳細'!$J$20&gt;=CI$5,'制度詳細'!$J$20&lt;=EOMONTH(CI$5,0)),"◆","")),IF(MAX('制度詳細'!$H$20,CI$5)&lt;=MIN(IF('制度詳細'!$I$20="",EOMONTH(CI$5,0),'制度詳細'!$I$20),EOMONTH(CI$5,0)),"■",IF(AND('制度詳細'!$J$20&lt;&gt;"",'制度詳細'!$J$20&gt;=CI$5,'制度詳細'!$J$20&lt;=EOMONTH(CI$5,0)),"◆","")))</x:f>
      </x:c>
      <x:c r="CJ20" s="57" t="str">
        <x:f>IF('制度詳細'!$H$20="",IF('制度詳細'!$J$20="","",IF(AND('制度詳細'!$J$20&gt;=CJ$5,'制度詳細'!$J$20&lt;=EOMONTH(CJ$5,0)),"◆","")),IF(MAX('制度詳細'!$H$20,CJ$5)&lt;=MIN(IF('制度詳細'!$I$20="",EOMONTH(CJ$5,0),'制度詳細'!$I$20),EOMONTH(CJ$5,0)),"■",IF(AND('制度詳細'!$J$20&lt;&gt;"",'制度詳細'!$J$20&gt;=CJ$5,'制度詳細'!$J$20&lt;=EOMONTH(CJ$5,0)),"◆","")))</x:f>
      </x:c>
      <x:c r="CK20" s="57" t="str">
        <x:f>IF('制度詳細'!$H$20="",IF('制度詳細'!$J$20="","",IF(AND('制度詳細'!$J$20&gt;=CK$5,'制度詳細'!$J$20&lt;=EOMONTH(CK$5,0)),"◆","")),IF(MAX('制度詳細'!$H$20,CK$5)&lt;=MIN(IF('制度詳細'!$I$20="",EOMONTH(CK$5,0),'制度詳細'!$I$20),EOMONTH(CK$5,0)),"■",IF(AND('制度詳細'!$J$20&lt;&gt;"",'制度詳細'!$J$20&gt;=CK$5,'制度詳細'!$J$20&lt;=EOMONTH(CK$5,0)),"◆","")))</x:f>
      </x:c>
      <x:c r="CL20" s="57" t="str">
        <x:f>IF('制度詳細'!$H$20="",IF('制度詳細'!$J$20="","",IF(AND('制度詳細'!$J$20&gt;=CL$5,'制度詳細'!$J$20&lt;=EOMONTH(CL$5,0)),"◆","")),IF(MAX('制度詳細'!$H$20,CL$5)&lt;=MIN(IF('制度詳細'!$I$20="",EOMONTH(CL$5,0),'制度詳細'!$I$20),EOMONTH(CL$5,0)),"■",IF(AND('制度詳細'!$J$20&lt;&gt;"",'制度詳細'!$J$20&gt;=CL$5,'制度詳細'!$J$20&lt;=EOMONTH(CL$5,0)),"◆","")))</x:f>
      </x:c>
      <x:c r="CM20" s="57" t="str">
        <x:f>IF('制度詳細'!$H$20="",IF('制度詳細'!$J$20="","",IF(AND('制度詳細'!$J$20&gt;=CM$5,'制度詳細'!$J$20&lt;=EOMONTH(CM$5,0)),"◆","")),IF(MAX('制度詳細'!$H$20,CM$5)&lt;=MIN(IF('制度詳細'!$I$20="",EOMONTH(CM$5,0),'制度詳細'!$I$20),EOMONTH(CM$5,0)),"■",IF(AND('制度詳細'!$J$20&lt;&gt;"",'制度詳細'!$J$20&gt;=CM$5,'制度詳細'!$J$20&lt;=EOMONTH(CM$5,0)),"◆","")))</x:f>
      </x:c>
      <x:c r="CN20" s="57" t="str">
        <x:f>IF('制度詳細'!$H$20="",IF('制度詳細'!$J$20="","",IF(AND('制度詳細'!$J$20&gt;=CN$5,'制度詳細'!$J$20&lt;=EOMONTH(CN$5,0)),"◆","")),IF(MAX('制度詳細'!$H$20,CN$5)&lt;=MIN(IF('制度詳細'!$I$20="",EOMONTH(CN$5,0),'制度詳細'!$I$20),EOMONTH(CN$5,0)),"■",IF(AND('制度詳細'!$J$20&lt;&gt;"",'制度詳細'!$J$20&gt;=CN$5,'制度詳細'!$J$20&lt;=EOMONTH(CN$5,0)),"◆","")))</x:f>
      </x:c>
      <x:c r="CO20" s="57" t="str">
        <x:f>IF('制度詳細'!$H$20="",IF('制度詳細'!$J$20="","",IF(AND('制度詳細'!$J$20&gt;=CO$5,'制度詳細'!$J$20&lt;=EOMONTH(CO$5,0)),"◆","")),IF(MAX('制度詳細'!$H$20,CO$5)&lt;=MIN(IF('制度詳細'!$I$20="",EOMONTH(CO$5,0),'制度詳細'!$I$20),EOMONTH(CO$5,0)),"■",IF(AND('制度詳細'!$J$20&lt;&gt;"",'制度詳細'!$J$20&gt;=CO$5,'制度詳細'!$J$20&lt;=EOMONTH(CO$5,0)),"◆","")))</x:f>
      </x:c>
      <x:c r="CP20" s="57" t="str">
        <x:f>IF('制度詳細'!$H$20="",IF('制度詳細'!$J$20="","",IF(AND('制度詳細'!$J$20&gt;=CP$5,'制度詳細'!$J$20&lt;=EOMONTH(CP$5,0)),"◆","")),IF(MAX('制度詳細'!$H$20,CP$5)&lt;=MIN(IF('制度詳細'!$I$20="",EOMONTH(CP$5,0),'制度詳細'!$I$20),EOMONTH(CP$5,0)),"■",IF(AND('制度詳細'!$J$20&lt;&gt;"",'制度詳細'!$J$20&gt;=CP$5,'制度詳細'!$J$20&lt;=EOMONTH(CP$5,0)),"◆","")))</x:f>
      </x:c>
      <x:c r="CQ20" s="57" t="str">
        <x:f>IF('制度詳細'!$H$20="",IF('制度詳細'!$J$20="","",IF(AND('制度詳細'!$J$20&gt;=CQ$5,'制度詳細'!$J$20&lt;=EOMONTH(CQ$5,0)),"◆","")),IF(MAX('制度詳細'!$H$20,CQ$5)&lt;=MIN(IF('制度詳細'!$I$20="",EOMONTH(CQ$5,0),'制度詳細'!$I$20),EOMONTH(CQ$5,0)),"■",IF(AND('制度詳細'!$J$20&lt;&gt;"",'制度詳細'!$J$20&gt;=CQ$5,'制度詳細'!$J$20&lt;=EOMONTH(CQ$5,0)),"◆","")))</x:f>
      </x:c>
      <x:c r="CR20" s="57" t="str">
        <x:f>IF('制度詳細'!$H$20="",IF('制度詳細'!$J$20="","",IF(AND('制度詳細'!$J$20&gt;=CR$5,'制度詳細'!$J$20&lt;=EOMONTH(CR$5,0)),"◆","")),IF(MAX('制度詳細'!$H$20,CR$5)&lt;=MIN(IF('制度詳細'!$I$20="",EOMONTH(CR$5,0),'制度詳細'!$I$20),EOMONTH(CR$5,0)),"■",IF(AND('制度詳細'!$J$20&lt;&gt;"",'制度詳細'!$J$20&gt;=CR$5,'制度詳細'!$J$20&lt;=EOMONTH(CR$5,0)),"◆","")))</x:f>
      </x:c>
      <x:c r="CS20" s="57" t="str">
        <x:f>IF('制度詳細'!$H$20="",IF('制度詳細'!$J$20="","",IF(AND('制度詳細'!$J$20&gt;=CS$5,'制度詳細'!$J$20&lt;=EOMONTH(CS$5,0)),"◆","")),IF(MAX('制度詳細'!$H$20,CS$5)&lt;=MIN(IF('制度詳細'!$I$20="",EOMONTH(CS$5,0),'制度詳細'!$I$20),EOMONTH(CS$5,0)),"■",IF(AND('制度詳細'!$J$20&lt;&gt;"",'制度詳細'!$J$20&gt;=CS$5,'制度詳細'!$J$20&lt;=EOMONTH(CS$5,0)),"◆","")))</x:f>
      </x:c>
      <x:c r="CT20" s="57" t="str">
        <x:f>IF('制度詳細'!$H$20="",IF('制度詳細'!$J$20="","",IF(AND('制度詳細'!$J$20&gt;=CT$5,'制度詳細'!$J$20&lt;=EOMONTH(CT$5,0)),"◆","")),IF(MAX('制度詳細'!$H$20,CT$5)&lt;=MIN(IF('制度詳細'!$I$20="",EOMONTH(CT$5,0),'制度詳細'!$I$20),EOMONTH(CT$5,0)),"■",IF(AND('制度詳細'!$J$20&lt;&gt;"",'制度詳細'!$J$20&gt;=CT$5,'制度詳細'!$J$20&lt;=EOMONTH(CT$5,0)),"◆","")))</x:f>
      </x:c>
      <x:c r="CU20" s="57" t="str">
        <x:f>IF('制度詳細'!$H$20="",IF('制度詳細'!$J$20="","",IF(AND('制度詳細'!$J$20&gt;=CU$5,'制度詳細'!$J$20&lt;=EOMONTH(CU$5,0)),"◆","")),IF(MAX('制度詳細'!$H$20,CU$5)&lt;=MIN(IF('制度詳細'!$I$20="",EOMONTH(CU$5,0),'制度詳細'!$I$20),EOMONTH(CU$5,0)),"■",IF(AND('制度詳細'!$J$20&lt;&gt;"",'制度詳細'!$J$20&gt;=CU$5,'制度詳細'!$J$20&lt;=EOMONTH(CU$5,0)),"◆","")))</x:f>
      </x:c>
      <x:c r="CV20" s="57" t="str">
        <x:f>IF('制度詳細'!$H$20="",IF('制度詳細'!$J$20="","",IF(AND('制度詳細'!$J$20&gt;=CV$5,'制度詳細'!$J$20&lt;=EOMONTH(CV$5,0)),"◆","")),IF(MAX('制度詳細'!$H$20,CV$5)&lt;=MIN(IF('制度詳細'!$I$20="",EOMONTH(CV$5,0),'制度詳細'!$I$20),EOMONTH(CV$5,0)),"■",IF(AND('制度詳細'!$J$20&lt;&gt;"",'制度詳細'!$J$20&gt;=CV$5,'制度詳細'!$J$20&lt;=EOMONTH(CV$5,0)),"◆","")))</x:f>
      </x:c>
      <x:c r="CW20" s="1"/>
      <x:c r="CX20" s="1"/>
      <x:c r="CY20" s="1"/>
      <x:c r="CZ20" s="1"/>
      <x:c r="DA20" s="1"/>
      <x:c r="DB20" s="1"/>
      <x:c r="DC20" s="1"/>
      <x:c r="DD20" s="1"/>
    </x:row>
    <x:row r="21" ht="27" customHeight="1">
      <x:c r="A21" s="58" t="str">
        <x:v>ID07</x:v>
      </x:c>
      <x:c r="B21" s="58" t="str">
        <x:v>インドネシア</x:v>
      </x:c>
      <x:c r="C21" s="58" t="str">
        <x:v>輸入分の補填生産期限</x:v>
      </x:c>
      <x:c r="D21" s="58" t="str">
        <x:v>BEV</x:v>
      </x:c>
      <x:c r="E21" s="57" t="str">
        <x:f>IF('制度詳細'!$H$21="",IF('制度詳細'!$J$21="","",IF(AND('制度詳細'!$J$21&gt;=E$5,'制度詳細'!$J$21&lt;=EOMONTH(E$5,0)),"◆","")),IF(MAX('制度詳細'!$H$21,E$5)&lt;=MIN(IF('制度詳細'!$I$21="",EOMONTH(E$5,0),'制度詳細'!$I$21),EOMONTH(E$5,0)),"■",IF(AND('制度詳細'!$J$21&lt;&gt;"",'制度詳細'!$J$21&gt;=E$5,'制度詳細'!$J$21&lt;=EOMONTH(E$5,0)),"◆","")))</x:f>
      </x:c>
      <x:c r="F21" s="57" t="str">
        <x:f>IF('制度詳細'!$H$21="",IF('制度詳細'!$J$21="","",IF(AND('制度詳細'!$J$21&gt;=F$5,'制度詳細'!$J$21&lt;=EOMONTH(F$5,0)),"◆","")),IF(MAX('制度詳細'!$H$21,F$5)&lt;=MIN(IF('制度詳細'!$I$21="",EOMONTH(F$5,0),'制度詳細'!$I$21),EOMONTH(F$5,0)),"■",IF(AND('制度詳細'!$J$21&lt;&gt;"",'制度詳細'!$J$21&gt;=F$5,'制度詳細'!$J$21&lt;=EOMONTH(F$5,0)),"◆","")))</x:f>
      </x:c>
      <x:c r="G21" s="57" t="str">
        <x:f>IF('制度詳細'!$H$21="",IF('制度詳細'!$J$21="","",IF(AND('制度詳細'!$J$21&gt;=G$5,'制度詳細'!$J$21&lt;=EOMONTH(G$5,0)),"◆","")),IF(MAX('制度詳細'!$H$21,G$5)&lt;=MIN(IF('制度詳細'!$I$21="",EOMONTH(G$5,0),'制度詳細'!$I$21),EOMONTH(G$5,0)),"■",IF(AND('制度詳細'!$J$21&lt;&gt;"",'制度詳細'!$J$21&gt;=G$5,'制度詳細'!$J$21&lt;=EOMONTH(G$5,0)),"◆","")))</x:f>
      </x:c>
      <x:c r="H21" s="57" t="str">
        <x:f>IF('制度詳細'!$H$21="",IF('制度詳細'!$J$21="","",IF(AND('制度詳細'!$J$21&gt;=H$5,'制度詳細'!$J$21&lt;=EOMONTH(H$5,0)),"◆","")),IF(MAX('制度詳細'!$H$21,H$5)&lt;=MIN(IF('制度詳細'!$I$21="",EOMONTH(H$5,0),'制度詳細'!$I$21),EOMONTH(H$5,0)),"■",IF(AND('制度詳細'!$J$21&lt;&gt;"",'制度詳細'!$J$21&gt;=H$5,'制度詳細'!$J$21&lt;=EOMONTH(H$5,0)),"◆","")))</x:f>
      </x:c>
      <x:c r="I21" s="57" t="str">
        <x:f>IF('制度詳細'!$H$21="",IF('制度詳細'!$J$21="","",IF(AND('制度詳細'!$J$21&gt;=I$5,'制度詳細'!$J$21&lt;=EOMONTH(I$5,0)),"◆","")),IF(MAX('制度詳細'!$H$21,I$5)&lt;=MIN(IF('制度詳細'!$I$21="",EOMONTH(I$5,0),'制度詳細'!$I$21),EOMONTH(I$5,0)),"■",IF(AND('制度詳細'!$J$21&lt;&gt;"",'制度詳細'!$J$21&gt;=I$5,'制度詳細'!$J$21&lt;=EOMONTH(I$5,0)),"◆","")))</x:f>
      </x:c>
      <x:c r="J21" s="57" t="str">
        <x:f>IF('制度詳細'!$H$21="",IF('制度詳細'!$J$21="","",IF(AND('制度詳細'!$J$21&gt;=J$5,'制度詳細'!$J$21&lt;=EOMONTH(J$5,0)),"◆","")),IF(MAX('制度詳細'!$H$21,J$5)&lt;=MIN(IF('制度詳細'!$I$21="",EOMONTH(J$5,0),'制度詳細'!$I$21),EOMONTH(J$5,0)),"■",IF(AND('制度詳細'!$J$21&lt;&gt;"",'制度詳細'!$J$21&gt;=J$5,'制度詳細'!$J$21&lt;=EOMONTH(J$5,0)),"◆","")))</x:f>
      </x:c>
      <x:c r="K21" s="57" t="str">
        <x:f>IF('制度詳細'!$H$21="",IF('制度詳細'!$J$21="","",IF(AND('制度詳細'!$J$21&gt;=K$5,'制度詳細'!$J$21&lt;=EOMONTH(K$5,0)),"◆","")),IF(MAX('制度詳細'!$H$21,K$5)&lt;=MIN(IF('制度詳細'!$I$21="",EOMONTH(K$5,0),'制度詳細'!$I$21),EOMONTH(K$5,0)),"■",IF(AND('制度詳細'!$J$21&lt;&gt;"",'制度詳細'!$J$21&gt;=K$5,'制度詳細'!$J$21&lt;=EOMONTH(K$5,0)),"◆","")))</x:f>
      </x:c>
      <x:c r="L21" s="57" t="str">
        <x:f>IF('制度詳細'!$H$21="",IF('制度詳細'!$J$21="","",IF(AND('制度詳細'!$J$21&gt;=L$5,'制度詳細'!$J$21&lt;=EOMONTH(L$5,0)),"◆","")),IF(MAX('制度詳細'!$H$21,L$5)&lt;=MIN(IF('制度詳細'!$I$21="",EOMONTH(L$5,0),'制度詳細'!$I$21),EOMONTH(L$5,0)),"■",IF(AND('制度詳細'!$J$21&lt;&gt;"",'制度詳細'!$J$21&gt;=L$5,'制度詳細'!$J$21&lt;=EOMONTH(L$5,0)),"◆","")))</x:f>
      </x:c>
      <x:c r="M21" s="57" t="str">
        <x:f>IF('制度詳細'!$H$21="",IF('制度詳細'!$J$21="","",IF(AND('制度詳細'!$J$21&gt;=M$5,'制度詳細'!$J$21&lt;=EOMONTH(M$5,0)),"◆","")),IF(MAX('制度詳細'!$H$21,M$5)&lt;=MIN(IF('制度詳細'!$I$21="",EOMONTH(M$5,0),'制度詳細'!$I$21),EOMONTH(M$5,0)),"■",IF(AND('制度詳細'!$J$21&lt;&gt;"",'制度詳細'!$J$21&gt;=M$5,'制度詳細'!$J$21&lt;=EOMONTH(M$5,0)),"◆","")))</x:f>
      </x:c>
      <x:c r="N21" s="57" t="str">
        <x:f>IF('制度詳細'!$H$21="",IF('制度詳細'!$J$21="","",IF(AND('制度詳細'!$J$21&gt;=N$5,'制度詳細'!$J$21&lt;=EOMONTH(N$5,0)),"◆","")),IF(MAX('制度詳細'!$H$21,N$5)&lt;=MIN(IF('制度詳細'!$I$21="",EOMONTH(N$5,0),'制度詳細'!$I$21),EOMONTH(N$5,0)),"■",IF(AND('制度詳細'!$J$21&lt;&gt;"",'制度詳細'!$J$21&gt;=N$5,'制度詳細'!$J$21&lt;=EOMONTH(N$5,0)),"◆","")))</x:f>
      </x:c>
      <x:c r="O21" s="57" t="str">
        <x:f>IF('制度詳細'!$H$21="",IF('制度詳細'!$J$21="","",IF(AND('制度詳細'!$J$21&gt;=O$5,'制度詳細'!$J$21&lt;=EOMONTH(O$5,0)),"◆","")),IF(MAX('制度詳細'!$H$21,O$5)&lt;=MIN(IF('制度詳細'!$I$21="",EOMONTH(O$5,0),'制度詳細'!$I$21),EOMONTH(O$5,0)),"■",IF(AND('制度詳細'!$J$21&lt;&gt;"",'制度詳細'!$J$21&gt;=O$5,'制度詳細'!$J$21&lt;=EOMONTH(O$5,0)),"◆","")))</x:f>
      </x:c>
      <x:c r="P21" s="57" t="str">
        <x:f>IF('制度詳細'!$H$21="",IF('制度詳細'!$J$21="","",IF(AND('制度詳細'!$J$21&gt;=P$5,'制度詳細'!$J$21&lt;=EOMONTH(P$5,0)),"◆","")),IF(MAX('制度詳細'!$H$21,P$5)&lt;=MIN(IF('制度詳細'!$I$21="",EOMONTH(P$5,0),'制度詳細'!$I$21),EOMONTH(P$5,0)),"■",IF(AND('制度詳細'!$J$21&lt;&gt;"",'制度詳細'!$J$21&gt;=P$5,'制度詳細'!$J$21&lt;=EOMONTH(P$5,0)),"◆","")))</x:f>
      </x:c>
      <x:c r="Q21" s="57" t="str">
        <x:f>IF('制度詳細'!$H$21="",IF('制度詳細'!$J$21="","",IF(AND('制度詳細'!$J$21&gt;=Q$5,'制度詳細'!$J$21&lt;=EOMONTH(Q$5,0)),"◆","")),IF(MAX('制度詳細'!$H$21,Q$5)&lt;=MIN(IF('制度詳細'!$I$21="",EOMONTH(Q$5,0),'制度詳細'!$I$21),EOMONTH(Q$5,0)),"■",IF(AND('制度詳細'!$J$21&lt;&gt;"",'制度詳細'!$J$21&gt;=Q$5,'制度詳細'!$J$21&lt;=EOMONTH(Q$5,0)),"◆","")))</x:f>
      </x:c>
      <x:c r="R21" s="57" t="str">
        <x:f>IF('制度詳細'!$H$21="",IF('制度詳細'!$J$21="","",IF(AND('制度詳細'!$J$21&gt;=R$5,'制度詳細'!$J$21&lt;=EOMONTH(R$5,0)),"◆","")),IF(MAX('制度詳細'!$H$21,R$5)&lt;=MIN(IF('制度詳細'!$I$21="",EOMONTH(R$5,0),'制度詳細'!$I$21),EOMONTH(R$5,0)),"■",IF(AND('制度詳細'!$J$21&lt;&gt;"",'制度詳細'!$J$21&gt;=R$5,'制度詳細'!$J$21&lt;=EOMONTH(R$5,0)),"◆","")))</x:f>
      </x:c>
      <x:c r="S21" s="57" t="str">
        <x:f>IF('制度詳細'!$H$21="",IF('制度詳細'!$J$21="","",IF(AND('制度詳細'!$J$21&gt;=S$5,'制度詳細'!$J$21&lt;=EOMONTH(S$5,0)),"◆","")),IF(MAX('制度詳細'!$H$21,S$5)&lt;=MIN(IF('制度詳細'!$I$21="",EOMONTH(S$5,0),'制度詳細'!$I$21),EOMONTH(S$5,0)),"■",IF(AND('制度詳細'!$J$21&lt;&gt;"",'制度詳細'!$J$21&gt;=S$5,'制度詳細'!$J$21&lt;=EOMONTH(S$5,0)),"◆","")))</x:f>
      </x:c>
      <x:c r="T21" s="57" t="str">
        <x:f>IF('制度詳細'!$H$21="",IF('制度詳細'!$J$21="","",IF(AND('制度詳細'!$J$21&gt;=T$5,'制度詳細'!$J$21&lt;=EOMONTH(T$5,0)),"◆","")),IF(MAX('制度詳細'!$H$21,T$5)&lt;=MIN(IF('制度詳細'!$I$21="",EOMONTH(T$5,0),'制度詳細'!$I$21),EOMONTH(T$5,0)),"■",IF(AND('制度詳細'!$J$21&lt;&gt;"",'制度詳細'!$J$21&gt;=T$5,'制度詳細'!$J$21&lt;=EOMONTH(T$5,0)),"◆","")))</x:f>
      </x:c>
      <x:c r="U21" s="57" t="str">
        <x:f>IF('制度詳細'!$H$21="",IF('制度詳細'!$J$21="","",IF(AND('制度詳細'!$J$21&gt;=U$5,'制度詳細'!$J$21&lt;=EOMONTH(U$5,0)),"◆","")),IF(MAX('制度詳細'!$H$21,U$5)&lt;=MIN(IF('制度詳細'!$I$21="",EOMONTH(U$5,0),'制度詳細'!$I$21),EOMONTH(U$5,0)),"■",IF(AND('制度詳細'!$J$21&lt;&gt;"",'制度詳細'!$J$21&gt;=U$5,'制度詳細'!$J$21&lt;=EOMONTH(U$5,0)),"◆","")))</x:f>
      </x:c>
      <x:c r="V21" s="57" t="str">
        <x:f>IF('制度詳細'!$H$21="",IF('制度詳細'!$J$21="","",IF(AND('制度詳細'!$J$21&gt;=V$5,'制度詳細'!$J$21&lt;=EOMONTH(V$5,0)),"◆","")),IF(MAX('制度詳細'!$H$21,V$5)&lt;=MIN(IF('制度詳細'!$I$21="",EOMONTH(V$5,0),'制度詳細'!$I$21),EOMONTH(V$5,0)),"■",IF(AND('制度詳細'!$J$21&lt;&gt;"",'制度詳細'!$J$21&gt;=V$5,'制度詳細'!$J$21&lt;=EOMONTH(V$5,0)),"◆","")))</x:f>
      </x:c>
      <x:c r="W21" s="57" t="str">
        <x:f>IF('制度詳細'!$H$21="",IF('制度詳細'!$J$21="","",IF(AND('制度詳細'!$J$21&gt;=W$5,'制度詳細'!$J$21&lt;=EOMONTH(W$5,0)),"◆","")),IF(MAX('制度詳細'!$H$21,W$5)&lt;=MIN(IF('制度詳細'!$I$21="",EOMONTH(W$5,0),'制度詳細'!$I$21),EOMONTH(W$5,0)),"■",IF(AND('制度詳細'!$J$21&lt;&gt;"",'制度詳細'!$J$21&gt;=W$5,'制度詳細'!$J$21&lt;=EOMONTH(W$5,0)),"◆","")))</x:f>
      </x:c>
      <x:c r="X21" s="57" t="str">
        <x:f>IF('制度詳細'!$H$21="",IF('制度詳細'!$J$21="","",IF(AND('制度詳細'!$J$21&gt;=X$5,'制度詳細'!$J$21&lt;=EOMONTH(X$5,0)),"◆","")),IF(MAX('制度詳細'!$H$21,X$5)&lt;=MIN(IF('制度詳細'!$I$21="",EOMONTH(X$5,0),'制度詳細'!$I$21),EOMONTH(X$5,0)),"■",IF(AND('制度詳細'!$J$21&lt;&gt;"",'制度詳細'!$J$21&gt;=X$5,'制度詳細'!$J$21&lt;=EOMONTH(X$5,0)),"◆","")))</x:f>
      </x:c>
      <x:c r="Y21" s="57" t="str">
        <x:f>IF('制度詳細'!$H$21="",IF('制度詳細'!$J$21="","",IF(AND('制度詳細'!$J$21&gt;=Y$5,'制度詳細'!$J$21&lt;=EOMONTH(Y$5,0)),"◆","")),IF(MAX('制度詳細'!$H$21,Y$5)&lt;=MIN(IF('制度詳細'!$I$21="",EOMONTH(Y$5,0),'制度詳細'!$I$21),EOMONTH(Y$5,0)),"■",IF(AND('制度詳細'!$J$21&lt;&gt;"",'制度詳細'!$J$21&gt;=Y$5,'制度詳細'!$J$21&lt;=EOMONTH(Y$5,0)),"◆","")))</x:f>
      </x:c>
      <x:c r="Z21" s="57" t="str">
        <x:f>IF('制度詳細'!$H$21="",IF('制度詳細'!$J$21="","",IF(AND('制度詳細'!$J$21&gt;=Z$5,'制度詳細'!$J$21&lt;=EOMONTH(Z$5,0)),"◆","")),IF(MAX('制度詳細'!$H$21,Z$5)&lt;=MIN(IF('制度詳細'!$I$21="",EOMONTH(Z$5,0),'制度詳細'!$I$21),EOMONTH(Z$5,0)),"■",IF(AND('制度詳細'!$J$21&lt;&gt;"",'制度詳細'!$J$21&gt;=Z$5,'制度詳細'!$J$21&lt;=EOMONTH(Z$5,0)),"◆","")))</x:f>
      </x:c>
      <x:c r="AA21" s="57" t="str">
        <x:f>IF('制度詳細'!$H$21="",IF('制度詳細'!$J$21="","",IF(AND('制度詳細'!$J$21&gt;=AA$5,'制度詳細'!$J$21&lt;=EOMONTH(AA$5,0)),"◆","")),IF(MAX('制度詳細'!$H$21,AA$5)&lt;=MIN(IF('制度詳細'!$I$21="",EOMONTH(AA$5,0),'制度詳細'!$I$21),EOMONTH(AA$5,0)),"■",IF(AND('制度詳細'!$J$21&lt;&gt;"",'制度詳細'!$J$21&gt;=AA$5,'制度詳細'!$J$21&lt;=EOMONTH(AA$5,0)),"◆","")))</x:f>
      </x:c>
      <x:c r="AB21" s="57" t="str">
        <x:f>IF('制度詳細'!$H$21="",IF('制度詳細'!$J$21="","",IF(AND('制度詳細'!$J$21&gt;=AB$5,'制度詳細'!$J$21&lt;=EOMONTH(AB$5,0)),"◆","")),IF(MAX('制度詳細'!$H$21,AB$5)&lt;=MIN(IF('制度詳細'!$I$21="",EOMONTH(AB$5,0),'制度詳細'!$I$21),EOMONTH(AB$5,0)),"■",IF(AND('制度詳細'!$J$21&lt;&gt;"",'制度詳細'!$J$21&gt;=AB$5,'制度詳細'!$J$21&lt;=EOMONTH(AB$5,0)),"◆","")))</x:f>
      </x:c>
      <x:c r="AC21" s="57" t="str">
        <x:f>IF('制度詳細'!$H$21="",IF('制度詳細'!$J$21="","",IF(AND('制度詳細'!$J$21&gt;=AC$5,'制度詳細'!$J$21&lt;=EOMONTH(AC$5,0)),"◆","")),IF(MAX('制度詳細'!$H$21,AC$5)&lt;=MIN(IF('制度詳細'!$I$21="",EOMONTH(AC$5,0),'制度詳細'!$I$21),EOMONTH(AC$5,0)),"■",IF(AND('制度詳細'!$J$21&lt;&gt;"",'制度詳細'!$J$21&gt;=AC$5,'制度詳細'!$J$21&lt;=EOMONTH(AC$5,0)),"◆","")))</x:f>
      </x:c>
      <x:c r="AD21" s="57" t="str">
        <x:f>IF('制度詳細'!$H$21="",IF('制度詳細'!$J$21="","",IF(AND('制度詳細'!$J$21&gt;=AD$5,'制度詳細'!$J$21&lt;=EOMONTH(AD$5,0)),"◆","")),IF(MAX('制度詳細'!$H$21,AD$5)&lt;=MIN(IF('制度詳細'!$I$21="",EOMONTH(AD$5,0),'制度詳細'!$I$21),EOMONTH(AD$5,0)),"■",IF(AND('制度詳細'!$J$21&lt;&gt;"",'制度詳細'!$J$21&gt;=AD$5,'制度詳細'!$J$21&lt;=EOMONTH(AD$5,0)),"◆","")))</x:f>
      </x:c>
      <x:c r="AE21" s="57" t="str">
        <x:f>IF('制度詳細'!$H$21="",IF('制度詳細'!$J$21="","",IF(AND('制度詳細'!$J$21&gt;=AE$5,'制度詳細'!$J$21&lt;=EOMONTH(AE$5,0)),"◆","")),IF(MAX('制度詳細'!$H$21,AE$5)&lt;=MIN(IF('制度詳細'!$I$21="",EOMONTH(AE$5,0),'制度詳細'!$I$21),EOMONTH(AE$5,0)),"■",IF(AND('制度詳細'!$J$21&lt;&gt;"",'制度詳細'!$J$21&gt;=AE$5,'制度詳細'!$J$21&lt;=EOMONTH(AE$5,0)),"◆","")))</x:f>
      </x:c>
      <x:c r="AF21" s="57" t="str">
        <x:f>IF('制度詳細'!$H$21="",IF('制度詳細'!$J$21="","",IF(AND('制度詳細'!$J$21&gt;=AF$5,'制度詳細'!$J$21&lt;=EOMONTH(AF$5,0)),"◆","")),IF(MAX('制度詳細'!$H$21,AF$5)&lt;=MIN(IF('制度詳細'!$I$21="",EOMONTH(AF$5,0),'制度詳細'!$I$21),EOMONTH(AF$5,0)),"■",IF(AND('制度詳細'!$J$21&lt;&gt;"",'制度詳細'!$J$21&gt;=AF$5,'制度詳細'!$J$21&lt;=EOMONTH(AF$5,0)),"◆","")))</x:f>
      </x:c>
      <x:c r="AG21" s="57" t="str">
        <x:f>IF('制度詳細'!$H$21="",IF('制度詳細'!$J$21="","",IF(AND('制度詳細'!$J$21&gt;=AG$5,'制度詳細'!$J$21&lt;=EOMONTH(AG$5,0)),"◆","")),IF(MAX('制度詳細'!$H$21,AG$5)&lt;=MIN(IF('制度詳細'!$I$21="",EOMONTH(AG$5,0),'制度詳細'!$I$21),EOMONTH(AG$5,0)),"■",IF(AND('制度詳細'!$J$21&lt;&gt;"",'制度詳細'!$J$21&gt;=AG$5,'制度詳細'!$J$21&lt;=EOMONTH(AG$5,0)),"◆","")))</x:f>
      </x:c>
      <x:c r="AH21" s="57" t="str">
        <x:f>IF('制度詳細'!$H$21="",IF('制度詳細'!$J$21="","",IF(AND('制度詳細'!$J$21&gt;=AH$5,'制度詳細'!$J$21&lt;=EOMONTH(AH$5,0)),"◆","")),IF(MAX('制度詳細'!$H$21,AH$5)&lt;=MIN(IF('制度詳細'!$I$21="",EOMONTH(AH$5,0),'制度詳細'!$I$21),EOMONTH(AH$5,0)),"■",IF(AND('制度詳細'!$J$21&lt;&gt;"",'制度詳細'!$J$21&gt;=AH$5,'制度詳細'!$J$21&lt;=EOMONTH(AH$5,0)),"◆","")))</x:f>
      </x:c>
      <x:c r="AI21" s="57" t="str">
        <x:f>IF('制度詳細'!$H$21="",IF('制度詳細'!$J$21="","",IF(AND('制度詳細'!$J$21&gt;=AI$5,'制度詳細'!$J$21&lt;=EOMONTH(AI$5,0)),"◆","")),IF(MAX('制度詳細'!$H$21,AI$5)&lt;=MIN(IF('制度詳細'!$I$21="",EOMONTH(AI$5,0),'制度詳細'!$I$21),EOMONTH(AI$5,0)),"■",IF(AND('制度詳細'!$J$21&lt;&gt;"",'制度詳細'!$J$21&gt;=AI$5,'制度詳細'!$J$21&lt;=EOMONTH(AI$5,0)),"◆","")))</x:f>
      </x:c>
      <x:c r="AJ21" s="57" t="str">
        <x:f>IF('制度詳細'!$H$21="",IF('制度詳細'!$J$21="","",IF(AND('制度詳細'!$J$21&gt;=AJ$5,'制度詳細'!$J$21&lt;=EOMONTH(AJ$5,0)),"◆","")),IF(MAX('制度詳細'!$H$21,AJ$5)&lt;=MIN(IF('制度詳細'!$I$21="",EOMONTH(AJ$5,0),'制度詳細'!$I$21),EOMONTH(AJ$5,0)),"■",IF(AND('制度詳細'!$J$21&lt;&gt;"",'制度詳細'!$J$21&gt;=AJ$5,'制度詳細'!$J$21&lt;=EOMONTH(AJ$5,0)),"◆","")))</x:f>
      </x:c>
      <x:c r="AK21" s="57" t="str">
        <x:f>IF('制度詳細'!$H$21="",IF('制度詳細'!$J$21="","",IF(AND('制度詳細'!$J$21&gt;=AK$5,'制度詳細'!$J$21&lt;=EOMONTH(AK$5,0)),"◆","")),IF(MAX('制度詳細'!$H$21,AK$5)&lt;=MIN(IF('制度詳細'!$I$21="",EOMONTH(AK$5,0),'制度詳細'!$I$21),EOMONTH(AK$5,0)),"■",IF(AND('制度詳細'!$J$21&lt;&gt;"",'制度詳細'!$J$21&gt;=AK$5,'制度詳細'!$J$21&lt;=EOMONTH(AK$5,0)),"◆","")))</x:f>
      </x:c>
      <x:c r="AL21" s="57" t="str">
        <x:f>IF('制度詳細'!$H$21="",IF('制度詳細'!$J$21="","",IF(AND('制度詳細'!$J$21&gt;=AL$5,'制度詳細'!$J$21&lt;=EOMONTH(AL$5,0)),"◆","")),IF(MAX('制度詳細'!$H$21,AL$5)&lt;=MIN(IF('制度詳細'!$I$21="",EOMONTH(AL$5,0),'制度詳細'!$I$21),EOMONTH(AL$5,0)),"■",IF(AND('制度詳細'!$J$21&lt;&gt;"",'制度詳細'!$J$21&gt;=AL$5,'制度詳細'!$J$21&lt;=EOMONTH(AL$5,0)),"◆","")))</x:f>
      </x:c>
      <x:c r="AM21" s="57" t="str">
        <x:f>IF('制度詳細'!$H$21="",IF('制度詳細'!$J$21="","",IF(AND('制度詳細'!$J$21&gt;=AM$5,'制度詳細'!$J$21&lt;=EOMONTH(AM$5,0)),"◆","")),IF(MAX('制度詳細'!$H$21,AM$5)&lt;=MIN(IF('制度詳細'!$I$21="",EOMONTH(AM$5,0),'制度詳細'!$I$21),EOMONTH(AM$5,0)),"■",IF(AND('制度詳細'!$J$21&lt;&gt;"",'制度詳細'!$J$21&gt;=AM$5,'制度詳細'!$J$21&lt;=EOMONTH(AM$5,0)),"◆","")))</x:f>
      </x:c>
      <x:c r="AN21" s="57" t="str">
        <x:f>IF('制度詳細'!$H$21="",IF('制度詳細'!$J$21="","",IF(AND('制度詳細'!$J$21&gt;=AN$5,'制度詳細'!$J$21&lt;=EOMONTH(AN$5,0)),"◆","")),IF(MAX('制度詳細'!$H$21,AN$5)&lt;=MIN(IF('制度詳細'!$I$21="",EOMONTH(AN$5,0),'制度詳細'!$I$21),EOMONTH(AN$5,0)),"■",IF(AND('制度詳細'!$J$21&lt;&gt;"",'制度詳細'!$J$21&gt;=AN$5,'制度詳細'!$J$21&lt;=EOMONTH(AN$5,0)),"◆","")))</x:f>
      </x:c>
      <x:c r="AO21" s="57" t="str">
        <x:f>IF('制度詳細'!$H$21="",IF('制度詳細'!$J$21="","",IF(AND('制度詳細'!$J$21&gt;=AO$5,'制度詳細'!$J$21&lt;=EOMONTH(AO$5,0)),"◆","")),IF(MAX('制度詳細'!$H$21,AO$5)&lt;=MIN(IF('制度詳細'!$I$21="",EOMONTH(AO$5,0),'制度詳細'!$I$21),EOMONTH(AO$5,0)),"■",IF(AND('制度詳細'!$J$21&lt;&gt;"",'制度詳細'!$J$21&gt;=AO$5,'制度詳細'!$J$21&lt;=EOMONTH(AO$5,0)),"◆","")))</x:f>
      </x:c>
      <x:c r="AP21" s="57" t="str">
        <x:f>IF('制度詳細'!$H$21="",IF('制度詳細'!$J$21="","",IF(AND('制度詳細'!$J$21&gt;=AP$5,'制度詳細'!$J$21&lt;=EOMONTH(AP$5,0)),"◆","")),IF(MAX('制度詳細'!$H$21,AP$5)&lt;=MIN(IF('制度詳細'!$I$21="",EOMONTH(AP$5,0),'制度詳細'!$I$21),EOMONTH(AP$5,0)),"■",IF(AND('制度詳細'!$J$21&lt;&gt;"",'制度詳細'!$J$21&gt;=AP$5,'制度詳細'!$J$21&lt;=EOMONTH(AP$5,0)),"◆","")))</x:f>
      </x:c>
      <x:c r="AQ21" s="57" t="str">
        <x:f>IF('制度詳細'!$H$21="",IF('制度詳細'!$J$21="","",IF(AND('制度詳細'!$J$21&gt;=AQ$5,'制度詳細'!$J$21&lt;=EOMONTH(AQ$5,0)),"◆","")),IF(MAX('制度詳細'!$H$21,AQ$5)&lt;=MIN(IF('制度詳細'!$I$21="",EOMONTH(AQ$5,0),'制度詳細'!$I$21),EOMONTH(AQ$5,0)),"■",IF(AND('制度詳細'!$J$21&lt;&gt;"",'制度詳細'!$J$21&gt;=AQ$5,'制度詳細'!$J$21&lt;=EOMONTH(AQ$5,0)),"◆","")))</x:f>
      </x:c>
      <x:c r="AR21" s="57" t="str">
        <x:f>IF('制度詳細'!$H$21="",IF('制度詳細'!$J$21="","",IF(AND('制度詳細'!$J$21&gt;=AR$5,'制度詳細'!$J$21&lt;=EOMONTH(AR$5,0)),"◆","")),IF(MAX('制度詳細'!$H$21,AR$5)&lt;=MIN(IF('制度詳細'!$I$21="",EOMONTH(AR$5,0),'制度詳細'!$I$21),EOMONTH(AR$5,0)),"■",IF(AND('制度詳細'!$J$21&lt;&gt;"",'制度詳細'!$J$21&gt;=AR$5,'制度詳細'!$J$21&lt;=EOMONTH(AR$5,0)),"◆","")))</x:f>
      </x:c>
      <x:c r="AS21" s="57" t="str">
        <x:f>IF('制度詳細'!$H$21="",IF('制度詳細'!$J$21="","",IF(AND('制度詳細'!$J$21&gt;=AS$5,'制度詳細'!$J$21&lt;=EOMONTH(AS$5,0)),"◆","")),IF(MAX('制度詳細'!$H$21,AS$5)&lt;=MIN(IF('制度詳細'!$I$21="",EOMONTH(AS$5,0),'制度詳細'!$I$21),EOMONTH(AS$5,0)),"■",IF(AND('制度詳細'!$J$21&lt;&gt;"",'制度詳細'!$J$21&gt;=AS$5,'制度詳細'!$J$21&lt;=EOMONTH(AS$5,0)),"◆","")))</x:f>
      </x:c>
      <x:c r="AT21" s="57" t="str">
        <x:f>IF('制度詳細'!$H$21="",IF('制度詳細'!$J$21="","",IF(AND('制度詳細'!$J$21&gt;=AT$5,'制度詳細'!$J$21&lt;=EOMONTH(AT$5,0)),"◆","")),IF(MAX('制度詳細'!$H$21,AT$5)&lt;=MIN(IF('制度詳細'!$I$21="",EOMONTH(AT$5,0),'制度詳細'!$I$21),EOMONTH(AT$5,0)),"■",IF(AND('制度詳細'!$J$21&lt;&gt;"",'制度詳細'!$J$21&gt;=AT$5,'制度詳細'!$J$21&lt;=EOMONTH(AT$5,0)),"◆","")))</x:f>
      </x:c>
      <x:c r="AU21" s="57" t="str">
        <x:f>IF('制度詳細'!$H$21="",IF('制度詳細'!$J$21="","",IF(AND('制度詳細'!$J$21&gt;=AU$5,'制度詳細'!$J$21&lt;=EOMONTH(AU$5,0)),"◆","")),IF(MAX('制度詳細'!$H$21,AU$5)&lt;=MIN(IF('制度詳細'!$I$21="",EOMONTH(AU$5,0),'制度詳細'!$I$21),EOMONTH(AU$5,0)),"■",IF(AND('制度詳細'!$J$21&lt;&gt;"",'制度詳細'!$J$21&gt;=AU$5,'制度詳細'!$J$21&lt;=EOMONTH(AU$5,0)),"◆","")))</x:f>
      </x:c>
      <x:c r="AV21" s="57" t="str">
        <x:f>IF('制度詳細'!$H$21="",IF('制度詳細'!$J$21="","",IF(AND('制度詳細'!$J$21&gt;=AV$5,'制度詳細'!$J$21&lt;=EOMONTH(AV$5,0)),"◆","")),IF(MAX('制度詳細'!$H$21,AV$5)&lt;=MIN(IF('制度詳細'!$I$21="",EOMONTH(AV$5,0),'制度詳細'!$I$21),EOMONTH(AV$5,0)),"■",IF(AND('制度詳細'!$J$21&lt;&gt;"",'制度詳細'!$J$21&gt;=AV$5,'制度詳細'!$J$21&lt;=EOMONTH(AV$5,0)),"◆","")))</x:f>
      </x:c>
      <x:c r="AW21" s="57" t="str">
        <x:f>IF('制度詳細'!$H$21="",IF('制度詳細'!$J$21="","",IF(AND('制度詳細'!$J$21&gt;=AW$5,'制度詳細'!$J$21&lt;=EOMONTH(AW$5,0)),"◆","")),IF(MAX('制度詳細'!$H$21,AW$5)&lt;=MIN(IF('制度詳細'!$I$21="",EOMONTH(AW$5,0),'制度詳細'!$I$21),EOMONTH(AW$5,0)),"■",IF(AND('制度詳細'!$J$21&lt;&gt;"",'制度詳細'!$J$21&gt;=AW$5,'制度詳細'!$J$21&lt;=EOMONTH(AW$5,0)),"◆","")))</x:f>
      </x:c>
      <x:c r="AX21" s="57" t="str">
        <x:f>IF('制度詳細'!$H$21="",IF('制度詳細'!$J$21="","",IF(AND('制度詳細'!$J$21&gt;=AX$5,'制度詳細'!$J$21&lt;=EOMONTH(AX$5,0)),"◆","")),IF(MAX('制度詳細'!$H$21,AX$5)&lt;=MIN(IF('制度詳細'!$I$21="",EOMONTH(AX$5,0),'制度詳細'!$I$21),EOMONTH(AX$5,0)),"■",IF(AND('制度詳細'!$J$21&lt;&gt;"",'制度詳細'!$J$21&gt;=AX$5,'制度詳細'!$J$21&lt;=EOMONTH(AX$5,0)),"◆","")))</x:f>
      </x:c>
      <x:c r="AY21" s="57" t="str">
        <x:f>IF('制度詳細'!$H$21="",IF('制度詳細'!$J$21="","",IF(AND('制度詳細'!$J$21&gt;=AY$5,'制度詳細'!$J$21&lt;=EOMONTH(AY$5,0)),"◆","")),IF(MAX('制度詳細'!$H$21,AY$5)&lt;=MIN(IF('制度詳細'!$I$21="",EOMONTH(AY$5,0),'制度詳細'!$I$21),EOMONTH(AY$5,0)),"■",IF(AND('制度詳細'!$J$21&lt;&gt;"",'制度詳細'!$J$21&gt;=AY$5,'制度詳細'!$J$21&lt;=EOMONTH(AY$5,0)),"◆","")))</x:f>
      </x:c>
      <x:c r="AZ21" s="57" t="str">
        <x:f>IF('制度詳細'!$H$21="",IF('制度詳細'!$J$21="","",IF(AND('制度詳細'!$J$21&gt;=AZ$5,'制度詳細'!$J$21&lt;=EOMONTH(AZ$5,0)),"◆","")),IF(MAX('制度詳細'!$H$21,AZ$5)&lt;=MIN(IF('制度詳細'!$I$21="",EOMONTH(AZ$5,0),'制度詳細'!$I$21),EOMONTH(AZ$5,0)),"■",IF(AND('制度詳細'!$J$21&lt;&gt;"",'制度詳細'!$J$21&gt;=AZ$5,'制度詳細'!$J$21&lt;=EOMONTH(AZ$5,0)),"◆","")))</x:f>
      </x:c>
      <x:c r="BA21" s="57" t="str">
        <x:f>IF('制度詳細'!$H$21="",IF('制度詳細'!$J$21="","",IF(AND('制度詳細'!$J$21&gt;=BA$5,'制度詳細'!$J$21&lt;=EOMONTH(BA$5,0)),"◆","")),IF(MAX('制度詳細'!$H$21,BA$5)&lt;=MIN(IF('制度詳細'!$I$21="",EOMONTH(BA$5,0),'制度詳細'!$I$21),EOMONTH(BA$5,0)),"■",IF(AND('制度詳細'!$J$21&lt;&gt;"",'制度詳細'!$J$21&gt;=BA$5,'制度詳細'!$J$21&lt;=EOMONTH(BA$5,0)),"◆","")))</x:f>
      </x:c>
      <x:c r="BB21" s="57" t="str">
        <x:f>IF('制度詳細'!$H$21="",IF('制度詳細'!$J$21="","",IF(AND('制度詳細'!$J$21&gt;=BB$5,'制度詳細'!$J$21&lt;=EOMONTH(BB$5,0)),"◆","")),IF(MAX('制度詳細'!$H$21,BB$5)&lt;=MIN(IF('制度詳細'!$I$21="",EOMONTH(BB$5,0),'制度詳細'!$I$21),EOMONTH(BB$5,0)),"■",IF(AND('制度詳細'!$J$21&lt;&gt;"",'制度詳細'!$J$21&gt;=BB$5,'制度詳細'!$J$21&lt;=EOMONTH(BB$5,0)),"◆","")))</x:f>
      </x:c>
      <x:c r="BC21" s="57" t="str">
        <x:f>IF('制度詳細'!$H$21="",IF('制度詳細'!$J$21="","",IF(AND('制度詳細'!$J$21&gt;=BC$5,'制度詳細'!$J$21&lt;=EOMONTH(BC$5,0)),"◆","")),IF(MAX('制度詳細'!$H$21,BC$5)&lt;=MIN(IF('制度詳細'!$I$21="",EOMONTH(BC$5,0),'制度詳細'!$I$21),EOMONTH(BC$5,0)),"■",IF(AND('制度詳細'!$J$21&lt;&gt;"",'制度詳細'!$J$21&gt;=BC$5,'制度詳細'!$J$21&lt;=EOMONTH(BC$5,0)),"◆","")))</x:f>
      </x:c>
      <x:c r="BD21" s="57" t="str">
        <x:f>IF('制度詳細'!$H$21="",IF('制度詳細'!$J$21="","",IF(AND('制度詳細'!$J$21&gt;=BD$5,'制度詳細'!$J$21&lt;=EOMONTH(BD$5,0)),"◆","")),IF(MAX('制度詳細'!$H$21,BD$5)&lt;=MIN(IF('制度詳細'!$I$21="",EOMONTH(BD$5,0),'制度詳細'!$I$21),EOMONTH(BD$5,0)),"■",IF(AND('制度詳細'!$J$21&lt;&gt;"",'制度詳細'!$J$21&gt;=BD$5,'制度詳細'!$J$21&lt;=EOMONTH(BD$5,0)),"◆","")))</x:f>
      </x:c>
      <x:c r="BE21" s="57" t="str">
        <x:f>IF('制度詳細'!$H$21="",IF('制度詳細'!$J$21="","",IF(AND('制度詳細'!$J$21&gt;=BE$5,'制度詳細'!$J$21&lt;=EOMONTH(BE$5,0)),"◆","")),IF(MAX('制度詳細'!$H$21,BE$5)&lt;=MIN(IF('制度詳細'!$I$21="",EOMONTH(BE$5,0),'制度詳細'!$I$21),EOMONTH(BE$5,0)),"■",IF(AND('制度詳細'!$J$21&lt;&gt;"",'制度詳細'!$J$21&gt;=BE$5,'制度詳細'!$J$21&lt;=EOMONTH(BE$5,0)),"◆","")))</x:f>
      </x:c>
      <x:c r="BF21" s="57" t="str">
        <x:f>IF('制度詳細'!$H$21="",IF('制度詳細'!$J$21="","",IF(AND('制度詳細'!$J$21&gt;=BF$5,'制度詳細'!$J$21&lt;=EOMONTH(BF$5,0)),"◆","")),IF(MAX('制度詳細'!$H$21,BF$5)&lt;=MIN(IF('制度詳細'!$I$21="",EOMONTH(BF$5,0),'制度詳細'!$I$21),EOMONTH(BF$5,0)),"■",IF(AND('制度詳細'!$J$21&lt;&gt;"",'制度詳細'!$J$21&gt;=BF$5,'制度詳細'!$J$21&lt;=EOMONTH(BF$5,0)),"◆","")))</x:f>
      </x:c>
      <x:c r="BG21" s="57" t="str">
        <x:f>IF('制度詳細'!$H$21="",IF('制度詳細'!$J$21="","",IF(AND('制度詳細'!$J$21&gt;=BG$5,'制度詳細'!$J$21&lt;=EOMONTH(BG$5,0)),"◆","")),IF(MAX('制度詳細'!$H$21,BG$5)&lt;=MIN(IF('制度詳細'!$I$21="",EOMONTH(BG$5,0),'制度詳細'!$I$21),EOMONTH(BG$5,0)),"■",IF(AND('制度詳細'!$J$21&lt;&gt;"",'制度詳細'!$J$21&gt;=BG$5,'制度詳細'!$J$21&lt;=EOMONTH(BG$5,0)),"◆","")))</x:f>
      </x:c>
      <x:c r="BH21" s="57" t="str">
        <x:f>IF('制度詳細'!$H$21="",IF('制度詳細'!$J$21="","",IF(AND('制度詳細'!$J$21&gt;=BH$5,'制度詳細'!$J$21&lt;=EOMONTH(BH$5,0)),"◆","")),IF(MAX('制度詳細'!$H$21,BH$5)&lt;=MIN(IF('制度詳細'!$I$21="",EOMONTH(BH$5,0),'制度詳細'!$I$21),EOMONTH(BH$5,0)),"■",IF(AND('制度詳細'!$J$21&lt;&gt;"",'制度詳細'!$J$21&gt;=BH$5,'制度詳細'!$J$21&lt;=EOMONTH(BH$5,0)),"◆","")))</x:f>
      </x:c>
      <x:c r="BI21" s="57" t="str">
        <x:f>IF('制度詳細'!$H$21="",IF('制度詳細'!$J$21="","",IF(AND('制度詳細'!$J$21&gt;=BI$5,'制度詳細'!$J$21&lt;=EOMONTH(BI$5,0)),"◆","")),IF(MAX('制度詳細'!$H$21,BI$5)&lt;=MIN(IF('制度詳細'!$I$21="",EOMONTH(BI$5,0),'制度詳細'!$I$21),EOMONTH(BI$5,0)),"■",IF(AND('制度詳細'!$J$21&lt;&gt;"",'制度詳細'!$J$21&gt;=BI$5,'制度詳細'!$J$21&lt;=EOMONTH(BI$5,0)),"◆","")))</x:f>
      </x:c>
      <x:c r="BJ21" s="57" t="str">
        <x:f>IF('制度詳細'!$H$21="",IF('制度詳細'!$J$21="","",IF(AND('制度詳細'!$J$21&gt;=BJ$5,'制度詳細'!$J$21&lt;=EOMONTH(BJ$5,0)),"◆","")),IF(MAX('制度詳細'!$H$21,BJ$5)&lt;=MIN(IF('制度詳細'!$I$21="",EOMONTH(BJ$5,0),'制度詳細'!$I$21),EOMONTH(BJ$5,0)),"■",IF(AND('制度詳細'!$J$21&lt;&gt;"",'制度詳細'!$J$21&gt;=BJ$5,'制度詳細'!$J$21&lt;=EOMONTH(BJ$5,0)),"◆","")))</x:f>
      </x:c>
      <x:c r="BK21" s="57" t="str">
        <x:f>IF('制度詳細'!$H$21="",IF('制度詳細'!$J$21="","",IF(AND('制度詳細'!$J$21&gt;=BK$5,'制度詳細'!$J$21&lt;=EOMONTH(BK$5,0)),"◆","")),IF(MAX('制度詳細'!$H$21,BK$5)&lt;=MIN(IF('制度詳細'!$I$21="",EOMONTH(BK$5,0),'制度詳細'!$I$21),EOMONTH(BK$5,0)),"■",IF(AND('制度詳細'!$J$21&lt;&gt;"",'制度詳細'!$J$21&gt;=BK$5,'制度詳細'!$J$21&lt;=EOMONTH(BK$5,0)),"◆","")))</x:f>
      </x:c>
      <x:c r="BL21" s="57" t="str">
        <x:f>IF('制度詳細'!$H$21="",IF('制度詳細'!$J$21="","",IF(AND('制度詳細'!$J$21&gt;=BL$5,'制度詳細'!$J$21&lt;=EOMONTH(BL$5,0)),"◆","")),IF(MAX('制度詳細'!$H$21,BL$5)&lt;=MIN(IF('制度詳細'!$I$21="",EOMONTH(BL$5,0),'制度詳細'!$I$21),EOMONTH(BL$5,0)),"■",IF(AND('制度詳細'!$J$21&lt;&gt;"",'制度詳細'!$J$21&gt;=BL$5,'制度詳細'!$J$21&lt;=EOMONTH(BL$5,0)),"◆","")))</x:f>
      </x:c>
      <x:c r="BM21" s="57" t="str">
        <x:f>IF('制度詳細'!$H$21="",IF('制度詳細'!$J$21="","",IF(AND('制度詳細'!$J$21&gt;=BM$5,'制度詳細'!$J$21&lt;=EOMONTH(BM$5,0)),"◆","")),IF(MAX('制度詳細'!$H$21,BM$5)&lt;=MIN(IF('制度詳細'!$I$21="",EOMONTH(BM$5,0),'制度詳細'!$I$21),EOMONTH(BM$5,0)),"■",IF(AND('制度詳細'!$J$21&lt;&gt;"",'制度詳細'!$J$21&gt;=BM$5,'制度詳細'!$J$21&lt;=EOMONTH(BM$5,0)),"◆","")))</x:f>
      </x:c>
      <x:c r="BN21" s="57" t="str">
        <x:f>IF('制度詳細'!$H$21="",IF('制度詳細'!$J$21="","",IF(AND('制度詳細'!$J$21&gt;=BN$5,'制度詳細'!$J$21&lt;=EOMONTH(BN$5,0)),"◆","")),IF(MAX('制度詳細'!$H$21,BN$5)&lt;=MIN(IF('制度詳細'!$I$21="",EOMONTH(BN$5,0),'制度詳細'!$I$21),EOMONTH(BN$5,0)),"■",IF(AND('制度詳細'!$J$21&lt;&gt;"",'制度詳細'!$J$21&gt;=BN$5,'制度詳細'!$J$21&lt;=EOMONTH(BN$5,0)),"◆","")))</x:f>
      </x:c>
      <x:c r="BO21" s="57" t="str">
        <x:f>IF('制度詳細'!$H$21="",IF('制度詳細'!$J$21="","",IF(AND('制度詳細'!$J$21&gt;=BO$5,'制度詳細'!$J$21&lt;=EOMONTH(BO$5,0)),"◆","")),IF(MAX('制度詳細'!$H$21,BO$5)&lt;=MIN(IF('制度詳細'!$I$21="",EOMONTH(BO$5,0),'制度詳細'!$I$21),EOMONTH(BO$5,0)),"■",IF(AND('制度詳細'!$J$21&lt;&gt;"",'制度詳細'!$J$21&gt;=BO$5,'制度詳細'!$J$21&lt;=EOMONTH(BO$5,0)),"◆","")))</x:f>
      </x:c>
      <x:c r="BP21" s="57" t="str">
        <x:f>IF('制度詳細'!$H$21="",IF('制度詳細'!$J$21="","",IF(AND('制度詳細'!$J$21&gt;=BP$5,'制度詳細'!$J$21&lt;=EOMONTH(BP$5,0)),"◆","")),IF(MAX('制度詳細'!$H$21,BP$5)&lt;=MIN(IF('制度詳細'!$I$21="",EOMONTH(BP$5,0),'制度詳細'!$I$21),EOMONTH(BP$5,0)),"■",IF(AND('制度詳細'!$J$21&lt;&gt;"",'制度詳細'!$J$21&gt;=BP$5,'制度詳細'!$J$21&lt;=EOMONTH(BP$5,0)),"◆","")))</x:f>
      </x:c>
      <x:c r="BQ21" s="57" t="str">
        <x:f>IF('制度詳細'!$H$21="",IF('制度詳細'!$J$21="","",IF(AND('制度詳細'!$J$21&gt;=BQ$5,'制度詳細'!$J$21&lt;=EOMONTH(BQ$5,0)),"◆","")),IF(MAX('制度詳細'!$H$21,BQ$5)&lt;=MIN(IF('制度詳細'!$I$21="",EOMONTH(BQ$5,0),'制度詳細'!$I$21),EOMONTH(BQ$5,0)),"■",IF(AND('制度詳細'!$J$21&lt;&gt;"",'制度詳細'!$J$21&gt;=BQ$5,'制度詳細'!$J$21&lt;=EOMONTH(BQ$5,0)),"◆","")))</x:f>
      </x:c>
      <x:c r="BR21" s="57" t="str">
        <x:f>IF('制度詳細'!$H$21="",IF('制度詳細'!$J$21="","",IF(AND('制度詳細'!$J$21&gt;=BR$5,'制度詳細'!$J$21&lt;=EOMONTH(BR$5,0)),"◆","")),IF(MAX('制度詳細'!$H$21,BR$5)&lt;=MIN(IF('制度詳細'!$I$21="",EOMONTH(BR$5,0),'制度詳細'!$I$21),EOMONTH(BR$5,0)),"■",IF(AND('制度詳細'!$J$21&lt;&gt;"",'制度詳細'!$J$21&gt;=BR$5,'制度詳細'!$J$21&lt;=EOMONTH(BR$5,0)),"◆","")))</x:f>
      </x:c>
      <x:c r="BS21" s="57" t="str">
        <x:f>IF('制度詳細'!$H$21="",IF('制度詳細'!$J$21="","",IF(AND('制度詳細'!$J$21&gt;=BS$5,'制度詳細'!$J$21&lt;=EOMONTH(BS$5,0)),"◆","")),IF(MAX('制度詳細'!$H$21,BS$5)&lt;=MIN(IF('制度詳細'!$I$21="",EOMONTH(BS$5,0),'制度詳細'!$I$21),EOMONTH(BS$5,0)),"■",IF(AND('制度詳細'!$J$21&lt;&gt;"",'制度詳細'!$J$21&gt;=BS$5,'制度詳細'!$J$21&lt;=EOMONTH(BS$5,0)),"◆","")))</x:f>
      </x:c>
      <x:c r="BT21" s="57" t="str">
        <x:f>IF('制度詳細'!$H$21="",IF('制度詳細'!$J$21="","",IF(AND('制度詳細'!$J$21&gt;=BT$5,'制度詳細'!$J$21&lt;=EOMONTH(BT$5,0)),"◆","")),IF(MAX('制度詳細'!$H$21,BT$5)&lt;=MIN(IF('制度詳細'!$I$21="",EOMONTH(BT$5,0),'制度詳細'!$I$21),EOMONTH(BT$5,0)),"■",IF(AND('制度詳細'!$J$21&lt;&gt;"",'制度詳細'!$J$21&gt;=BT$5,'制度詳細'!$J$21&lt;=EOMONTH(BT$5,0)),"◆","")))</x:f>
      </x:c>
      <x:c r="BU21" s="57" t="str">
        <x:f>IF('制度詳細'!$H$21="",IF('制度詳細'!$J$21="","",IF(AND('制度詳細'!$J$21&gt;=BU$5,'制度詳細'!$J$21&lt;=EOMONTH(BU$5,0)),"◆","")),IF(MAX('制度詳細'!$H$21,BU$5)&lt;=MIN(IF('制度詳細'!$I$21="",EOMONTH(BU$5,0),'制度詳細'!$I$21),EOMONTH(BU$5,0)),"■",IF(AND('制度詳細'!$J$21&lt;&gt;"",'制度詳細'!$J$21&gt;=BU$5,'制度詳細'!$J$21&lt;=EOMONTH(BU$5,0)),"◆","")))</x:f>
      </x:c>
      <x:c r="BV21" s="57" t="str">
        <x:f>IF('制度詳細'!$H$21="",IF('制度詳細'!$J$21="","",IF(AND('制度詳細'!$J$21&gt;=BV$5,'制度詳細'!$J$21&lt;=EOMONTH(BV$5,0)),"◆","")),IF(MAX('制度詳細'!$H$21,BV$5)&lt;=MIN(IF('制度詳細'!$I$21="",EOMONTH(BV$5,0),'制度詳細'!$I$21),EOMONTH(BV$5,0)),"■",IF(AND('制度詳細'!$J$21&lt;&gt;"",'制度詳細'!$J$21&gt;=BV$5,'制度詳細'!$J$21&lt;=EOMONTH(BV$5,0)),"◆","")))</x:f>
      </x:c>
      <x:c r="BW21" s="57" t="str">
        <x:f>IF('制度詳細'!$H$21="",IF('制度詳細'!$J$21="","",IF(AND('制度詳細'!$J$21&gt;=BW$5,'制度詳細'!$J$21&lt;=EOMONTH(BW$5,0)),"◆","")),IF(MAX('制度詳細'!$H$21,BW$5)&lt;=MIN(IF('制度詳細'!$I$21="",EOMONTH(BW$5,0),'制度詳細'!$I$21),EOMONTH(BW$5,0)),"■",IF(AND('制度詳細'!$J$21&lt;&gt;"",'制度詳細'!$J$21&gt;=BW$5,'制度詳細'!$J$21&lt;=EOMONTH(BW$5,0)),"◆","")))</x:f>
      </x:c>
      <x:c r="BX21" s="57" t="str">
        <x:f>IF('制度詳細'!$H$21="",IF('制度詳細'!$J$21="","",IF(AND('制度詳細'!$J$21&gt;=BX$5,'制度詳細'!$J$21&lt;=EOMONTH(BX$5,0)),"◆","")),IF(MAX('制度詳細'!$H$21,BX$5)&lt;=MIN(IF('制度詳細'!$I$21="",EOMONTH(BX$5,0),'制度詳細'!$I$21),EOMONTH(BX$5,0)),"■",IF(AND('制度詳細'!$J$21&lt;&gt;"",'制度詳細'!$J$21&gt;=BX$5,'制度詳細'!$J$21&lt;=EOMONTH(BX$5,0)),"◆","")))</x:f>
      </x:c>
      <x:c r="BY21" s="57" t="str">
        <x:f>IF('制度詳細'!$H$21="",IF('制度詳細'!$J$21="","",IF(AND('制度詳細'!$J$21&gt;=BY$5,'制度詳細'!$J$21&lt;=EOMONTH(BY$5,0)),"◆","")),IF(MAX('制度詳細'!$H$21,BY$5)&lt;=MIN(IF('制度詳細'!$I$21="",EOMONTH(BY$5,0),'制度詳細'!$I$21),EOMONTH(BY$5,0)),"■",IF(AND('制度詳細'!$J$21&lt;&gt;"",'制度詳細'!$J$21&gt;=BY$5,'制度詳細'!$J$21&lt;=EOMONTH(BY$5,0)),"◆","")))</x:f>
      </x:c>
      <x:c r="BZ21" s="57" t="str">
        <x:f>IF('制度詳細'!$H$21="",IF('制度詳細'!$J$21="","",IF(AND('制度詳細'!$J$21&gt;=BZ$5,'制度詳細'!$J$21&lt;=EOMONTH(BZ$5,0)),"◆","")),IF(MAX('制度詳細'!$H$21,BZ$5)&lt;=MIN(IF('制度詳細'!$I$21="",EOMONTH(BZ$5,0),'制度詳細'!$I$21),EOMONTH(BZ$5,0)),"■",IF(AND('制度詳細'!$J$21&lt;&gt;"",'制度詳細'!$J$21&gt;=BZ$5,'制度詳細'!$J$21&lt;=EOMONTH(BZ$5,0)),"◆","")))</x:f>
      </x:c>
      <x:c r="CA21" s="57" t="str">
        <x:f>IF('制度詳細'!$H$21="",IF('制度詳細'!$J$21="","",IF(AND('制度詳細'!$J$21&gt;=CA$5,'制度詳細'!$J$21&lt;=EOMONTH(CA$5,0)),"◆","")),IF(MAX('制度詳細'!$H$21,CA$5)&lt;=MIN(IF('制度詳細'!$I$21="",EOMONTH(CA$5,0),'制度詳細'!$I$21),EOMONTH(CA$5,0)),"■",IF(AND('制度詳細'!$J$21&lt;&gt;"",'制度詳細'!$J$21&gt;=CA$5,'制度詳細'!$J$21&lt;=EOMONTH(CA$5,0)),"◆","")))</x:f>
      </x:c>
      <x:c r="CB21" s="57" t="str">
        <x:f>IF('制度詳細'!$H$21="",IF('制度詳細'!$J$21="","",IF(AND('制度詳細'!$J$21&gt;=CB$5,'制度詳細'!$J$21&lt;=EOMONTH(CB$5,0)),"◆","")),IF(MAX('制度詳細'!$H$21,CB$5)&lt;=MIN(IF('制度詳細'!$I$21="",EOMONTH(CB$5,0),'制度詳細'!$I$21),EOMONTH(CB$5,0)),"■",IF(AND('制度詳細'!$J$21&lt;&gt;"",'制度詳細'!$J$21&gt;=CB$5,'制度詳細'!$J$21&lt;=EOMONTH(CB$5,0)),"◆","")))</x:f>
      </x:c>
      <x:c r="CC21" s="57" t="str">
        <x:f>IF('制度詳細'!$H$21="",IF('制度詳細'!$J$21="","",IF(AND('制度詳細'!$J$21&gt;=CC$5,'制度詳細'!$J$21&lt;=EOMONTH(CC$5,0)),"◆","")),IF(MAX('制度詳細'!$H$21,CC$5)&lt;=MIN(IF('制度詳細'!$I$21="",EOMONTH(CC$5,0),'制度詳細'!$I$21),EOMONTH(CC$5,0)),"■",IF(AND('制度詳細'!$J$21&lt;&gt;"",'制度詳細'!$J$21&gt;=CC$5,'制度詳細'!$J$21&lt;=EOMONTH(CC$5,0)),"◆","")))</x:f>
      </x:c>
      <x:c r="CD21" s="57" t="str">
        <x:f>IF('制度詳細'!$H$21="",IF('制度詳細'!$J$21="","",IF(AND('制度詳細'!$J$21&gt;=CD$5,'制度詳細'!$J$21&lt;=EOMONTH(CD$5,0)),"◆","")),IF(MAX('制度詳細'!$H$21,CD$5)&lt;=MIN(IF('制度詳細'!$I$21="",EOMONTH(CD$5,0),'制度詳細'!$I$21),EOMONTH(CD$5,0)),"■",IF(AND('制度詳細'!$J$21&lt;&gt;"",'制度詳細'!$J$21&gt;=CD$5,'制度詳細'!$J$21&lt;=EOMONTH(CD$5,0)),"◆","")))</x:f>
      </x:c>
      <x:c r="CE21" s="57" t="str">
        <x:f>IF('制度詳細'!$H$21="",IF('制度詳細'!$J$21="","",IF(AND('制度詳細'!$J$21&gt;=CE$5,'制度詳細'!$J$21&lt;=EOMONTH(CE$5,0)),"◆","")),IF(MAX('制度詳細'!$H$21,CE$5)&lt;=MIN(IF('制度詳細'!$I$21="",EOMONTH(CE$5,0),'制度詳細'!$I$21),EOMONTH(CE$5,0)),"■",IF(AND('制度詳細'!$J$21&lt;&gt;"",'制度詳細'!$J$21&gt;=CE$5,'制度詳細'!$J$21&lt;=EOMONTH(CE$5,0)),"◆","")))</x:f>
      </x:c>
      <x:c r="CF21" s="57" t="str">
        <x:f>IF('制度詳細'!$H$21="",IF('制度詳細'!$J$21="","",IF(AND('制度詳細'!$J$21&gt;=CF$5,'制度詳細'!$J$21&lt;=EOMONTH(CF$5,0)),"◆","")),IF(MAX('制度詳細'!$H$21,CF$5)&lt;=MIN(IF('制度詳細'!$I$21="",EOMONTH(CF$5,0),'制度詳細'!$I$21),EOMONTH(CF$5,0)),"■",IF(AND('制度詳細'!$J$21&lt;&gt;"",'制度詳細'!$J$21&gt;=CF$5,'制度詳細'!$J$21&lt;=EOMONTH(CF$5,0)),"◆","")))</x:f>
      </x:c>
      <x:c r="CG21" s="57" t="str">
        <x:f>IF('制度詳細'!$H$21="",IF('制度詳細'!$J$21="","",IF(AND('制度詳細'!$J$21&gt;=CG$5,'制度詳細'!$J$21&lt;=EOMONTH(CG$5,0)),"◆","")),IF(MAX('制度詳細'!$H$21,CG$5)&lt;=MIN(IF('制度詳細'!$I$21="",EOMONTH(CG$5,0),'制度詳細'!$I$21),EOMONTH(CG$5,0)),"■",IF(AND('制度詳細'!$J$21&lt;&gt;"",'制度詳細'!$J$21&gt;=CG$5,'制度詳細'!$J$21&lt;=EOMONTH(CG$5,0)),"◆","")))</x:f>
      </x:c>
      <x:c r="CH21" s="57" t="str">
        <x:f>IF('制度詳細'!$H$21="",IF('制度詳細'!$J$21="","",IF(AND('制度詳細'!$J$21&gt;=CH$5,'制度詳細'!$J$21&lt;=EOMONTH(CH$5,0)),"◆","")),IF(MAX('制度詳細'!$H$21,CH$5)&lt;=MIN(IF('制度詳細'!$I$21="",EOMONTH(CH$5,0),'制度詳細'!$I$21),EOMONTH(CH$5,0)),"■",IF(AND('制度詳細'!$J$21&lt;&gt;"",'制度詳細'!$J$21&gt;=CH$5,'制度詳細'!$J$21&lt;=EOMONTH(CH$5,0)),"◆","")))</x:f>
      </x:c>
      <x:c r="CI21" s="57" t="str">
        <x:f>IF('制度詳細'!$H$21="",IF('制度詳細'!$J$21="","",IF(AND('制度詳細'!$J$21&gt;=CI$5,'制度詳細'!$J$21&lt;=EOMONTH(CI$5,0)),"◆","")),IF(MAX('制度詳細'!$H$21,CI$5)&lt;=MIN(IF('制度詳細'!$I$21="",EOMONTH(CI$5,0),'制度詳細'!$I$21),EOMONTH(CI$5,0)),"■",IF(AND('制度詳細'!$J$21&lt;&gt;"",'制度詳細'!$J$21&gt;=CI$5,'制度詳細'!$J$21&lt;=EOMONTH(CI$5,0)),"◆","")))</x:f>
      </x:c>
      <x:c r="CJ21" s="57" t="str">
        <x:f>IF('制度詳細'!$H$21="",IF('制度詳細'!$J$21="","",IF(AND('制度詳細'!$J$21&gt;=CJ$5,'制度詳細'!$J$21&lt;=EOMONTH(CJ$5,0)),"◆","")),IF(MAX('制度詳細'!$H$21,CJ$5)&lt;=MIN(IF('制度詳細'!$I$21="",EOMONTH(CJ$5,0),'制度詳細'!$I$21),EOMONTH(CJ$5,0)),"■",IF(AND('制度詳細'!$J$21&lt;&gt;"",'制度詳細'!$J$21&gt;=CJ$5,'制度詳細'!$J$21&lt;=EOMONTH(CJ$5,0)),"◆","")))</x:f>
      </x:c>
      <x:c r="CK21" s="57" t="str">
        <x:f>IF('制度詳細'!$H$21="",IF('制度詳細'!$J$21="","",IF(AND('制度詳細'!$J$21&gt;=CK$5,'制度詳細'!$J$21&lt;=EOMONTH(CK$5,0)),"◆","")),IF(MAX('制度詳細'!$H$21,CK$5)&lt;=MIN(IF('制度詳細'!$I$21="",EOMONTH(CK$5,0),'制度詳細'!$I$21),EOMONTH(CK$5,0)),"■",IF(AND('制度詳細'!$J$21&lt;&gt;"",'制度詳細'!$J$21&gt;=CK$5,'制度詳細'!$J$21&lt;=EOMONTH(CK$5,0)),"◆","")))</x:f>
      </x:c>
      <x:c r="CL21" s="57" t="str">
        <x:f>IF('制度詳細'!$H$21="",IF('制度詳細'!$J$21="","",IF(AND('制度詳細'!$J$21&gt;=CL$5,'制度詳細'!$J$21&lt;=EOMONTH(CL$5,0)),"◆","")),IF(MAX('制度詳細'!$H$21,CL$5)&lt;=MIN(IF('制度詳細'!$I$21="",EOMONTH(CL$5,0),'制度詳細'!$I$21),EOMONTH(CL$5,0)),"■",IF(AND('制度詳細'!$J$21&lt;&gt;"",'制度詳細'!$J$21&gt;=CL$5,'制度詳細'!$J$21&lt;=EOMONTH(CL$5,0)),"◆","")))</x:f>
      </x:c>
      <x:c r="CM21" s="57" t="str">
        <x:f>IF('制度詳細'!$H$21="",IF('制度詳細'!$J$21="","",IF(AND('制度詳細'!$J$21&gt;=CM$5,'制度詳細'!$J$21&lt;=EOMONTH(CM$5,0)),"◆","")),IF(MAX('制度詳細'!$H$21,CM$5)&lt;=MIN(IF('制度詳細'!$I$21="",EOMONTH(CM$5,0),'制度詳細'!$I$21),EOMONTH(CM$5,0)),"■",IF(AND('制度詳細'!$J$21&lt;&gt;"",'制度詳細'!$J$21&gt;=CM$5,'制度詳細'!$J$21&lt;=EOMONTH(CM$5,0)),"◆","")))</x:f>
      </x:c>
      <x:c r="CN21" s="57" t="str">
        <x:f>IF('制度詳細'!$H$21="",IF('制度詳細'!$J$21="","",IF(AND('制度詳細'!$J$21&gt;=CN$5,'制度詳細'!$J$21&lt;=EOMONTH(CN$5,0)),"◆","")),IF(MAX('制度詳細'!$H$21,CN$5)&lt;=MIN(IF('制度詳細'!$I$21="",EOMONTH(CN$5,0),'制度詳細'!$I$21),EOMONTH(CN$5,0)),"■",IF(AND('制度詳細'!$J$21&lt;&gt;"",'制度詳細'!$J$21&gt;=CN$5,'制度詳細'!$J$21&lt;=EOMONTH(CN$5,0)),"◆","")))</x:f>
      </x:c>
      <x:c r="CO21" s="57" t="str">
        <x:f>IF('制度詳細'!$H$21="",IF('制度詳細'!$J$21="","",IF(AND('制度詳細'!$J$21&gt;=CO$5,'制度詳細'!$J$21&lt;=EOMONTH(CO$5,0)),"◆","")),IF(MAX('制度詳細'!$H$21,CO$5)&lt;=MIN(IF('制度詳細'!$I$21="",EOMONTH(CO$5,0),'制度詳細'!$I$21),EOMONTH(CO$5,0)),"■",IF(AND('制度詳細'!$J$21&lt;&gt;"",'制度詳細'!$J$21&gt;=CO$5,'制度詳細'!$J$21&lt;=EOMONTH(CO$5,0)),"◆","")))</x:f>
      </x:c>
      <x:c r="CP21" s="57" t="str">
        <x:f>IF('制度詳細'!$H$21="",IF('制度詳細'!$J$21="","",IF(AND('制度詳細'!$J$21&gt;=CP$5,'制度詳細'!$J$21&lt;=EOMONTH(CP$5,0)),"◆","")),IF(MAX('制度詳細'!$H$21,CP$5)&lt;=MIN(IF('制度詳細'!$I$21="",EOMONTH(CP$5,0),'制度詳細'!$I$21),EOMONTH(CP$5,0)),"■",IF(AND('制度詳細'!$J$21&lt;&gt;"",'制度詳細'!$J$21&gt;=CP$5,'制度詳細'!$J$21&lt;=EOMONTH(CP$5,0)),"◆","")))</x:f>
      </x:c>
      <x:c r="CQ21" s="57" t="str">
        <x:f>IF('制度詳細'!$H$21="",IF('制度詳細'!$J$21="","",IF(AND('制度詳細'!$J$21&gt;=CQ$5,'制度詳細'!$J$21&lt;=EOMONTH(CQ$5,0)),"◆","")),IF(MAX('制度詳細'!$H$21,CQ$5)&lt;=MIN(IF('制度詳細'!$I$21="",EOMONTH(CQ$5,0),'制度詳細'!$I$21),EOMONTH(CQ$5,0)),"■",IF(AND('制度詳細'!$J$21&lt;&gt;"",'制度詳細'!$J$21&gt;=CQ$5,'制度詳細'!$J$21&lt;=EOMONTH(CQ$5,0)),"◆","")))</x:f>
      </x:c>
      <x:c r="CR21" s="57" t="str">
        <x:f>IF('制度詳細'!$H$21="",IF('制度詳細'!$J$21="","",IF(AND('制度詳細'!$J$21&gt;=CR$5,'制度詳細'!$J$21&lt;=EOMONTH(CR$5,0)),"◆","")),IF(MAX('制度詳細'!$H$21,CR$5)&lt;=MIN(IF('制度詳細'!$I$21="",EOMONTH(CR$5,0),'制度詳細'!$I$21),EOMONTH(CR$5,0)),"■",IF(AND('制度詳細'!$J$21&lt;&gt;"",'制度詳細'!$J$21&gt;=CR$5,'制度詳細'!$J$21&lt;=EOMONTH(CR$5,0)),"◆","")))</x:f>
      </x:c>
      <x:c r="CS21" s="57" t="str">
        <x:f>IF('制度詳細'!$H$21="",IF('制度詳細'!$J$21="","",IF(AND('制度詳細'!$J$21&gt;=CS$5,'制度詳細'!$J$21&lt;=EOMONTH(CS$5,0)),"◆","")),IF(MAX('制度詳細'!$H$21,CS$5)&lt;=MIN(IF('制度詳細'!$I$21="",EOMONTH(CS$5,0),'制度詳細'!$I$21),EOMONTH(CS$5,0)),"■",IF(AND('制度詳細'!$J$21&lt;&gt;"",'制度詳細'!$J$21&gt;=CS$5,'制度詳細'!$J$21&lt;=EOMONTH(CS$5,0)),"◆","")))</x:f>
      </x:c>
      <x:c r="CT21" s="57" t="str">
        <x:f>IF('制度詳細'!$H$21="",IF('制度詳細'!$J$21="","",IF(AND('制度詳細'!$J$21&gt;=CT$5,'制度詳細'!$J$21&lt;=EOMONTH(CT$5,0)),"◆","")),IF(MAX('制度詳細'!$H$21,CT$5)&lt;=MIN(IF('制度詳細'!$I$21="",EOMONTH(CT$5,0),'制度詳細'!$I$21),EOMONTH(CT$5,0)),"■",IF(AND('制度詳細'!$J$21&lt;&gt;"",'制度詳細'!$J$21&gt;=CT$5,'制度詳細'!$J$21&lt;=EOMONTH(CT$5,0)),"◆","")))</x:f>
      </x:c>
      <x:c r="CU21" s="57" t="str">
        <x:f>IF('制度詳細'!$H$21="",IF('制度詳細'!$J$21="","",IF(AND('制度詳細'!$J$21&gt;=CU$5,'制度詳細'!$J$21&lt;=EOMONTH(CU$5,0)),"◆","")),IF(MAX('制度詳細'!$H$21,CU$5)&lt;=MIN(IF('制度詳細'!$I$21="",EOMONTH(CU$5,0),'制度詳細'!$I$21),EOMONTH(CU$5,0)),"■",IF(AND('制度詳細'!$J$21&lt;&gt;"",'制度詳細'!$J$21&gt;=CU$5,'制度詳細'!$J$21&lt;=EOMONTH(CU$5,0)),"◆","")))</x:f>
      </x:c>
      <x:c r="CV21" s="57" t="str">
        <x:f>IF('制度詳細'!$H$21="",IF('制度詳細'!$J$21="","",IF(AND('制度詳細'!$J$21&gt;=CV$5,'制度詳細'!$J$21&lt;=EOMONTH(CV$5,0)),"◆","")),IF(MAX('制度詳細'!$H$21,CV$5)&lt;=MIN(IF('制度詳細'!$I$21="",EOMONTH(CV$5,0),'制度詳細'!$I$21),EOMONTH(CV$5,0)),"■",IF(AND('制度詳細'!$J$21&lt;&gt;"",'制度詳細'!$J$21&gt;=CV$5,'制度詳細'!$J$21&lt;=EOMONTH(CV$5,0)),"◆","")))</x:f>
        <x:v>■</x:v>
      </x:c>
      <x:c r="CW21" s="1"/>
      <x:c r="CX21" s="1"/>
      <x:c r="CY21" s="1"/>
      <x:c r="CZ21" s="1"/>
      <x:c r="DA21" s="1"/>
      <x:c r="DB21" s="1"/>
      <x:c r="DC21" s="1"/>
      <x:c r="DD21" s="1"/>
    </x:row>
    <x:row r="22" ht="27" customHeight="1">
      <x:c r="A22" s="53" t="str">
        <x:v>ID08</x:v>
      </x:c>
      <x:c r="B22" s="53" t="str">
        <x:v>インドネシア</x:v>
      </x:c>
      <x:c r="C22" s="53" t="str">
        <x:v>TKDN国内調達基準40%</x:v>
      </x:c>
      <x:c r="D22" s="53" t="str">
        <x:v>BEV</x:v>
      </x:c>
      <x:c r="E22" s="57" t="str">
        <x:f>IF('制度詳細'!$H$22="",IF('制度詳細'!$J$22="","",IF(AND('制度詳細'!$J$22&gt;=E$5,'制度詳細'!$J$22&lt;=EOMONTH(E$5,0)),"◆","")),IF(MAX('制度詳細'!$H$22,E$5)&lt;=MIN(IF('制度詳細'!$I$22="",EOMONTH(E$5,0),'制度詳細'!$I$22),EOMONTH(E$5,0)),"■",IF(AND('制度詳細'!$J$22&lt;&gt;"",'制度詳細'!$J$22&gt;=E$5,'制度詳細'!$J$22&lt;=EOMONTH(E$5,0)),"◆","")))</x:f>
      </x:c>
      <x:c r="F22" s="57" t="str">
        <x:f>IF('制度詳細'!$H$22="",IF('制度詳細'!$J$22="","",IF(AND('制度詳細'!$J$22&gt;=F$5,'制度詳細'!$J$22&lt;=EOMONTH(F$5,0)),"◆","")),IF(MAX('制度詳細'!$H$22,F$5)&lt;=MIN(IF('制度詳細'!$I$22="",EOMONTH(F$5,0),'制度詳細'!$I$22),EOMONTH(F$5,0)),"■",IF(AND('制度詳細'!$J$22&lt;&gt;"",'制度詳細'!$J$22&gt;=F$5,'制度詳細'!$J$22&lt;=EOMONTH(F$5,0)),"◆","")))</x:f>
      </x:c>
      <x:c r="G22" s="57" t="str">
        <x:f>IF('制度詳細'!$H$22="",IF('制度詳細'!$J$22="","",IF(AND('制度詳細'!$J$22&gt;=G$5,'制度詳細'!$J$22&lt;=EOMONTH(G$5,0)),"◆","")),IF(MAX('制度詳細'!$H$22,G$5)&lt;=MIN(IF('制度詳細'!$I$22="",EOMONTH(G$5,0),'制度詳細'!$I$22),EOMONTH(G$5,0)),"■",IF(AND('制度詳細'!$J$22&lt;&gt;"",'制度詳細'!$J$22&gt;=G$5,'制度詳細'!$J$22&lt;=EOMONTH(G$5,0)),"◆","")))</x:f>
      </x:c>
      <x:c r="H22" s="57" t="str">
        <x:f>IF('制度詳細'!$H$22="",IF('制度詳細'!$J$22="","",IF(AND('制度詳細'!$J$22&gt;=H$5,'制度詳細'!$J$22&lt;=EOMONTH(H$5,0)),"◆","")),IF(MAX('制度詳細'!$H$22,H$5)&lt;=MIN(IF('制度詳細'!$I$22="",EOMONTH(H$5,0),'制度詳細'!$I$22),EOMONTH(H$5,0)),"■",IF(AND('制度詳細'!$J$22&lt;&gt;"",'制度詳細'!$J$22&gt;=H$5,'制度詳細'!$J$22&lt;=EOMONTH(H$5,0)),"◆","")))</x:f>
      </x:c>
      <x:c r="I22" s="57" t="str">
        <x:f>IF('制度詳細'!$H$22="",IF('制度詳細'!$J$22="","",IF(AND('制度詳細'!$J$22&gt;=I$5,'制度詳細'!$J$22&lt;=EOMONTH(I$5,0)),"◆","")),IF(MAX('制度詳細'!$H$22,I$5)&lt;=MIN(IF('制度詳細'!$I$22="",EOMONTH(I$5,0),'制度詳細'!$I$22),EOMONTH(I$5,0)),"■",IF(AND('制度詳細'!$J$22&lt;&gt;"",'制度詳細'!$J$22&gt;=I$5,'制度詳細'!$J$22&lt;=EOMONTH(I$5,0)),"◆","")))</x:f>
      </x:c>
      <x:c r="J22" s="57" t="str">
        <x:f>IF('制度詳細'!$H$22="",IF('制度詳細'!$J$22="","",IF(AND('制度詳細'!$J$22&gt;=J$5,'制度詳細'!$J$22&lt;=EOMONTH(J$5,0)),"◆","")),IF(MAX('制度詳細'!$H$22,J$5)&lt;=MIN(IF('制度詳細'!$I$22="",EOMONTH(J$5,0),'制度詳細'!$I$22),EOMONTH(J$5,0)),"■",IF(AND('制度詳細'!$J$22&lt;&gt;"",'制度詳細'!$J$22&gt;=J$5,'制度詳細'!$J$22&lt;=EOMONTH(J$5,0)),"◆","")))</x:f>
      </x:c>
      <x:c r="K22" s="57" t="str">
        <x:f>IF('制度詳細'!$H$22="",IF('制度詳細'!$J$22="","",IF(AND('制度詳細'!$J$22&gt;=K$5,'制度詳細'!$J$22&lt;=EOMONTH(K$5,0)),"◆","")),IF(MAX('制度詳細'!$H$22,K$5)&lt;=MIN(IF('制度詳細'!$I$22="",EOMONTH(K$5,0),'制度詳細'!$I$22),EOMONTH(K$5,0)),"■",IF(AND('制度詳細'!$J$22&lt;&gt;"",'制度詳細'!$J$22&gt;=K$5,'制度詳細'!$J$22&lt;=EOMONTH(K$5,0)),"◆","")))</x:f>
      </x:c>
      <x:c r="L22" s="57" t="str">
        <x:f>IF('制度詳細'!$H$22="",IF('制度詳細'!$J$22="","",IF(AND('制度詳細'!$J$22&gt;=L$5,'制度詳細'!$J$22&lt;=EOMONTH(L$5,0)),"◆","")),IF(MAX('制度詳細'!$H$22,L$5)&lt;=MIN(IF('制度詳細'!$I$22="",EOMONTH(L$5,0),'制度詳細'!$I$22),EOMONTH(L$5,0)),"■",IF(AND('制度詳細'!$J$22&lt;&gt;"",'制度詳細'!$J$22&gt;=L$5,'制度詳細'!$J$22&lt;=EOMONTH(L$5,0)),"◆","")))</x:f>
      </x:c>
      <x:c r="M22" s="57" t="str">
        <x:f>IF('制度詳細'!$H$22="",IF('制度詳細'!$J$22="","",IF(AND('制度詳細'!$J$22&gt;=M$5,'制度詳細'!$J$22&lt;=EOMONTH(M$5,0)),"◆","")),IF(MAX('制度詳細'!$H$22,M$5)&lt;=MIN(IF('制度詳細'!$I$22="",EOMONTH(M$5,0),'制度詳細'!$I$22),EOMONTH(M$5,0)),"■",IF(AND('制度詳細'!$J$22&lt;&gt;"",'制度詳細'!$J$22&gt;=M$5,'制度詳細'!$J$22&lt;=EOMONTH(M$5,0)),"◆","")))</x:f>
      </x:c>
      <x:c r="N22" s="57" t="str">
        <x:f>IF('制度詳細'!$H$22="",IF('制度詳細'!$J$22="","",IF(AND('制度詳細'!$J$22&gt;=N$5,'制度詳細'!$J$22&lt;=EOMONTH(N$5,0)),"◆","")),IF(MAX('制度詳細'!$H$22,N$5)&lt;=MIN(IF('制度詳細'!$I$22="",EOMONTH(N$5,0),'制度詳細'!$I$22),EOMONTH(N$5,0)),"■",IF(AND('制度詳細'!$J$22&lt;&gt;"",'制度詳細'!$J$22&gt;=N$5,'制度詳細'!$J$22&lt;=EOMONTH(N$5,0)),"◆","")))</x:f>
      </x:c>
      <x:c r="O22" s="57" t="str">
        <x:f>IF('制度詳細'!$H$22="",IF('制度詳細'!$J$22="","",IF(AND('制度詳細'!$J$22&gt;=O$5,'制度詳細'!$J$22&lt;=EOMONTH(O$5,0)),"◆","")),IF(MAX('制度詳細'!$H$22,O$5)&lt;=MIN(IF('制度詳細'!$I$22="",EOMONTH(O$5,0),'制度詳細'!$I$22),EOMONTH(O$5,0)),"■",IF(AND('制度詳細'!$J$22&lt;&gt;"",'制度詳細'!$J$22&gt;=O$5,'制度詳細'!$J$22&lt;=EOMONTH(O$5,0)),"◆","")))</x:f>
      </x:c>
      <x:c r="P22" s="57" t="str">
        <x:f>IF('制度詳細'!$H$22="",IF('制度詳細'!$J$22="","",IF(AND('制度詳細'!$J$22&gt;=P$5,'制度詳細'!$J$22&lt;=EOMONTH(P$5,0)),"◆","")),IF(MAX('制度詳細'!$H$22,P$5)&lt;=MIN(IF('制度詳細'!$I$22="",EOMONTH(P$5,0),'制度詳細'!$I$22),EOMONTH(P$5,0)),"■",IF(AND('制度詳細'!$J$22&lt;&gt;"",'制度詳細'!$J$22&gt;=P$5,'制度詳細'!$J$22&lt;=EOMONTH(P$5,0)),"◆","")))</x:f>
      </x:c>
      <x:c r="Q22" s="57" t="str">
        <x:f>IF('制度詳細'!$H$22="",IF('制度詳細'!$J$22="","",IF(AND('制度詳細'!$J$22&gt;=Q$5,'制度詳細'!$J$22&lt;=EOMONTH(Q$5,0)),"◆","")),IF(MAX('制度詳細'!$H$22,Q$5)&lt;=MIN(IF('制度詳細'!$I$22="",EOMONTH(Q$5,0),'制度詳細'!$I$22),EOMONTH(Q$5,0)),"■",IF(AND('制度詳細'!$J$22&lt;&gt;"",'制度詳細'!$J$22&gt;=Q$5,'制度詳細'!$J$22&lt;=EOMONTH(Q$5,0)),"◆","")))</x:f>
      </x:c>
      <x:c r="R22" s="57" t="str">
        <x:f>IF('制度詳細'!$H$22="",IF('制度詳細'!$J$22="","",IF(AND('制度詳細'!$J$22&gt;=R$5,'制度詳細'!$J$22&lt;=EOMONTH(R$5,0)),"◆","")),IF(MAX('制度詳細'!$H$22,R$5)&lt;=MIN(IF('制度詳細'!$I$22="",EOMONTH(R$5,0),'制度詳細'!$I$22),EOMONTH(R$5,0)),"■",IF(AND('制度詳細'!$J$22&lt;&gt;"",'制度詳細'!$J$22&gt;=R$5,'制度詳細'!$J$22&lt;=EOMONTH(R$5,0)),"◆","")))</x:f>
      </x:c>
      <x:c r="S22" s="57" t="str">
        <x:f>IF('制度詳細'!$H$22="",IF('制度詳細'!$J$22="","",IF(AND('制度詳細'!$J$22&gt;=S$5,'制度詳細'!$J$22&lt;=EOMONTH(S$5,0)),"◆","")),IF(MAX('制度詳細'!$H$22,S$5)&lt;=MIN(IF('制度詳細'!$I$22="",EOMONTH(S$5,0),'制度詳細'!$I$22),EOMONTH(S$5,0)),"■",IF(AND('制度詳細'!$J$22&lt;&gt;"",'制度詳細'!$J$22&gt;=S$5,'制度詳細'!$J$22&lt;=EOMONTH(S$5,0)),"◆","")))</x:f>
      </x:c>
      <x:c r="T22" s="57" t="str">
        <x:f>IF('制度詳細'!$H$22="",IF('制度詳細'!$J$22="","",IF(AND('制度詳細'!$J$22&gt;=T$5,'制度詳細'!$J$22&lt;=EOMONTH(T$5,0)),"◆","")),IF(MAX('制度詳細'!$H$22,T$5)&lt;=MIN(IF('制度詳細'!$I$22="",EOMONTH(T$5,0),'制度詳細'!$I$22),EOMONTH(T$5,0)),"■",IF(AND('制度詳細'!$J$22&lt;&gt;"",'制度詳細'!$J$22&gt;=T$5,'制度詳細'!$J$22&lt;=EOMONTH(T$5,0)),"◆","")))</x:f>
      </x:c>
      <x:c r="U22" s="57" t="str">
        <x:f>IF('制度詳細'!$H$22="",IF('制度詳細'!$J$22="","",IF(AND('制度詳細'!$J$22&gt;=U$5,'制度詳細'!$J$22&lt;=EOMONTH(U$5,0)),"◆","")),IF(MAX('制度詳細'!$H$22,U$5)&lt;=MIN(IF('制度詳細'!$I$22="",EOMONTH(U$5,0),'制度詳細'!$I$22),EOMONTH(U$5,0)),"■",IF(AND('制度詳細'!$J$22&lt;&gt;"",'制度詳細'!$J$22&gt;=U$5,'制度詳細'!$J$22&lt;=EOMONTH(U$5,0)),"◆","")))</x:f>
      </x:c>
      <x:c r="V22" s="57" t="str">
        <x:f>IF('制度詳細'!$H$22="",IF('制度詳細'!$J$22="","",IF(AND('制度詳細'!$J$22&gt;=V$5,'制度詳細'!$J$22&lt;=EOMONTH(V$5,0)),"◆","")),IF(MAX('制度詳細'!$H$22,V$5)&lt;=MIN(IF('制度詳細'!$I$22="",EOMONTH(V$5,0),'制度詳細'!$I$22),EOMONTH(V$5,0)),"■",IF(AND('制度詳細'!$J$22&lt;&gt;"",'制度詳細'!$J$22&gt;=V$5,'制度詳細'!$J$22&lt;=EOMONTH(V$5,0)),"◆","")))</x:f>
      </x:c>
      <x:c r="W22" s="57" t="str">
        <x:f>IF('制度詳細'!$H$22="",IF('制度詳細'!$J$22="","",IF(AND('制度詳細'!$J$22&gt;=W$5,'制度詳細'!$J$22&lt;=EOMONTH(W$5,0)),"◆","")),IF(MAX('制度詳細'!$H$22,W$5)&lt;=MIN(IF('制度詳細'!$I$22="",EOMONTH(W$5,0),'制度詳細'!$I$22),EOMONTH(W$5,0)),"■",IF(AND('制度詳細'!$J$22&lt;&gt;"",'制度詳細'!$J$22&gt;=W$5,'制度詳細'!$J$22&lt;=EOMONTH(W$5,0)),"◆","")))</x:f>
      </x:c>
      <x:c r="X22" s="57" t="str">
        <x:f>IF('制度詳細'!$H$22="",IF('制度詳細'!$J$22="","",IF(AND('制度詳細'!$J$22&gt;=X$5,'制度詳細'!$J$22&lt;=EOMONTH(X$5,0)),"◆","")),IF(MAX('制度詳細'!$H$22,X$5)&lt;=MIN(IF('制度詳細'!$I$22="",EOMONTH(X$5,0),'制度詳細'!$I$22),EOMONTH(X$5,0)),"■",IF(AND('制度詳細'!$J$22&lt;&gt;"",'制度詳細'!$J$22&gt;=X$5,'制度詳細'!$J$22&lt;=EOMONTH(X$5,0)),"◆","")))</x:f>
      </x:c>
      <x:c r="Y22" s="57" t="str">
        <x:f>IF('制度詳細'!$H$22="",IF('制度詳細'!$J$22="","",IF(AND('制度詳細'!$J$22&gt;=Y$5,'制度詳細'!$J$22&lt;=EOMONTH(Y$5,0)),"◆","")),IF(MAX('制度詳細'!$H$22,Y$5)&lt;=MIN(IF('制度詳細'!$I$22="",EOMONTH(Y$5,0),'制度詳細'!$I$22),EOMONTH(Y$5,0)),"■",IF(AND('制度詳細'!$J$22&lt;&gt;"",'制度詳細'!$J$22&gt;=Y$5,'制度詳細'!$J$22&lt;=EOMONTH(Y$5,0)),"◆","")))</x:f>
      </x:c>
      <x:c r="Z22" s="57" t="str">
        <x:f>IF('制度詳細'!$H$22="",IF('制度詳細'!$J$22="","",IF(AND('制度詳細'!$J$22&gt;=Z$5,'制度詳細'!$J$22&lt;=EOMONTH(Z$5,0)),"◆","")),IF(MAX('制度詳細'!$H$22,Z$5)&lt;=MIN(IF('制度詳細'!$I$22="",EOMONTH(Z$5,0),'制度詳細'!$I$22),EOMONTH(Z$5,0)),"■",IF(AND('制度詳細'!$J$22&lt;&gt;"",'制度詳細'!$J$22&gt;=Z$5,'制度詳細'!$J$22&lt;=EOMONTH(Z$5,0)),"◆","")))</x:f>
      </x:c>
      <x:c r="AA22" s="57" t="str">
        <x:f>IF('制度詳細'!$H$22="",IF('制度詳細'!$J$22="","",IF(AND('制度詳細'!$J$22&gt;=AA$5,'制度詳細'!$J$22&lt;=EOMONTH(AA$5,0)),"◆","")),IF(MAX('制度詳細'!$H$22,AA$5)&lt;=MIN(IF('制度詳細'!$I$22="",EOMONTH(AA$5,0),'制度詳細'!$I$22),EOMONTH(AA$5,0)),"■",IF(AND('制度詳細'!$J$22&lt;&gt;"",'制度詳細'!$J$22&gt;=AA$5,'制度詳細'!$J$22&lt;=EOMONTH(AA$5,0)),"◆","")))</x:f>
      </x:c>
      <x:c r="AB22" s="57" t="str">
        <x:f>IF('制度詳細'!$H$22="",IF('制度詳細'!$J$22="","",IF(AND('制度詳細'!$J$22&gt;=AB$5,'制度詳細'!$J$22&lt;=EOMONTH(AB$5,0)),"◆","")),IF(MAX('制度詳細'!$H$22,AB$5)&lt;=MIN(IF('制度詳細'!$I$22="",EOMONTH(AB$5,0),'制度詳細'!$I$22),EOMONTH(AB$5,0)),"■",IF(AND('制度詳細'!$J$22&lt;&gt;"",'制度詳細'!$J$22&gt;=AB$5,'制度詳細'!$J$22&lt;=EOMONTH(AB$5,0)),"◆","")))</x:f>
      </x:c>
      <x:c r="AC22" s="57" t="str">
        <x:f>IF('制度詳細'!$H$22="",IF('制度詳細'!$J$22="","",IF(AND('制度詳細'!$J$22&gt;=AC$5,'制度詳細'!$J$22&lt;=EOMONTH(AC$5,0)),"◆","")),IF(MAX('制度詳細'!$H$22,AC$5)&lt;=MIN(IF('制度詳細'!$I$22="",EOMONTH(AC$5,0),'制度詳細'!$I$22),EOMONTH(AC$5,0)),"■",IF(AND('制度詳細'!$J$22&lt;&gt;"",'制度詳細'!$J$22&gt;=AC$5,'制度詳細'!$J$22&lt;=EOMONTH(AC$5,0)),"◆","")))</x:f>
        <x:v>■</x:v>
      </x:c>
      <x:c r="AD22" s="57" t="str">
        <x:f>IF('制度詳細'!$H$22="",IF('制度詳細'!$J$22="","",IF(AND('制度詳細'!$J$22&gt;=AD$5,'制度詳細'!$J$22&lt;=EOMONTH(AD$5,0)),"◆","")),IF(MAX('制度詳細'!$H$22,AD$5)&lt;=MIN(IF('制度詳細'!$I$22="",EOMONTH(AD$5,0),'制度詳細'!$I$22),EOMONTH(AD$5,0)),"■",IF(AND('制度詳細'!$J$22&lt;&gt;"",'制度詳細'!$J$22&gt;=AD$5,'制度詳細'!$J$22&lt;=EOMONTH(AD$5,0)),"◆","")))</x:f>
        <x:v>■</x:v>
      </x:c>
      <x:c r="AE22" s="57" t="str">
        <x:f>IF('制度詳細'!$H$22="",IF('制度詳細'!$J$22="","",IF(AND('制度詳細'!$J$22&gt;=AE$5,'制度詳細'!$J$22&lt;=EOMONTH(AE$5,0)),"◆","")),IF(MAX('制度詳細'!$H$22,AE$5)&lt;=MIN(IF('制度詳細'!$I$22="",EOMONTH(AE$5,0),'制度詳細'!$I$22),EOMONTH(AE$5,0)),"■",IF(AND('制度詳細'!$J$22&lt;&gt;"",'制度詳細'!$J$22&gt;=AE$5,'制度詳細'!$J$22&lt;=EOMONTH(AE$5,0)),"◆","")))</x:f>
        <x:v>■</x:v>
      </x:c>
      <x:c r="AF22" s="57" t="str">
        <x:f>IF('制度詳細'!$H$22="",IF('制度詳細'!$J$22="","",IF(AND('制度詳細'!$J$22&gt;=AF$5,'制度詳細'!$J$22&lt;=EOMONTH(AF$5,0)),"◆","")),IF(MAX('制度詳細'!$H$22,AF$5)&lt;=MIN(IF('制度詳細'!$I$22="",EOMONTH(AF$5,0),'制度詳細'!$I$22),EOMONTH(AF$5,0)),"■",IF(AND('制度詳細'!$J$22&lt;&gt;"",'制度詳細'!$J$22&gt;=AF$5,'制度詳細'!$J$22&lt;=EOMONTH(AF$5,0)),"◆","")))</x:f>
        <x:v>■</x:v>
      </x:c>
      <x:c r="AG22" s="57" t="str">
        <x:f>IF('制度詳細'!$H$22="",IF('制度詳細'!$J$22="","",IF(AND('制度詳細'!$J$22&gt;=AG$5,'制度詳細'!$J$22&lt;=EOMONTH(AG$5,0)),"◆","")),IF(MAX('制度詳細'!$H$22,AG$5)&lt;=MIN(IF('制度詳細'!$I$22="",EOMONTH(AG$5,0),'制度詳細'!$I$22),EOMONTH(AG$5,0)),"■",IF(AND('制度詳細'!$J$22&lt;&gt;"",'制度詳細'!$J$22&gt;=AG$5,'制度詳細'!$J$22&lt;=EOMONTH(AG$5,0)),"◆","")))</x:f>
        <x:v>■</x:v>
      </x:c>
      <x:c r="AH22" s="57" t="str">
        <x:f>IF('制度詳細'!$H$22="",IF('制度詳細'!$J$22="","",IF(AND('制度詳細'!$J$22&gt;=AH$5,'制度詳細'!$J$22&lt;=EOMONTH(AH$5,0)),"◆","")),IF(MAX('制度詳細'!$H$22,AH$5)&lt;=MIN(IF('制度詳細'!$I$22="",EOMONTH(AH$5,0),'制度詳細'!$I$22),EOMONTH(AH$5,0)),"■",IF(AND('制度詳細'!$J$22&lt;&gt;"",'制度詳細'!$J$22&gt;=AH$5,'制度詳細'!$J$22&lt;=EOMONTH(AH$5,0)),"◆","")))</x:f>
        <x:v>■</x:v>
      </x:c>
      <x:c r="AI22" s="57" t="str">
        <x:f>IF('制度詳細'!$H$22="",IF('制度詳細'!$J$22="","",IF(AND('制度詳細'!$J$22&gt;=AI$5,'制度詳細'!$J$22&lt;=EOMONTH(AI$5,0)),"◆","")),IF(MAX('制度詳細'!$H$22,AI$5)&lt;=MIN(IF('制度詳細'!$I$22="",EOMONTH(AI$5,0),'制度詳細'!$I$22),EOMONTH(AI$5,0)),"■",IF(AND('制度詳細'!$J$22&lt;&gt;"",'制度詳細'!$J$22&gt;=AI$5,'制度詳細'!$J$22&lt;=EOMONTH(AI$5,0)),"◆","")))</x:f>
        <x:v>■</x:v>
      </x:c>
      <x:c r="AJ22" s="57" t="str">
        <x:f>IF('制度詳細'!$H$22="",IF('制度詳細'!$J$22="","",IF(AND('制度詳細'!$J$22&gt;=AJ$5,'制度詳細'!$J$22&lt;=EOMONTH(AJ$5,0)),"◆","")),IF(MAX('制度詳細'!$H$22,AJ$5)&lt;=MIN(IF('制度詳細'!$I$22="",EOMONTH(AJ$5,0),'制度詳細'!$I$22),EOMONTH(AJ$5,0)),"■",IF(AND('制度詳細'!$J$22&lt;&gt;"",'制度詳細'!$J$22&gt;=AJ$5,'制度詳細'!$J$22&lt;=EOMONTH(AJ$5,0)),"◆","")))</x:f>
        <x:v>■</x:v>
      </x:c>
      <x:c r="AK22" s="57" t="str">
        <x:f>IF('制度詳細'!$H$22="",IF('制度詳細'!$J$22="","",IF(AND('制度詳細'!$J$22&gt;=AK$5,'制度詳細'!$J$22&lt;=EOMONTH(AK$5,0)),"◆","")),IF(MAX('制度詳細'!$H$22,AK$5)&lt;=MIN(IF('制度詳細'!$I$22="",EOMONTH(AK$5,0),'制度詳細'!$I$22),EOMONTH(AK$5,0)),"■",IF(AND('制度詳細'!$J$22&lt;&gt;"",'制度詳細'!$J$22&gt;=AK$5,'制度詳細'!$J$22&lt;=EOMONTH(AK$5,0)),"◆","")))</x:f>
        <x:v>■</x:v>
      </x:c>
      <x:c r="AL22" s="57" t="str">
        <x:f>IF('制度詳細'!$H$22="",IF('制度詳細'!$J$22="","",IF(AND('制度詳細'!$J$22&gt;=AL$5,'制度詳細'!$J$22&lt;=EOMONTH(AL$5,0)),"◆","")),IF(MAX('制度詳細'!$H$22,AL$5)&lt;=MIN(IF('制度詳細'!$I$22="",EOMONTH(AL$5,0),'制度詳細'!$I$22),EOMONTH(AL$5,0)),"■",IF(AND('制度詳細'!$J$22&lt;&gt;"",'制度詳細'!$J$22&gt;=AL$5,'制度詳細'!$J$22&lt;=EOMONTH(AL$5,0)),"◆","")))</x:f>
        <x:v>■</x:v>
      </x:c>
      <x:c r="AM22" s="57" t="str">
        <x:f>IF('制度詳細'!$H$22="",IF('制度詳細'!$J$22="","",IF(AND('制度詳細'!$J$22&gt;=AM$5,'制度詳細'!$J$22&lt;=EOMONTH(AM$5,0)),"◆","")),IF(MAX('制度詳細'!$H$22,AM$5)&lt;=MIN(IF('制度詳細'!$I$22="",EOMONTH(AM$5,0),'制度詳細'!$I$22),EOMONTH(AM$5,0)),"■",IF(AND('制度詳細'!$J$22&lt;&gt;"",'制度詳細'!$J$22&gt;=AM$5,'制度詳細'!$J$22&lt;=EOMONTH(AM$5,0)),"◆","")))</x:f>
        <x:v>■</x:v>
      </x:c>
      <x:c r="AN22" s="57" t="str">
        <x:f>IF('制度詳細'!$H$22="",IF('制度詳細'!$J$22="","",IF(AND('制度詳細'!$J$22&gt;=AN$5,'制度詳細'!$J$22&lt;=EOMONTH(AN$5,0)),"◆","")),IF(MAX('制度詳細'!$H$22,AN$5)&lt;=MIN(IF('制度詳細'!$I$22="",EOMONTH(AN$5,0),'制度詳細'!$I$22),EOMONTH(AN$5,0)),"■",IF(AND('制度詳細'!$J$22&lt;&gt;"",'制度詳細'!$J$22&gt;=AN$5,'制度詳細'!$J$22&lt;=EOMONTH(AN$5,0)),"◆","")))</x:f>
        <x:v>■</x:v>
      </x:c>
      <x:c r="AO22" s="57" t="str">
        <x:f>IF('制度詳細'!$H$22="",IF('制度詳細'!$J$22="","",IF(AND('制度詳細'!$J$22&gt;=AO$5,'制度詳細'!$J$22&lt;=EOMONTH(AO$5,0)),"◆","")),IF(MAX('制度詳細'!$H$22,AO$5)&lt;=MIN(IF('制度詳細'!$I$22="",EOMONTH(AO$5,0),'制度詳細'!$I$22),EOMONTH(AO$5,0)),"■",IF(AND('制度詳細'!$J$22&lt;&gt;"",'制度詳細'!$J$22&gt;=AO$5,'制度詳細'!$J$22&lt;=EOMONTH(AO$5,0)),"◆","")))</x:f>
        <x:v>■</x:v>
      </x:c>
      <x:c r="AP22" s="57" t="str">
        <x:f>IF('制度詳細'!$H$22="",IF('制度詳細'!$J$22="","",IF(AND('制度詳細'!$J$22&gt;=AP$5,'制度詳細'!$J$22&lt;=EOMONTH(AP$5,0)),"◆","")),IF(MAX('制度詳細'!$H$22,AP$5)&lt;=MIN(IF('制度詳細'!$I$22="",EOMONTH(AP$5,0),'制度詳細'!$I$22),EOMONTH(AP$5,0)),"■",IF(AND('制度詳細'!$J$22&lt;&gt;"",'制度詳細'!$J$22&gt;=AP$5,'制度詳細'!$J$22&lt;=EOMONTH(AP$5,0)),"◆","")))</x:f>
        <x:v>■</x:v>
      </x:c>
      <x:c r="AQ22" s="57" t="str">
        <x:f>IF('制度詳細'!$H$22="",IF('制度詳細'!$J$22="","",IF(AND('制度詳細'!$J$22&gt;=AQ$5,'制度詳細'!$J$22&lt;=EOMONTH(AQ$5,0)),"◆","")),IF(MAX('制度詳細'!$H$22,AQ$5)&lt;=MIN(IF('制度詳細'!$I$22="",EOMONTH(AQ$5,0),'制度詳細'!$I$22),EOMONTH(AQ$5,0)),"■",IF(AND('制度詳細'!$J$22&lt;&gt;"",'制度詳細'!$J$22&gt;=AQ$5,'制度詳細'!$J$22&lt;=EOMONTH(AQ$5,0)),"◆","")))</x:f>
        <x:v>■</x:v>
      </x:c>
      <x:c r="AR22" s="57" t="str">
        <x:f>IF('制度詳細'!$H$22="",IF('制度詳細'!$J$22="","",IF(AND('制度詳細'!$J$22&gt;=AR$5,'制度詳細'!$J$22&lt;=EOMONTH(AR$5,0)),"◆","")),IF(MAX('制度詳細'!$H$22,AR$5)&lt;=MIN(IF('制度詳細'!$I$22="",EOMONTH(AR$5,0),'制度詳細'!$I$22),EOMONTH(AR$5,0)),"■",IF(AND('制度詳細'!$J$22&lt;&gt;"",'制度詳細'!$J$22&gt;=AR$5,'制度詳細'!$J$22&lt;=EOMONTH(AR$5,0)),"◆","")))</x:f>
        <x:v>■</x:v>
      </x:c>
      <x:c r="AS22" s="57" t="str">
        <x:f>IF('制度詳細'!$H$22="",IF('制度詳細'!$J$22="","",IF(AND('制度詳細'!$J$22&gt;=AS$5,'制度詳細'!$J$22&lt;=EOMONTH(AS$5,0)),"◆","")),IF(MAX('制度詳細'!$H$22,AS$5)&lt;=MIN(IF('制度詳細'!$I$22="",EOMONTH(AS$5,0),'制度詳細'!$I$22),EOMONTH(AS$5,0)),"■",IF(AND('制度詳細'!$J$22&lt;&gt;"",'制度詳細'!$J$22&gt;=AS$5,'制度詳細'!$J$22&lt;=EOMONTH(AS$5,0)),"◆","")))</x:f>
        <x:v>■</x:v>
      </x:c>
      <x:c r="AT22" s="57" t="str">
        <x:f>IF('制度詳細'!$H$22="",IF('制度詳細'!$J$22="","",IF(AND('制度詳細'!$J$22&gt;=AT$5,'制度詳細'!$J$22&lt;=EOMONTH(AT$5,0)),"◆","")),IF(MAX('制度詳細'!$H$22,AT$5)&lt;=MIN(IF('制度詳細'!$I$22="",EOMONTH(AT$5,0),'制度詳細'!$I$22),EOMONTH(AT$5,0)),"■",IF(AND('制度詳細'!$J$22&lt;&gt;"",'制度詳細'!$J$22&gt;=AT$5,'制度詳細'!$J$22&lt;=EOMONTH(AT$5,0)),"◆","")))</x:f>
        <x:v>■</x:v>
      </x:c>
      <x:c r="AU22" s="57" t="str">
        <x:f>IF('制度詳細'!$H$22="",IF('制度詳細'!$J$22="","",IF(AND('制度詳細'!$J$22&gt;=AU$5,'制度詳細'!$J$22&lt;=EOMONTH(AU$5,0)),"◆","")),IF(MAX('制度詳細'!$H$22,AU$5)&lt;=MIN(IF('制度詳細'!$I$22="",EOMONTH(AU$5,0),'制度詳細'!$I$22),EOMONTH(AU$5,0)),"■",IF(AND('制度詳細'!$J$22&lt;&gt;"",'制度詳細'!$J$22&gt;=AU$5,'制度詳細'!$J$22&lt;=EOMONTH(AU$5,0)),"◆","")))</x:f>
        <x:v>■</x:v>
      </x:c>
      <x:c r="AV22" s="57" t="str">
        <x:f>IF('制度詳細'!$H$22="",IF('制度詳細'!$J$22="","",IF(AND('制度詳細'!$J$22&gt;=AV$5,'制度詳細'!$J$22&lt;=EOMONTH(AV$5,0)),"◆","")),IF(MAX('制度詳細'!$H$22,AV$5)&lt;=MIN(IF('制度詳細'!$I$22="",EOMONTH(AV$5,0),'制度詳細'!$I$22),EOMONTH(AV$5,0)),"■",IF(AND('制度詳細'!$J$22&lt;&gt;"",'制度詳細'!$J$22&gt;=AV$5,'制度詳細'!$J$22&lt;=EOMONTH(AV$5,0)),"◆","")))</x:f>
        <x:v>■</x:v>
      </x:c>
      <x:c r="AW22" s="57" t="str">
        <x:f>IF('制度詳細'!$H$22="",IF('制度詳細'!$J$22="","",IF(AND('制度詳細'!$J$22&gt;=AW$5,'制度詳細'!$J$22&lt;=EOMONTH(AW$5,0)),"◆","")),IF(MAX('制度詳細'!$H$22,AW$5)&lt;=MIN(IF('制度詳細'!$I$22="",EOMONTH(AW$5,0),'制度詳細'!$I$22),EOMONTH(AW$5,0)),"■",IF(AND('制度詳細'!$J$22&lt;&gt;"",'制度詳細'!$J$22&gt;=AW$5,'制度詳細'!$J$22&lt;=EOMONTH(AW$5,0)),"◆","")))</x:f>
        <x:v>■</x:v>
      </x:c>
      <x:c r="AX22" s="57" t="str">
        <x:f>IF('制度詳細'!$H$22="",IF('制度詳細'!$J$22="","",IF(AND('制度詳細'!$J$22&gt;=AX$5,'制度詳細'!$J$22&lt;=EOMONTH(AX$5,0)),"◆","")),IF(MAX('制度詳細'!$H$22,AX$5)&lt;=MIN(IF('制度詳細'!$I$22="",EOMONTH(AX$5,0),'制度詳細'!$I$22),EOMONTH(AX$5,0)),"■",IF(AND('制度詳細'!$J$22&lt;&gt;"",'制度詳細'!$J$22&gt;=AX$5,'制度詳細'!$J$22&lt;=EOMONTH(AX$5,0)),"◆","")))</x:f>
        <x:v>■</x:v>
      </x:c>
      <x:c r="AY22" s="57" t="str">
        <x:f>IF('制度詳細'!$H$22="",IF('制度詳細'!$J$22="","",IF(AND('制度詳細'!$J$22&gt;=AY$5,'制度詳細'!$J$22&lt;=EOMONTH(AY$5,0)),"◆","")),IF(MAX('制度詳細'!$H$22,AY$5)&lt;=MIN(IF('制度詳細'!$I$22="",EOMONTH(AY$5,0),'制度詳細'!$I$22),EOMONTH(AY$5,0)),"■",IF(AND('制度詳細'!$J$22&lt;&gt;"",'制度詳細'!$J$22&gt;=AY$5,'制度詳細'!$J$22&lt;=EOMONTH(AY$5,0)),"◆","")))</x:f>
        <x:v>■</x:v>
      </x:c>
      <x:c r="AZ22" s="57" t="str">
        <x:f>IF('制度詳細'!$H$22="",IF('制度詳細'!$J$22="","",IF(AND('制度詳細'!$J$22&gt;=AZ$5,'制度詳細'!$J$22&lt;=EOMONTH(AZ$5,0)),"◆","")),IF(MAX('制度詳細'!$H$22,AZ$5)&lt;=MIN(IF('制度詳細'!$I$22="",EOMONTH(AZ$5,0),'制度詳細'!$I$22),EOMONTH(AZ$5,0)),"■",IF(AND('制度詳細'!$J$22&lt;&gt;"",'制度詳細'!$J$22&gt;=AZ$5,'制度詳細'!$J$22&lt;=EOMONTH(AZ$5,0)),"◆","")))</x:f>
        <x:v>■</x:v>
      </x:c>
      <x:c r="BA22" s="57" t="str">
        <x:f>IF('制度詳細'!$H$22="",IF('制度詳細'!$J$22="","",IF(AND('制度詳細'!$J$22&gt;=BA$5,'制度詳細'!$J$22&lt;=EOMONTH(BA$5,0)),"◆","")),IF(MAX('制度詳細'!$H$22,BA$5)&lt;=MIN(IF('制度詳細'!$I$22="",EOMONTH(BA$5,0),'制度詳細'!$I$22),EOMONTH(BA$5,0)),"■",IF(AND('制度詳細'!$J$22&lt;&gt;"",'制度詳細'!$J$22&gt;=BA$5,'制度詳細'!$J$22&lt;=EOMONTH(BA$5,0)),"◆","")))</x:f>
        <x:v>■</x:v>
      </x:c>
      <x:c r="BB22" s="57" t="str">
        <x:f>IF('制度詳細'!$H$22="",IF('制度詳細'!$J$22="","",IF(AND('制度詳細'!$J$22&gt;=BB$5,'制度詳細'!$J$22&lt;=EOMONTH(BB$5,0)),"◆","")),IF(MAX('制度詳細'!$H$22,BB$5)&lt;=MIN(IF('制度詳細'!$I$22="",EOMONTH(BB$5,0),'制度詳細'!$I$22),EOMONTH(BB$5,0)),"■",IF(AND('制度詳細'!$J$22&lt;&gt;"",'制度詳細'!$J$22&gt;=BB$5,'制度詳細'!$J$22&lt;=EOMONTH(BB$5,0)),"◆","")))</x:f>
        <x:v>■</x:v>
      </x:c>
      <x:c r="BC22" s="57" t="str">
        <x:f>IF('制度詳細'!$H$22="",IF('制度詳細'!$J$22="","",IF(AND('制度詳細'!$J$22&gt;=BC$5,'制度詳細'!$J$22&lt;=EOMONTH(BC$5,0)),"◆","")),IF(MAX('制度詳細'!$H$22,BC$5)&lt;=MIN(IF('制度詳細'!$I$22="",EOMONTH(BC$5,0),'制度詳細'!$I$22),EOMONTH(BC$5,0)),"■",IF(AND('制度詳細'!$J$22&lt;&gt;"",'制度詳細'!$J$22&gt;=BC$5,'制度詳細'!$J$22&lt;=EOMONTH(BC$5,0)),"◆","")))</x:f>
        <x:v>■</x:v>
      </x:c>
      <x:c r="BD22" s="57" t="str">
        <x:f>IF('制度詳細'!$H$22="",IF('制度詳細'!$J$22="","",IF(AND('制度詳細'!$J$22&gt;=BD$5,'制度詳細'!$J$22&lt;=EOMONTH(BD$5,0)),"◆","")),IF(MAX('制度詳細'!$H$22,BD$5)&lt;=MIN(IF('制度詳細'!$I$22="",EOMONTH(BD$5,0),'制度詳細'!$I$22),EOMONTH(BD$5,0)),"■",IF(AND('制度詳細'!$J$22&lt;&gt;"",'制度詳細'!$J$22&gt;=BD$5,'制度詳細'!$J$22&lt;=EOMONTH(BD$5,0)),"◆","")))</x:f>
        <x:v>■</x:v>
      </x:c>
      <x:c r="BE22" s="57" t="str">
        <x:f>IF('制度詳細'!$H$22="",IF('制度詳細'!$J$22="","",IF(AND('制度詳細'!$J$22&gt;=BE$5,'制度詳細'!$J$22&lt;=EOMONTH(BE$5,0)),"◆","")),IF(MAX('制度詳細'!$H$22,BE$5)&lt;=MIN(IF('制度詳細'!$I$22="",EOMONTH(BE$5,0),'制度詳細'!$I$22),EOMONTH(BE$5,0)),"■",IF(AND('制度詳細'!$J$22&lt;&gt;"",'制度詳細'!$J$22&gt;=BE$5,'制度詳細'!$J$22&lt;=EOMONTH(BE$5,0)),"◆","")))</x:f>
        <x:v>■</x:v>
      </x:c>
      <x:c r="BF22" s="57" t="str">
        <x:f>IF('制度詳細'!$H$22="",IF('制度詳細'!$J$22="","",IF(AND('制度詳細'!$J$22&gt;=BF$5,'制度詳細'!$J$22&lt;=EOMONTH(BF$5,0)),"◆","")),IF(MAX('制度詳細'!$H$22,BF$5)&lt;=MIN(IF('制度詳細'!$I$22="",EOMONTH(BF$5,0),'制度詳細'!$I$22),EOMONTH(BF$5,0)),"■",IF(AND('制度詳細'!$J$22&lt;&gt;"",'制度詳細'!$J$22&gt;=BF$5,'制度詳細'!$J$22&lt;=EOMONTH(BF$5,0)),"◆","")))</x:f>
        <x:v>■</x:v>
      </x:c>
      <x:c r="BG22" s="57" t="str">
        <x:f>IF('制度詳細'!$H$22="",IF('制度詳細'!$J$22="","",IF(AND('制度詳細'!$J$22&gt;=BG$5,'制度詳細'!$J$22&lt;=EOMONTH(BG$5,0)),"◆","")),IF(MAX('制度詳細'!$H$22,BG$5)&lt;=MIN(IF('制度詳細'!$I$22="",EOMONTH(BG$5,0),'制度詳細'!$I$22),EOMONTH(BG$5,0)),"■",IF(AND('制度詳細'!$J$22&lt;&gt;"",'制度詳細'!$J$22&gt;=BG$5,'制度詳細'!$J$22&lt;=EOMONTH(BG$5,0)),"◆","")))</x:f>
        <x:v>■</x:v>
      </x:c>
      <x:c r="BH22" s="57" t="str">
        <x:f>IF('制度詳細'!$H$22="",IF('制度詳細'!$J$22="","",IF(AND('制度詳細'!$J$22&gt;=BH$5,'制度詳細'!$J$22&lt;=EOMONTH(BH$5,0)),"◆","")),IF(MAX('制度詳細'!$H$22,BH$5)&lt;=MIN(IF('制度詳細'!$I$22="",EOMONTH(BH$5,0),'制度詳細'!$I$22),EOMONTH(BH$5,0)),"■",IF(AND('制度詳細'!$J$22&lt;&gt;"",'制度詳細'!$J$22&gt;=BH$5,'制度詳細'!$J$22&lt;=EOMONTH(BH$5,0)),"◆","")))</x:f>
        <x:v>■</x:v>
      </x:c>
      <x:c r="BI22" s="57" t="str">
        <x:f>IF('制度詳細'!$H$22="",IF('制度詳細'!$J$22="","",IF(AND('制度詳細'!$J$22&gt;=BI$5,'制度詳細'!$J$22&lt;=EOMONTH(BI$5,0)),"◆","")),IF(MAX('制度詳細'!$H$22,BI$5)&lt;=MIN(IF('制度詳細'!$I$22="",EOMONTH(BI$5,0),'制度詳細'!$I$22),EOMONTH(BI$5,0)),"■",IF(AND('制度詳細'!$J$22&lt;&gt;"",'制度詳細'!$J$22&gt;=BI$5,'制度詳細'!$J$22&lt;=EOMONTH(BI$5,0)),"◆","")))</x:f>
        <x:v>■</x:v>
      </x:c>
      <x:c r="BJ22" s="57" t="str">
        <x:f>IF('制度詳細'!$H$22="",IF('制度詳細'!$J$22="","",IF(AND('制度詳細'!$J$22&gt;=BJ$5,'制度詳細'!$J$22&lt;=EOMONTH(BJ$5,0)),"◆","")),IF(MAX('制度詳細'!$H$22,BJ$5)&lt;=MIN(IF('制度詳細'!$I$22="",EOMONTH(BJ$5,0),'制度詳細'!$I$22),EOMONTH(BJ$5,0)),"■",IF(AND('制度詳細'!$J$22&lt;&gt;"",'制度詳細'!$J$22&gt;=BJ$5,'制度詳細'!$J$22&lt;=EOMONTH(BJ$5,0)),"◆","")))</x:f>
        <x:v>■</x:v>
      </x:c>
      <x:c r="BK22" s="57" t="str">
        <x:f>IF('制度詳細'!$H$22="",IF('制度詳細'!$J$22="","",IF(AND('制度詳細'!$J$22&gt;=BK$5,'制度詳細'!$J$22&lt;=EOMONTH(BK$5,0)),"◆","")),IF(MAX('制度詳細'!$H$22,BK$5)&lt;=MIN(IF('制度詳細'!$I$22="",EOMONTH(BK$5,0),'制度詳細'!$I$22),EOMONTH(BK$5,0)),"■",IF(AND('制度詳細'!$J$22&lt;&gt;"",'制度詳細'!$J$22&gt;=BK$5,'制度詳細'!$J$22&lt;=EOMONTH(BK$5,0)),"◆","")))</x:f>
        <x:v>■</x:v>
      </x:c>
      <x:c r="BL22" s="57" t="str">
        <x:f>IF('制度詳細'!$H$22="",IF('制度詳細'!$J$22="","",IF(AND('制度詳細'!$J$22&gt;=BL$5,'制度詳細'!$J$22&lt;=EOMONTH(BL$5,0)),"◆","")),IF(MAX('制度詳細'!$H$22,BL$5)&lt;=MIN(IF('制度詳細'!$I$22="",EOMONTH(BL$5,0),'制度詳細'!$I$22),EOMONTH(BL$5,0)),"■",IF(AND('制度詳細'!$J$22&lt;&gt;"",'制度詳細'!$J$22&gt;=BL$5,'制度詳細'!$J$22&lt;=EOMONTH(BL$5,0)),"◆","")))</x:f>
        <x:v>■</x:v>
      </x:c>
      <x:c r="BM22" s="57" t="str">
        <x:f>IF('制度詳細'!$H$22="",IF('制度詳細'!$J$22="","",IF(AND('制度詳細'!$J$22&gt;=BM$5,'制度詳細'!$J$22&lt;=EOMONTH(BM$5,0)),"◆","")),IF(MAX('制度詳細'!$H$22,BM$5)&lt;=MIN(IF('制度詳細'!$I$22="",EOMONTH(BM$5,0),'制度詳細'!$I$22),EOMONTH(BM$5,0)),"■",IF(AND('制度詳細'!$J$22&lt;&gt;"",'制度詳細'!$J$22&gt;=BM$5,'制度詳細'!$J$22&lt;=EOMONTH(BM$5,0)),"◆","")))</x:f>
        <x:v>■</x:v>
      </x:c>
      <x:c r="BN22" s="57" t="str">
        <x:f>IF('制度詳細'!$H$22="",IF('制度詳細'!$J$22="","",IF(AND('制度詳細'!$J$22&gt;=BN$5,'制度詳細'!$J$22&lt;=EOMONTH(BN$5,0)),"◆","")),IF(MAX('制度詳細'!$H$22,BN$5)&lt;=MIN(IF('制度詳細'!$I$22="",EOMONTH(BN$5,0),'制度詳細'!$I$22),EOMONTH(BN$5,0)),"■",IF(AND('制度詳細'!$J$22&lt;&gt;"",'制度詳細'!$J$22&gt;=BN$5,'制度詳細'!$J$22&lt;=EOMONTH(BN$5,0)),"◆","")))</x:f>
        <x:v>■</x:v>
      </x:c>
      <x:c r="BO22" s="57" t="str">
        <x:f>IF('制度詳細'!$H$22="",IF('制度詳細'!$J$22="","",IF(AND('制度詳細'!$J$22&gt;=BO$5,'制度詳細'!$J$22&lt;=EOMONTH(BO$5,0)),"◆","")),IF(MAX('制度詳細'!$H$22,BO$5)&lt;=MIN(IF('制度詳細'!$I$22="",EOMONTH(BO$5,0),'制度詳細'!$I$22),EOMONTH(BO$5,0)),"■",IF(AND('制度詳細'!$J$22&lt;&gt;"",'制度詳細'!$J$22&gt;=BO$5,'制度詳細'!$J$22&lt;=EOMONTH(BO$5,0)),"◆","")))</x:f>
        <x:v>■</x:v>
      </x:c>
      <x:c r="BP22" s="57" t="str">
        <x:f>IF('制度詳細'!$H$22="",IF('制度詳細'!$J$22="","",IF(AND('制度詳細'!$J$22&gt;=BP$5,'制度詳細'!$J$22&lt;=EOMONTH(BP$5,0)),"◆","")),IF(MAX('制度詳細'!$H$22,BP$5)&lt;=MIN(IF('制度詳細'!$I$22="",EOMONTH(BP$5,0),'制度詳細'!$I$22),EOMONTH(BP$5,0)),"■",IF(AND('制度詳細'!$J$22&lt;&gt;"",'制度詳細'!$J$22&gt;=BP$5,'制度詳細'!$J$22&lt;=EOMONTH(BP$5,0)),"◆","")))</x:f>
        <x:v>■</x:v>
      </x:c>
      <x:c r="BQ22" s="57" t="str">
        <x:f>IF('制度詳細'!$H$22="",IF('制度詳細'!$J$22="","",IF(AND('制度詳細'!$J$22&gt;=BQ$5,'制度詳細'!$J$22&lt;=EOMONTH(BQ$5,0)),"◆","")),IF(MAX('制度詳細'!$H$22,BQ$5)&lt;=MIN(IF('制度詳細'!$I$22="",EOMONTH(BQ$5,0),'制度詳細'!$I$22),EOMONTH(BQ$5,0)),"■",IF(AND('制度詳細'!$J$22&lt;&gt;"",'制度詳細'!$J$22&gt;=BQ$5,'制度詳細'!$J$22&lt;=EOMONTH(BQ$5,0)),"◆","")))</x:f>
        <x:v>■</x:v>
      </x:c>
      <x:c r="BR22" s="57" t="str">
        <x:f>IF('制度詳細'!$H$22="",IF('制度詳細'!$J$22="","",IF(AND('制度詳細'!$J$22&gt;=BR$5,'制度詳細'!$J$22&lt;=EOMONTH(BR$5,0)),"◆","")),IF(MAX('制度詳細'!$H$22,BR$5)&lt;=MIN(IF('制度詳細'!$I$22="",EOMONTH(BR$5,0),'制度詳細'!$I$22),EOMONTH(BR$5,0)),"■",IF(AND('制度詳細'!$J$22&lt;&gt;"",'制度詳細'!$J$22&gt;=BR$5,'制度詳細'!$J$22&lt;=EOMONTH(BR$5,0)),"◆","")))</x:f>
        <x:v>■</x:v>
      </x:c>
      <x:c r="BS22" s="57" t="str">
        <x:f>IF('制度詳細'!$H$22="",IF('制度詳細'!$J$22="","",IF(AND('制度詳細'!$J$22&gt;=BS$5,'制度詳細'!$J$22&lt;=EOMONTH(BS$5,0)),"◆","")),IF(MAX('制度詳細'!$H$22,BS$5)&lt;=MIN(IF('制度詳細'!$I$22="",EOMONTH(BS$5,0),'制度詳細'!$I$22),EOMONTH(BS$5,0)),"■",IF(AND('制度詳細'!$J$22&lt;&gt;"",'制度詳細'!$J$22&gt;=BS$5,'制度詳細'!$J$22&lt;=EOMONTH(BS$5,0)),"◆","")))</x:f>
        <x:v>■</x:v>
      </x:c>
      <x:c r="BT22" s="57" t="str">
        <x:f>IF('制度詳細'!$H$22="",IF('制度詳細'!$J$22="","",IF(AND('制度詳細'!$J$22&gt;=BT$5,'制度詳細'!$J$22&lt;=EOMONTH(BT$5,0)),"◆","")),IF(MAX('制度詳細'!$H$22,BT$5)&lt;=MIN(IF('制度詳細'!$I$22="",EOMONTH(BT$5,0),'制度詳細'!$I$22),EOMONTH(BT$5,0)),"■",IF(AND('制度詳細'!$J$22&lt;&gt;"",'制度詳細'!$J$22&gt;=BT$5,'制度詳細'!$J$22&lt;=EOMONTH(BT$5,0)),"◆","")))</x:f>
        <x:v>■</x:v>
      </x:c>
      <x:c r="BU22" s="57" t="str">
        <x:f>IF('制度詳細'!$H$22="",IF('制度詳細'!$J$22="","",IF(AND('制度詳細'!$J$22&gt;=BU$5,'制度詳細'!$J$22&lt;=EOMONTH(BU$5,0)),"◆","")),IF(MAX('制度詳細'!$H$22,BU$5)&lt;=MIN(IF('制度詳細'!$I$22="",EOMONTH(BU$5,0),'制度詳細'!$I$22),EOMONTH(BU$5,0)),"■",IF(AND('制度詳細'!$J$22&lt;&gt;"",'制度詳細'!$J$22&gt;=BU$5,'制度詳細'!$J$22&lt;=EOMONTH(BU$5,0)),"◆","")))</x:f>
        <x:v>■</x:v>
      </x:c>
      <x:c r="BV22" s="57" t="str">
        <x:f>IF('制度詳細'!$H$22="",IF('制度詳細'!$J$22="","",IF(AND('制度詳細'!$J$22&gt;=BV$5,'制度詳細'!$J$22&lt;=EOMONTH(BV$5,0)),"◆","")),IF(MAX('制度詳細'!$H$22,BV$5)&lt;=MIN(IF('制度詳細'!$I$22="",EOMONTH(BV$5,0),'制度詳細'!$I$22),EOMONTH(BV$5,0)),"■",IF(AND('制度詳細'!$J$22&lt;&gt;"",'制度詳細'!$J$22&gt;=BV$5,'制度詳細'!$J$22&lt;=EOMONTH(BV$5,0)),"◆","")))</x:f>
        <x:v>■</x:v>
      </x:c>
      <x:c r="BW22" s="57" t="str">
        <x:f>IF('制度詳細'!$H$22="",IF('制度詳細'!$J$22="","",IF(AND('制度詳細'!$J$22&gt;=BW$5,'制度詳細'!$J$22&lt;=EOMONTH(BW$5,0)),"◆","")),IF(MAX('制度詳細'!$H$22,BW$5)&lt;=MIN(IF('制度詳細'!$I$22="",EOMONTH(BW$5,0),'制度詳細'!$I$22),EOMONTH(BW$5,0)),"■",IF(AND('制度詳細'!$J$22&lt;&gt;"",'制度詳細'!$J$22&gt;=BW$5,'制度詳細'!$J$22&lt;=EOMONTH(BW$5,0)),"◆","")))</x:f>
        <x:v>■</x:v>
      </x:c>
      <x:c r="BX22" s="57" t="str">
        <x:f>IF('制度詳細'!$H$22="",IF('制度詳細'!$J$22="","",IF(AND('制度詳細'!$J$22&gt;=BX$5,'制度詳細'!$J$22&lt;=EOMONTH(BX$5,0)),"◆","")),IF(MAX('制度詳細'!$H$22,BX$5)&lt;=MIN(IF('制度詳細'!$I$22="",EOMONTH(BX$5,0),'制度詳細'!$I$22),EOMONTH(BX$5,0)),"■",IF(AND('制度詳細'!$J$22&lt;&gt;"",'制度詳細'!$J$22&gt;=BX$5,'制度詳細'!$J$22&lt;=EOMONTH(BX$5,0)),"◆","")))</x:f>
        <x:v>■</x:v>
      </x:c>
      <x:c r="BY22" s="57" t="str">
        <x:f>IF('制度詳細'!$H$22="",IF('制度詳細'!$J$22="","",IF(AND('制度詳細'!$J$22&gt;=BY$5,'制度詳細'!$J$22&lt;=EOMONTH(BY$5,0)),"◆","")),IF(MAX('制度詳細'!$H$22,BY$5)&lt;=MIN(IF('制度詳細'!$I$22="",EOMONTH(BY$5,0),'制度詳細'!$I$22),EOMONTH(BY$5,0)),"■",IF(AND('制度詳細'!$J$22&lt;&gt;"",'制度詳細'!$J$22&gt;=BY$5,'制度詳細'!$J$22&lt;=EOMONTH(BY$5,0)),"◆","")))</x:f>
        <x:v>■</x:v>
      </x:c>
      <x:c r="BZ22" s="57" t="str">
        <x:f>IF('制度詳細'!$H$22="",IF('制度詳細'!$J$22="","",IF(AND('制度詳細'!$J$22&gt;=BZ$5,'制度詳細'!$J$22&lt;=EOMONTH(BZ$5,0)),"◆","")),IF(MAX('制度詳細'!$H$22,BZ$5)&lt;=MIN(IF('制度詳細'!$I$22="",EOMONTH(BZ$5,0),'制度詳細'!$I$22),EOMONTH(BZ$5,0)),"■",IF(AND('制度詳細'!$J$22&lt;&gt;"",'制度詳細'!$J$22&gt;=BZ$5,'制度詳細'!$J$22&lt;=EOMONTH(BZ$5,0)),"◆","")))</x:f>
        <x:v>■</x:v>
      </x:c>
      <x:c r="CA22" s="57" t="str">
        <x:f>IF('制度詳細'!$H$22="",IF('制度詳細'!$J$22="","",IF(AND('制度詳細'!$J$22&gt;=CA$5,'制度詳細'!$J$22&lt;=EOMONTH(CA$5,0)),"◆","")),IF(MAX('制度詳細'!$H$22,CA$5)&lt;=MIN(IF('制度詳細'!$I$22="",EOMONTH(CA$5,0),'制度詳細'!$I$22),EOMONTH(CA$5,0)),"■",IF(AND('制度詳細'!$J$22&lt;&gt;"",'制度詳細'!$J$22&gt;=CA$5,'制度詳細'!$J$22&lt;=EOMONTH(CA$5,0)),"◆","")))</x:f>
        <x:v>■</x:v>
      </x:c>
      <x:c r="CB22" s="57" t="str">
        <x:f>IF('制度詳細'!$H$22="",IF('制度詳細'!$J$22="","",IF(AND('制度詳細'!$J$22&gt;=CB$5,'制度詳細'!$J$22&lt;=EOMONTH(CB$5,0)),"◆","")),IF(MAX('制度詳細'!$H$22,CB$5)&lt;=MIN(IF('制度詳細'!$I$22="",EOMONTH(CB$5,0),'制度詳細'!$I$22),EOMONTH(CB$5,0)),"■",IF(AND('制度詳細'!$J$22&lt;&gt;"",'制度詳細'!$J$22&gt;=CB$5,'制度詳細'!$J$22&lt;=EOMONTH(CB$5,0)),"◆","")))</x:f>
        <x:v>■</x:v>
      </x:c>
      <x:c r="CC22" s="57" t="str">
        <x:f>IF('制度詳細'!$H$22="",IF('制度詳細'!$J$22="","",IF(AND('制度詳細'!$J$22&gt;=CC$5,'制度詳細'!$J$22&lt;=EOMONTH(CC$5,0)),"◆","")),IF(MAX('制度詳細'!$H$22,CC$5)&lt;=MIN(IF('制度詳細'!$I$22="",EOMONTH(CC$5,0),'制度詳細'!$I$22),EOMONTH(CC$5,0)),"■",IF(AND('制度詳細'!$J$22&lt;&gt;"",'制度詳細'!$J$22&gt;=CC$5,'制度詳細'!$J$22&lt;=EOMONTH(CC$5,0)),"◆","")))</x:f>
        <x:v>■</x:v>
      </x:c>
      <x:c r="CD22" s="57" t="str">
        <x:f>IF('制度詳細'!$H$22="",IF('制度詳細'!$J$22="","",IF(AND('制度詳細'!$J$22&gt;=CD$5,'制度詳細'!$J$22&lt;=EOMONTH(CD$5,0)),"◆","")),IF(MAX('制度詳細'!$H$22,CD$5)&lt;=MIN(IF('制度詳細'!$I$22="",EOMONTH(CD$5,0),'制度詳細'!$I$22),EOMONTH(CD$5,0)),"■",IF(AND('制度詳細'!$J$22&lt;&gt;"",'制度詳細'!$J$22&gt;=CD$5,'制度詳細'!$J$22&lt;=EOMONTH(CD$5,0)),"◆","")))</x:f>
        <x:v>■</x:v>
      </x:c>
      <x:c r="CE22" s="57" t="str">
        <x:f>IF('制度詳細'!$H$22="",IF('制度詳細'!$J$22="","",IF(AND('制度詳細'!$J$22&gt;=CE$5,'制度詳細'!$J$22&lt;=EOMONTH(CE$5,0)),"◆","")),IF(MAX('制度詳細'!$H$22,CE$5)&lt;=MIN(IF('制度詳細'!$I$22="",EOMONTH(CE$5,0),'制度詳細'!$I$22),EOMONTH(CE$5,0)),"■",IF(AND('制度詳細'!$J$22&lt;&gt;"",'制度詳細'!$J$22&gt;=CE$5,'制度詳細'!$J$22&lt;=EOMONTH(CE$5,0)),"◆","")))</x:f>
        <x:v>■</x:v>
      </x:c>
      <x:c r="CF22" s="57" t="str">
        <x:f>IF('制度詳細'!$H$22="",IF('制度詳細'!$J$22="","",IF(AND('制度詳細'!$J$22&gt;=CF$5,'制度詳細'!$J$22&lt;=EOMONTH(CF$5,0)),"◆","")),IF(MAX('制度詳細'!$H$22,CF$5)&lt;=MIN(IF('制度詳細'!$I$22="",EOMONTH(CF$5,0),'制度詳細'!$I$22),EOMONTH(CF$5,0)),"■",IF(AND('制度詳細'!$J$22&lt;&gt;"",'制度詳細'!$J$22&gt;=CF$5,'制度詳細'!$J$22&lt;=EOMONTH(CF$5,0)),"◆","")))</x:f>
        <x:v>■</x:v>
      </x:c>
      <x:c r="CG22" s="57" t="str">
        <x:f>IF('制度詳細'!$H$22="",IF('制度詳細'!$J$22="","",IF(AND('制度詳細'!$J$22&gt;=CG$5,'制度詳細'!$J$22&lt;=EOMONTH(CG$5,0)),"◆","")),IF(MAX('制度詳細'!$H$22,CG$5)&lt;=MIN(IF('制度詳細'!$I$22="",EOMONTH(CG$5,0),'制度詳細'!$I$22),EOMONTH(CG$5,0)),"■",IF(AND('制度詳細'!$J$22&lt;&gt;"",'制度詳細'!$J$22&gt;=CG$5,'制度詳細'!$J$22&lt;=EOMONTH(CG$5,0)),"◆","")))</x:f>
        <x:v>■</x:v>
      </x:c>
      <x:c r="CH22" s="57" t="str">
        <x:f>IF('制度詳細'!$H$22="",IF('制度詳細'!$J$22="","",IF(AND('制度詳細'!$J$22&gt;=CH$5,'制度詳細'!$J$22&lt;=EOMONTH(CH$5,0)),"◆","")),IF(MAX('制度詳細'!$H$22,CH$5)&lt;=MIN(IF('制度詳細'!$I$22="",EOMONTH(CH$5,0),'制度詳細'!$I$22),EOMONTH(CH$5,0)),"■",IF(AND('制度詳細'!$J$22&lt;&gt;"",'制度詳細'!$J$22&gt;=CH$5,'制度詳細'!$J$22&lt;=EOMONTH(CH$5,0)),"◆","")))</x:f>
        <x:v>■</x:v>
      </x:c>
      <x:c r="CI22" s="57" t="str">
        <x:f>IF('制度詳細'!$H$22="",IF('制度詳細'!$J$22="","",IF(AND('制度詳細'!$J$22&gt;=CI$5,'制度詳細'!$J$22&lt;=EOMONTH(CI$5,0)),"◆","")),IF(MAX('制度詳細'!$H$22,CI$5)&lt;=MIN(IF('制度詳細'!$I$22="",EOMONTH(CI$5,0),'制度詳細'!$I$22),EOMONTH(CI$5,0)),"■",IF(AND('制度詳細'!$J$22&lt;&gt;"",'制度詳細'!$J$22&gt;=CI$5,'制度詳細'!$J$22&lt;=EOMONTH(CI$5,0)),"◆","")))</x:f>
        <x:v>■</x:v>
      </x:c>
      <x:c r="CJ22" s="57" t="str">
        <x:f>IF('制度詳細'!$H$22="",IF('制度詳細'!$J$22="","",IF(AND('制度詳細'!$J$22&gt;=CJ$5,'制度詳細'!$J$22&lt;=EOMONTH(CJ$5,0)),"◆","")),IF(MAX('制度詳細'!$H$22,CJ$5)&lt;=MIN(IF('制度詳細'!$I$22="",EOMONTH(CJ$5,0),'制度詳細'!$I$22),EOMONTH(CJ$5,0)),"■",IF(AND('制度詳細'!$J$22&lt;&gt;"",'制度詳細'!$J$22&gt;=CJ$5,'制度詳細'!$J$22&lt;=EOMONTH(CJ$5,0)),"◆","")))</x:f>
        <x:v>■</x:v>
      </x:c>
      <x:c r="CK22" s="57" t="str">
        <x:f>IF('制度詳細'!$H$22="",IF('制度詳細'!$J$22="","",IF(AND('制度詳細'!$J$22&gt;=CK$5,'制度詳細'!$J$22&lt;=EOMONTH(CK$5,0)),"◆","")),IF(MAX('制度詳細'!$H$22,CK$5)&lt;=MIN(IF('制度詳細'!$I$22="",EOMONTH(CK$5,0),'制度詳細'!$I$22),EOMONTH(CK$5,0)),"■",IF(AND('制度詳細'!$J$22&lt;&gt;"",'制度詳細'!$J$22&gt;=CK$5,'制度詳細'!$J$22&lt;=EOMONTH(CK$5,0)),"◆","")))</x:f>
      </x:c>
      <x:c r="CL22" s="57" t="str">
        <x:f>IF('制度詳細'!$H$22="",IF('制度詳細'!$J$22="","",IF(AND('制度詳細'!$J$22&gt;=CL$5,'制度詳細'!$J$22&lt;=EOMONTH(CL$5,0)),"◆","")),IF(MAX('制度詳細'!$H$22,CL$5)&lt;=MIN(IF('制度詳細'!$I$22="",EOMONTH(CL$5,0),'制度詳細'!$I$22),EOMONTH(CL$5,0)),"■",IF(AND('制度詳細'!$J$22&lt;&gt;"",'制度詳細'!$J$22&gt;=CL$5,'制度詳細'!$J$22&lt;=EOMONTH(CL$5,0)),"◆","")))</x:f>
      </x:c>
      <x:c r="CM22" s="57" t="str">
        <x:f>IF('制度詳細'!$H$22="",IF('制度詳細'!$J$22="","",IF(AND('制度詳細'!$J$22&gt;=CM$5,'制度詳細'!$J$22&lt;=EOMONTH(CM$5,0)),"◆","")),IF(MAX('制度詳細'!$H$22,CM$5)&lt;=MIN(IF('制度詳細'!$I$22="",EOMONTH(CM$5,0),'制度詳細'!$I$22),EOMONTH(CM$5,0)),"■",IF(AND('制度詳細'!$J$22&lt;&gt;"",'制度詳細'!$J$22&gt;=CM$5,'制度詳細'!$J$22&lt;=EOMONTH(CM$5,0)),"◆","")))</x:f>
      </x:c>
      <x:c r="CN22" s="57" t="str">
        <x:f>IF('制度詳細'!$H$22="",IF('制度詳細'!$J$22="","",IF(AND('制度詳細'!$J$22&gt;=CN$5,'制度詳細'!$J$22&lt;=EOMONTH(CN$5,0)),"◆","")),IF(MAX('制度詳細'!$H$22,CN$5)&lt;=MIN(IF('制度詳細'!$I$22="",EOMONTH(CN$5,0),'制度詳細'!$I$22),EOMONTH(CN$5,0)),"■",IF(AND('制度詳細'!$J$22&lt;&gt;"",'制度詳細'!$J$22&gt;=CN$5,'制度詳細'!$J$22&lt;=EOMONTH(CN$5,0)),"◆","")))</x:f>
      </x:c>
      <x:c r="CO22" s="57" t="str">
        <x:f>IF('制度詳細'!$H$22="",IF('制度詳細'!$J$22="","",IF(AND('制度詳細'!$J$22&gt;=CO$5,'制度詳細'!$J$22&lt;=EOMONTH(CO$5,0)),"◆","")),IF(MAX('制度詳細'!$H$22,CO$5)&lt;=MIN(IF('制度詳細'!$I$22="",EOMONTH(CO$5,0),'制度詳細'!$I$22),EOMONTH(CO$5,0)),"■",IF(AND('制度詳細'!$J$22&lt;&gt;"",'制度詳細'!$J$22&gt;=CO$5,'制度詳細'!$J$22&lt;=EOMONTH(CO$5,0)),"◆","")))</x:f>
      </x:c>
      <x:c r="CP22" s="57" t="str">
        <x:f>IF('制度詳細'!$H$22="",IF('制度詳細'!$J$22="","",IF(AND('制度詳細'!$J$22&gt;=CP$5,'制度詳細'!$J$22&lt;=EOMONTH(CP$5,0)),"◆","")),IF(MAX('制度詳細'!$H$22,CP$5)&lt;=MIN(IF('制度詳細'!$I$22="",EOMONTH(CP$5,0),'制度詳細'!$I$22),EOMONTH(CP$5,0)),"■",IF(AND('制度詳細'!$J$22&lt;&gt;"",'制度詳細'!$J$22&gt;=CP$5,'制度詳細'!$J$22&lt;=EOMONTH(CP$5,0)),"◆","")))</x:f>
      </x:c>
      <x:c r="CQ22" s="57" t="str">
        <x:f>IF('制度詳細'!$H$22="",IF('制度詳細'!$J$22="","",IF(AND('制度詳細'!$J$22&gt;=CQ$5,'制度詳細'!$J$22&lt;=EOMONTH(CQ$5,0)),"◆","")),IF(MAX('制度詳細'!$H$22,CQ$5)&lt;=MIN(IF('制度詳細'!$I$22="",EOMONTH(CQ$5,0),'制度詳細'!$I$22),EOMONTH(CQ$5,0)),"■",IF(AND('制度詳細'!$J$22&lt;&gt;"",'制度詳細'!$J$22&gt;=CQ$5,'制度詳細'!$J$22&lt;=EOMONTH(CQ$5,0)),"◆","")))</x:f>
      </x:c>
      <x:c r="CR22" s="57" t="str">
        <x:f>IF('制度詳細'!$H$22="",IF('制度詳細'!$J$22="","",IF(AND('制度詳細'!$J$22&gt;=CR$5,'制度詳細'!$J$22&lt;=EOMONTH(CR$5,0)),"◆","")),IF(MAX('制度詳細'!$H$22,CR$5)&lt;=MIN(IF('制度詳細'!$I$22="",EOMONTH(CR$5,0),'制度詳細'!$I$22),EOMONTH(CR$5,0)),"■",IF(AND('制度詳細'!$J$22&lt;&gt;"",'制度詳細'!$J$22&gt;=CR$5,'制度詳細'!$J$22&lt;=EOMONTH(CR$5,0)),"◆","")))</x:f>
      </x:c>
      <x:c r="CS22" s="57" t="str">
        <x:f>IF('制度詳細'!$H$22="",IF('制度詳細'!$J$22="","",IF(AND('制度詳細'!$J$22&gt;=CS$5,'制度詳細'!$J$22&lt;=EOMONTH(CS$5,0)),"◆","")),IF(MAX('制度詳細'!$H$22,CS$5)&lt;=MIN(IF('制度詳細'!$I$22="",EOMONTH(CS$5,0),'制度詳細'!$I$22),EOMONTH(CS$5,0)),"■",IF(AND('制度詳細'!$J$22&lt;&gt;"",'制度詳細'!$J$22&gt;=CS$5,'制度詳細'!$J$22&lt;=EOMONTH(CS$5,0)),"◆","")))</x:f>
      </x:c>
      <x:c r="CT22" s="57" t="str">
        <x:f>IF('制度詳細'!$H$22="",IF('制度詳細'!$J$22="","",IF(AND('制度詳細'!$J$22&gt;=CT$5,'制度詳細'!$J$22&lt;=EOMONTH(CT$5,0)),"◆","")),IF(MAX('制度詳細'!$H$22,CT$5)&lt;=MIN(IF('制度詳細'!$I$22="",EOMONTH(CT$5,0),'制度詳細'!$I$22),EOMONTH(CT$5,0)),"■",IF(AND('制度詳細'!$J$22&lt;&gt;"",'制度詳細'!$J$22&gt;=CT$5,'制度詳細'!$J$22&lt;=EOMONTH(CT$5,0)),"◆","")))</x:f>
      </x:c>
      <x:c r="CU22" s="57" t="str">
        <x:f>IF('制度詳細'!$H$22="",IF('制度詳細'!$J$22="","",IF(AND('制度詳細'!$J$22&gt;=CU$5,'制度詳細'!$J$22&lt;=EOMONTH(CU$5,0)),"◆","")),IF(MAX('制度詳細'!$H$22,CU$5)&lt;=MIN(IF('制度詳細'!$I$22="",EOMONTH(CU$5,0),'制度詳細'!$I$22),EOMONTH(CU$5,0)),"■",IF(AND('制度詳細'!$J$22&lt;&gt;"",'制度詳細'!$J$22&gt;=CU$5,'制度詳細'!$J$22&lt;=EOMONTH(CU$5,0)),"◆","")))</x:f>
      </x:c>
      <x:c r="CV22" s="57" t="str">
        <x:f>IF('制度詳細'!$H$22="",IF('制度詳細'!$J$22="","",IF(AND('制度詳細'!$J$22&gt;=CV$5,'制度詳細'!$J$22&lt;=EOMONTH(CV$5,0)),"◆","")),IF(MAX('制度詳細'!$H$22,CV$5)&lt;=MIN(IF('制度詳細'!$I$22="",EOMONTH(CV$5,0),'制度詳細'!$I$22),EOMONTH(CV$5,0)),"■",IF(AND('制度詳細'!$J$22&lt;&gt;"",'制度詳細'!$J$22&gt;=CV$5,'制度詳細'!$J$22&lt;=EOMONTH(CV$5,0)),"◆","")))</x:f>
      </x:c>
      <x:c r="CW22" s="1"/>
      <x:c r="CX22" s="1"/>
      <x:c r="CY22" s="1"/>
      <x:c r="CZ22" s="1"/>
      <x:c r="DA22" s="1"/>
      <x:c r="DB22" s="1"/>
      <x:c r="DC22" s="1"/>
      <x:c r="DD22" s="1"/>
    </x:row>
    <x:row r="23" ht="27" customHeight="1">
      <x:c r="A23" s="58" t="str">
        <x:v>ID09</x:v>
      </x:c>
      <x:c r="B23" s="58" t="str">
        <x:v>インドネシア</x:v>
      </x:c>
      <x:c r="C23" s="58" t="str">
        <x:v>TKDN国内調達基準60%</x:v>
      </x:c>
      <x:c r="D23" s="58" t="str">
        <x:v>BEV</x:v>
      </x:c>
      <x:c r="E23" s="57" t="str">
        <x:f>IF('制度詳細'!$H$23="",IF('制度詳細'!$J$23="","",IF(AND('制度詳細'!$J$23&gt;=E$5,'制度詳細'!$J$23&lt;=EOMONTH(E$5,0)),"◆","")),IF(MAX('制度詳細'!$H$23,E$5)&lt;=MIN(IF('制度詳細'!$I$23="",EOMONTH(E$5,0),'制度詳細'!$I$23),EOMONTH(E$5,0)),"■",IF(AND('制度詳細'!$J$23&lt;&gt;"",'制度詳細'!$J$23&gt;=E$5,'制度詳細'!$J$23&lt;=EOMONTH(E$5,0)),"◆","")))</x:f>
      </x:c>
      <x:c r="F23" s="57" t="str">
        <x:f>IF('制度詳細'!$H$23="",IF('制度詳細'!$J$23="","",IF(AND('制度詳細'!$J$23&gt;=F$5,'制度詳細'!$J$23&lt;=EOMONTH(F$5,0)),"◆","")),IF(MAX('制度詳細'!$H$23,F$5)&lt;=MIN(IF('制度詳細'!$I$23="",EOMONTH(F$5,0),'制度詳細'!$I$23),EOMONTH(F$5,0)),"■",IF(AND('制度詳細'!$J$23&lt;&gt;"",'制度詳細'!$J$23&gt;=F$5,'制度詳細'!$J$23&lt;=EOMONTH(F$5,0)),"◆","")))</x:f>
      </x:c>
      <x:c r="G23" s="57" t="str">
        <x:f>IF('制度詳細'!$H$23="",IF('制度詳細'!$J$23="","",IF(AND('制度詳細'!$J$23&gt;=G$5,'制度詳細'!$J$23&lt;=EOMONTH(G$5,0)),"◆","")),IF(MAX('制度詳細'!$H$23,G$5)&lt;=MIN(IF('制度詳細'!$I$23="",EOMONTH(G$5,0),'制度詳細'!$I$23),EOMONTH(G$5,0)),"■",IF(AND('制度詳細'!$J$23&lt;&gt;"",'制度詳細'!$J$23&gt;=G$5,'制度詳細'!$J$23&lt;=EOMONTH(G$5,0)),"◆","")))</x:f>
      </x:c>
      <x:c r="H23" s="57" t="str">
        <x:f>IF('制度詳細'!$H$23="",IF('制度詳細'!$J$23="","",IF(AND('制度詳細'!$J$23&gt;=H$5,'制度詳細'!$J$23&lt;=EOMONTH(H$5,0)),"◆","")),IF(MAX('制度詳細'!$H$23,H$5)&lt;=MIN(IF('制度詳細'!$I$23="",EOMONTH(H$5,0),'制度詳細'!$I$23),EOMONTH(H$5,0)),"■",IF(AND('制度詳細'!$J$23&lt;&gt;"",'制度詳細'!$J$23&gt;=H$5,'制度詳細'!$J$23&lt;=EOMONTH(H$5,0)),"◆","")))</x:f>
      </x:c>
      <x:c r="I23" s="57" t="str">
        <x:f>IF('制度詳細'!$H$23="",IF('制度詳細'!$J$23="","",IF(AND('制度詳細'!$J$23&gt;=I$5,'制度詳細'!$J$23&lt;=EOMONTH(I$5,0)),"◆","")),IF(MAX('制度詳細'!$H$23,I$5)&lt;=MIN(IF('制度詳細'!$I$23="",EOMONTH(I$5,0),'制度詳細'!$I$23),EOMONTH(I$5,0)),"■",IF(AND('制度詳細'!$J$23&lt;&gt;"",'制度詳細'!$J$23&gt;=I$5,'制度詳細'!$J$23&lt;=EOMONTH(I$5,0)),"◆","")))</x:f>
      </x:c>
      <x:c r="J23" s="57" t="str">
        <x:f>IF('制度詳細'!$H$23="",IF('制度詳細'!$J$23="","",IF(AND('制度詳細'!$J$23&gt;=J$5,'制度詳細'!$J$23&lt;=EOMONTH(J$5,0)),"◆","")),IF(MAX('制度詳細'!$H$23,J$5)&lt;=MIN(IF('制度詳細'!$I$23="",EOMONTH(J$5,0),'制度詳細'!$I$23),EOMONTH(J$5,0)),"■",IF(AND('制度詳細'!$J$23&lt;&gt;"",'制度詳細'!$J$23&gt;=J$5,'制度詳細'!$J$23&lt;=EOMONTH(J$5,0)),"◆","")))</x:f>
      </x:c>
      <x:c r="K23" s="57" t="str">
        <x:f>IF('制度詳細'!$H$23="",IF('制度詳細'!$J$23="","",IF(AND('制度詳細'!$J$23&gt;=K$5,'制度詳細'!$J$23&lt;=EOMONTH(K$5,0)),"◆","")),IF(MAX('制度詳細'!$H$23,K$5)&lt;=MIN(IF('制度詳細'!$I$23="",EOMONTH(K$5,0),'制度詳細'!$I$23),EOMONTH(K$5,0)),"■",IF(AND('制度詳細'!$J$23&lt;&gt;"",'制度詳細'!$J$23&gt;=K$5,'制度詳細'!$J$23&lt;=EOMONTH(K$5,0)),"◆","")))</x:f>
      </x:c>
      <x:c r="L23" s="57" t="str">
        <x:f>IF('制度詳細'!$H$23="",IF('制度詳細'!$J$23="","",IF(AND('制度詳細'!$J$23&gt;=L$5,'制度詳細'!$J$23&lt;=EOMONTH(L$5,0)),"◆","")),IF(MAX('制度詳細'!$H$23,L$5)&lt;=MIN(IF('制度詳細'!$I$23="",EOMONTH(L$5,0),'制度詳細'!$I$23),EOMONTH(L$5,0)),"■",IF(AND('制度詳細'!$J$23&lt;&gt;"",'制度詳細'!$J$23&gt;=L$5,'制度詳細'!$J$23&lt;=EOMONTH(L$5,0)),"◆","")))</x:f>
      </x:c>
      <x:c r="M23" s="57" t="str">
        <x:f>IF('制度詳細'!$H$23="",IF('制度詳細'!$J$23="","",IF(AND('制度詳細'!$J$23&gt;=M$5,'制度詳細'!$J$23&lt;=EOMONTH(M$5,0)),"◆","")),IF(MAX('制度詳細'!$H$23,M$5)&lt;=MIN(IF('制度詳細'!$I$23="",EOMONTH(M$5,0),'制度詳細'!$I$23),EOMONTH(M$5,0)),"■",IF(AND('制度詳細'!$J$23&lt;&gt;"",'制度詳細'!$J$23&gt;=M$5,'制度詳細'!$J$23&lt;=EOMONTH(M$5,0)),"◆","")))</x:f>
      </x:c>
      <x:c r="N23" s="57" t="str">
        <x:f>IF('制度詳細'!$H$23="",IF('制度詳細'!$J$23="","",IF(AND('制度詳細'!$J$23&gt;=N$5,'制度詳細'!$J$23&lt;=EOMONTH(N$5,0)),"◆","")),IF(MAX('制度詳細'!$H$23,N$5)&lt;=MIN(IF('制度詳細'!$I$23="",EOMONTH(N$5,0),'制度詳細'!$I$23),EOMONTH(N$5,0)),"■",IF(AND('制度詳細'!$J$23&lt;&gt;"",'制度詳細'!$J$23&gt;=N$5,'制度詳細'!$J$23&lt;=EOMONTH(N$5,0)),"◆","")))</x:f>
      </x:c>
      <x:c r="O23" s="57" t="str">
        <x:f>IF('制度詳細'!$H$23="",IF('制度詳細'!$J$23="","",IF(AND('制度詳細'!$J$23&gt;=O$5,'制度詳細'!$J$23&lt;=EOMONTH(O$5,0)),"◆","")),IF(MAX('制度詳細'!$H$23,O$5)&lt;=MIN(IF('制度詳細'!$I$23="",EOMONTH(O$5,0),'制度詳細'!$I$23),EOMONTH(O$5,0)),"■",IF(AND('制度詳細'!$J$23&lt;&gt;"",'制度詳細'!$J$23&gt;=O$5,'制度詳細'!$J$23&lt;=EOMONTH(O$5,0)),"◆","")))</x:f>
      </x:c>
      <x:c r="P23" s="57" t="str">
        <x:f>IF('制度詳細'!$H$23="",IF('制度詳細'!$J$23="","",IF(AND('制度詳細'!$J$23&gt;=P$5,'制度詳細'!$J$23&lt;=EOMONTH(P$5,0)),"◆","")),IF(MAX('制度詳細'!$H$23,P$5)&lt;=MIN(IF('制度詳細'!$I$23="",EOMONTH(P$5,0),'制度詳細'!$I$23),EOMONTH(P$5,0)),"■",IF(AND('制度詳細'!$J$23&lt;&gt;"",'制度詳細'!$J$23&gt;=P$5,'制度詳細'!$J$23&lt;=EOMONTH(P$5,0)),"◆","")))</x:f>
      </x:c>
      <x:c r="Q23" s="57" t="str">
        <x:f>IF('制度詳細'!$H$23="",IF('制度詳細'!$J$23="","",IF(AND('制度詳細'!$J$23&gt;=Q$5,'制度詳細'!$J$23&lt;=EOMONTH(Q$5,0)),"◆","")),IF(MAX('制度詳細'!$H$23,Q$5)&lt;=MIN(IF('制度詳細'!$I$23="",EOMONTH(Q$5,0),'制度詳細'!$I$23),EOMONTH(Q$5,0)),"■",IF(AND('制度詳細'!$J$23&lt;&gt;"",'制度詳細'!$J$23&gt;=Q$5,'制度詳細'!$J$23&lt;=EOMONTH(Q$5,0)),"◆","")))</x:f>
      </x:c>
      <x:c r="R23" s="57" t="str">
        <x:f>IF('制度詳細'!$H$23="",IF('制度詳細'!$J$23="","",IF(AND('制度詳細'!$J$23&gt;=R$5,'制度詳細'!$J$23&lt;=EOMONTH(R$5,0)),"◆","")),IF(MAX('制度詳細'!$H$23,R$5)&lt;=MIN(IF('制度詳細'!$I$23="",EOMONTH(R$5,0),'制度詳細'!$I$23),EOMONTH(R$5,0)),"■",IF(AND('制度詳細'!$J$23&lt;&gt;"",'制度詳細'!$J$23&gt;=R$5,'制度詳細'!$J$23&lt;=EOMONTH(R$5,0)),"◆","")))</x:f>
      </x:c>
      <x:c r="S23" s="57" t="str">
        <x:f>IF('制度詳細'!$H$23="",IF('制度詳細'!$J$23="","",IF(AND('制度詳細'!$J$23&gt;=S$5,'制度詳細'!$J$23&lt;=EOMONTH(S$5,0)),"◆","")),IF(MAX('制度詳細'!$H$23,S$5)&lt;=MIN(IF('制度詳細'!$I$23="",EOMONTH(S$5,0),'制度詳細'!$I$23),EOMONTH(S$5,0)),"■",IF(AND('制度詳細'!$J$23&lt;&gt;"",'制度詳細'!$J$23&gt;=S$5,'制度詳細'!$J$23&lt;=EOMONTH(S$5,0)),"◆","")))</x:f>
      </x:c>
      <x:c r="T23" s="57" t="str">
        <x:f>IF('制度詳細'!$H$23="",IF('制度詳細'!$J$23="","",IF(AND('制度詳細'!$J$23&gt;=T$5,'制度詳細'!$J$23&lt;=EOMONTH(T$5,0)),"◆","")),IF(MAX('制度詳細'!$H$23,T$5)&lt;=MIN(IF('制度詳細'!$I$23="",EOMONTH(T$5,0),'制度詳細'!$I$23),EOMONTH(T$5,0)),"■",IF(AND('制度詳細'!$J$23&lt;&gt;"",'制度詳細'!$J$23&gt;=T$5,'制度詳細'!$J$23&lt;=EOMONTH(T$5,0)),"◆","")))</x:f>
      </x:c>
      <x:c r="U23" s="57" t="str">
        <x:f>IF('制度詳細'!$H$23="",IF('制度詳細'!$J$23="","",IF(AND('制度詳細'!$J$23&gt;=U$5,'制度詳細'!$J$23&lt;=EOMONTH(U$5,0)),"◆","")),IF(MAX('制度詳細'!$H$23,U$5)&lt;=MIN(IF('制度詳細'!$I$23="",EOMONTH(U$5,0),'制度詳細'!$I$23),EOMONTH(U$5,0)),"■",IF(AND('制度詳細'!$J$23&lt;&gt;"",'制度詳細'!$J$23&gt;=U$5,'制度詳細'!$J$23&lt;=EOMONTH(U$5,0)),"◆","")))</x:f>
      </x:c>
      <x:c r="V23" s="57" t="str">
        <x:f>IF('制度詳細'!$H$23="",IF('制度詳細'!$J$23="","",IF(AND('制度詳細'!$J$23&gt;=V$5,'制度詳細'!$J$23&lt;=EOMONTH(V$5,0)),"◆","")),IF(MAX('制度詳細'!$H$23,V$5)&lt;=MIN(IF('制度詳細'!$I$23="",EOMONTH(V$5,0),'制度詳細'!$I$23),EOMONTH(V$5,0)),"■",IF(AND('制度詳細'!$J$23&lt;&gt;"",'制度詳細'!$J$23&gt;=V$5,'制度詳細'!$J$23&lt;=EOMONTH(V$5,0)),"◆","")))</x:f>
      </x:c>
      <x:c r="W23" s="57" t="str">
        <x:f>IF('制度詳細'!$H$23="",IF('制度詳細'!$J$23="","",IF(AND('制度詳細'!$J$23&gt;=W$5,'制度詳細'!$J$23&lt;=EOMONTH(W$5,0)),"◆","")),IF(MAX('制度詳細'!$H$23,W$5)&lt;=MIN(IF('制度詳細'!$I$23="",EOMONTH(W$5,0),'制度詳細'!$I$23),EOMONTH(W$5,0)),"■",IF(AND('制度詳細'!$J$23&lt;&gt;"",'制度詳細'!$J$23&gt;=W$5,'制度詳細'!$J$23&lt;=EOMONTH(W$5,0)),"◆","")))</x:f>
      </x:c>
      <x:c r="X23" s="57" t="str">
        <x:f>IF('制度詳細'!$H$23="",IF('制度詳細'!$J$23="","",IF(AND('制度詳細'!$J$23&gt;=X$5,'制度詳細'!$J$23&lt;=EOMONTH(X$5,0)),"◆","")),IF(MAX('制度詳細'!$H$23,X$5)&lt;=MIN(IF('制度詳細'!$I$23="",EOMONTH(X$5,0),'制度詳細'!$I$23),EOMONTH(X$5,0)),"■",IF(AND('制度詳細'!$J$23&lt;&gt;"",'制度詳細'!$J$23&gt;=X$5,'制度詳細'!$J$23&lt;=EOMONTH(X$5,0)),"◆","")))</x:f>
      </x:c>
      <x:c r="Y23" s="57" t="str">
        <x:f>IF('制度詳細'!$H$23="",IF('制度詳細'!$J$23="","",IF(AND('制度詳細'!$J$23&gt;=Y$5,'制度詳細'!$J$23&lt;=EOMONTH(Y$5,0)),"◆","")),IF(MAX('制度詳細'!$H$23,Y$5)&lt;=MIN(IF('制度詳細'!$I$23="",EOMONTH(Y$5,0),'制度詳細'!$I$23),EOMONTH(Y$5,0)),"■",IF(AND('制度詳細'!$J$23&lt;&gt;"",'制度詳細'!$J$23&gt;=Y$5,'制度詳細'!$J$23&lt;=EOMONTH(Y$5,0)),"◆","")))</x:f>
      </x:c>
      <x:c r="Z23" s="57" t="str">
        <x:f>IF('制度詳細'!$H$23="",IF('制度詳細'!$J$23="","",IF(AND('制度詳細'!$J$23&gt;=Z$5,'制度詳細'!$J$23&lt;=EOMONTH(Z$5,0)),"◆","")),IF(MAX('制度詳細'!$H$23,Z$5)&lt;=MIN(IF('制度詳細'!$I$23="",EOMONTH(Z$5,0),'制度詳細'!$I$23),EOMONTH(Z$5,0)),"■",IF(AND('制度詳細'!$J$23&lt;&gt;"",'制度詳細'!$J$23&gt;=Z$5,'制度詳細'!$J$23&lt;=EOMONTH(Z$5,0)),"◆","")))</x:f>
      </x:c>
      <x:c r="AA23" s="57" t="str">
        <x:f>IF('制度詳細'!$H$23="",IF('制度詳細'!$J$23="","",IF(AND('制度詳細'!$J$23&gt;=AA$5,'制度詳細'!$J$23&lt;=EOMONTH(AA$5,0)),"◆","")),IF(MAX('制度詳細'!$H$23,AA$5)&lt;=MIN(IF('制度詳細'!$I$23="",EOMONTH(AA$5,0),'制度詳細'!$I$23),EOMONTH(AA$5,0)),"■",IF(AND('制度詳細'!$J$23&lt;&gt;"",'制度詳細'!$J$23&gt;=AA$5,'制度詳細'!$J$23&lt;=EOMONTH(AA$5,0)),"◆","")))</x:f>
      </x:c>
      <x:c r="AB23" s="57" t="str">
        <x:f>IF('制度詳細'!$H$23="",IF('制度詳細'!$J$23="","",IF(AND('制度詳細'!$J$23&gt;=AB$5,'制度詳細'!$J$23&lt;=EOMONTH(AB$5,0)),"◆","")),IF(MAX('制度詳細'!$H$23,AB$5)&lt;=MIN(IF('制度詳細'!$I$23="",EOMONTH(AB$5,0),'制度詳細'!$I$23),EOMONTH(AB$5,0)),"■",IF(AND('制度詳細'!$J$23&lt;&gt;"",'制度詳細'!$J$23&gt;=AB$5,'制度詳細'!$J$23&lt;=EOMONTH(AB$5,0)),"◆","")))</x:f>
      </x:c>
      <x:c r="AC23" s="57" t="str">
        <x:f>IF('制度詳細'!$H$23="",IF('制度詳細'!$J$23="","",IF(AND('制度詳細'!$J$23&gt;=AC$5,'制度詳細'!$J$23&lt;=EOMONTH(AC$5,0)),"◆","")),IF(MAX('制度詳細'!$H$23,AC$5)&lt;=MIN(IF('制度詳細'!$I$23="",EOMONTH(AC$5,0),'制度詳細'!$I$23),EOMONTH(AC$5,0)),"■",IF(AND('制度詳細'!$J$23&lt;&gt;"",'制度詳細'!$J$23&gt;=AC$5,'制度詳細'!$J$23&lt;=EOMONTH(AC$5,0)),"◆","")))</x:f>
      </x:c>
      <x:c r="AD23" s="57" t="str">
        <x:f>IF('制度詳細'!$H$23="",IF('制度詳細'!$J$23="","",IF(AND('制度詳細'!$J$23&gt;=AD$5,'制度詳細'!$J$23&lt;=EOMONTH(AD$5,0)),"◆","")),IF(MAX('制度詳細'!$H$23,AD$5)&lt;=MIN(IF('制度詳細'!$I$23="",EOMONTH(AD$5,0),'制度詳細'!$I$23),EOMONTH(AD$5,0)),"■",IF(AND('制度詳細'!$J$23&lt;&gt;"",'制度詳細'!$J$23&gt;=AD$5,'制度詳細'!$J$23&lt;=EOMONTH(AD$5,0)),"◆","")))</x:f>
      </x:c>
      <x:c r="AE23" s="57" t="str">
        <x:f>IF('制度詳細'!$H$23="",IF('制度詳細'!$J$23="","",IF(AND('制度詳細'!$J$23&gt;=AE$5,'制度詳細'!$J$23&lt;=EOMONTH(AE$5,0)),"◆","")),IF(MAX('制度詳細'!$H$23,AE$5)&lt;=MIN(IF('制度詳細'!$I$23="",EOMONTH(AE$5,0),'制度詳細'!$I$23),EOMONTH(AE$5,0)),"■",IF(AND('制度詳細'!$J$23&lt;&gt;"",'制度詳細'!$J$23&gt;=AE$5,'制度詳細'!$J$23&lt;=EOMONTH(AE$5,0)),"◆","")))</x:f>
      </x:c>
      <x:c r="AF23" s="57" t="str">
        <x:f>IF('制度詳細'!$H$23="",IF('制度詳細'!$J$23="","",IF(AND('制度詳細'!$J$23&gt;=AF$5,'制度詳細'!$J$23&lt;=EOMONTH(AF$5,0)),"◆","")),IF(MAX('制度詳細'!$H$23,AF$5)&lt;=MIN(IF('制度詳細'!$I$23="",EOMONTH(AF$5,0),'制度詳細'!$I$23),EOMONTH(AF$5,0)),"■",IF(AND('制度詳細'!$J$23&lt;&gt;"",'制度詳細'!$J$23&gt;=AF$5,'制度詳細'!$J$23&lt;=EOMONTH(AF$5,0)),"◆","")))</x:f>
      </x:c>
      <x:c r="AG23" s="57" t="str">
        <x:f>IF('制度詳細'!$H$23="",IF('制度詳細'!$J$23="","",IF(AND('制度詳細'!$J$23&gt;=AG$5,'制度詳細'!$J$23&lt;=EOMONTH(AG$5,0)),"◆","")),IF(MAX('制度詳細'!$H$23,AG$5)&lt;=MIN(IF('制度詳細'!$I$23="",EOMONTH(AG$5,0),'制度詳細'!$I$23),EOMONTH(AG$5,0)),"■",IF(AND('制度詳細'!$J$23&lt;&gt;"",'制度詳細'!$J$23&gt;=AG$5,'制度詳細'!$J$23&lt;=EOMONTH(AG$5,0)),"◆","")))</x:f>
      </x:c>
      <x:c r="AH23" s="57" t="str">
        <x:f>IF('制度詳細'!$H$23="",IF('制度詳細'!$J$23="","",IF(AND('制度詳細'!$J$23&gt;=AH$5,'制度詳細'!$J$23&lt;=EOMONTH(AH$5,0)),"◆","")),IF(MAX('制度詳細'!$H$23,AH$5)&lt;=MIN(IF('制度詳細'!$I$23="",EOMONTH(AH$5,0),'制度詳細'!$I$23),EOMONTH(AH$5,0)),"■",IF(AND('制度詳細'!$J$23&lt;&gt;"",'制度詳細'!$J$23&gt;=AH$5,'制度詳細'!$J$23&lt;=EOMONTH(AH$5,0)),"◆","")))</x:f>
      </x:c>
      <x:c r="AI23" s="57" t="str">
        <x:f>IF('制度詳細'!$H$23="",IF('制度詳細'!$J$23="","",IF(AND('制度詳細'!$J$23&gt;=AI$5,'制度詳細'!$J$23&lt;=EOMONTH(AI$5,0)),"◆","")),IF(MAX('制度詳細'!$H$23,AI$5)&lt;=MIN(IF('制度詳細'!$I$23="",EOMONTH(AI$5,0),'制度詳細'!$I$23),EOMONTH(AI$5,0)),"■",IF(AND('制度詳細'!$J$23&lt;&gt;"",'制度詳細'!$J$23&gt;=AI$5,'制度詳細'!$J$23&lt;=EOMONTH(AI$5,0)),"◆","")))</x:f>
      </x:c>
      <x:c r="AJ23" s="57" t="str">
        <x:f>IF('制度詳細'!$H$23="",IF('制度詳細'!$J$23="","",IF(AND('制度詳細'!$J$23&gt;=AJ$5,'制度詳細'!$J$23&lt;=EOMONTH(AJ$5,0)),"◆","")),IF(MAX('制度詳細'!$H$23,AJ$5)&lt;=MIN(IF('制度詳細'!$I$23="",EOMONTH(AJ$5,0),'制度詳細'!$I$23),EOMONTH(AJ$5,0)),"■",IF(AND('制度詳細'!$J$23&lt;&gt;"",'制度詳細'!$J$23&gt;=AJ$5,'制度詳細'!$J$23&lt;=EOMONTH(AJ$5,0)),"◆","")))</x:f>
      </x:c>
      <x:c r="AK23" s="57" t="str">
        <x:f>IF('制度詳細'!$H$23="",IF('制度詳細'!$J$23="","",IF(AND('制度詳細'!$J$23&gt;=AK$5,'制度詳細'!$J$23&lt;=EOMONTH(AK$5,0)),"◆","")),IF(MAX('制度詳細'!$H$23,AK$5)&lt;=MIN(IF('制度詳細'!$I$23="",EOMONTH(AK$5,0),'制度詳細'!$I$23),EOMONTH(AK$5,0)),"■",IF(AND('制度詳細'!$J$23&lt;&gt;"",'制度詳細'!$J$23&gt;=AK$5,'制度詳細'!$J$23&lt;=EOMONTH(AK$5,0)),"◆","")))</x:f>
      </x:c>
      <x:c r="AL23" s="57" t="str">
        <x:f>IF('制度詳細'!$H$23="",IF('制度詳細'!$J$23="","",IF(AND('制度詳細'!$J$23&gt;=AL$5,'制度詳細'!$J$23&lt;=EOMONTH(AL$5,0)),"◆","")),IF(MAX('制度詳細'!$H$23,AL$5)&lt;=MIN(IF('制度詳細'!$I$23="",EOMONTH(AL$5,0),'制度詳細'!$I$23),EOMONTH(AL$5,0)),"■",IF(AND('制度詳細'!$J$23&lt;&gt;"",'制度詳細'!$J$23&gt;=AL$5,'制度詳細'!$J$23&lt;=EOMONTH(AL$5,0)),"◆","")))</x:f>
      </x:c>
      <x:c r="AM23" s="57" t="str">
        <x:f>IF('制度詳細'!$H$23="",IF('制度詳細'!$J$23="","",IF(AND('制度詳細'!$J$23&gt;=AM$5,'制度詳細'!$J$23&lt;=EOMONTH(AM$5,0)),"◆","")),IF(MAX('制度詳細'!$H$23,AM$5)&lt;=MIN(IF('制度詳細'!$I$23="",EOMONTH(AM$5,0),'制度詳細'!$I$23),EOMONTH(AM$5,0)),"■",IF(AND('制度詳細'!$J$23&lt;&gt;"",'制度詳細'!$J$23&gt;=AM$5,'制度詳細'!$J$23&lt;=EOMONTH(AM$5,0)),"◆","")))</x:f>
      </x:c>
      <x:c r="AN23" s="57" t="str">
        <x:f>IF('制度詳細'!$H$23="",IF('制度詳細'!$J$23="","",IF(AND('制度詳細'!$J$23&gt;=AN$5,'制度詳細'!$J$23&lt;=EOMONTH(AN$5,0)),"◆","")),IF(MAX('制度詳細'!$H$23,AN$5)&lt;=MIN(IF('制度詳細'!$I$23="",EOMONTH(AN$5,0),'制度詳細'!$I$23),EOMONTH(AN$5,0)),"■",IF(AND('制度詳細'!$J$23&lt;&gt;"",'制度詳細'!$J$23&gt;=AN$5,'制度詳細'!$J$23&lt;=EOMONTH(AN$5,0)),"◆","")))</x:f>
      </x:c>
      <x:c r="AO23" s="57" t="str">
        <x:f>IF('制度詳細'!$H$23="",IF('制度詳細'!$J$23="","",IF(AND('制度詳細'!$J$23&gt;=AO$5,'制度詳細'!$J$23&lt;=EOMONTH(AO$5,0)),"◆","")),IF(MAX('制度詳細'!$H$23,AO$5)&lt;=MIN(IF('制度詳細'!$I$23="",EOMONTH(AO$5,0),'制度詳細'!$I$23),EOMONTH(AO$5,0)),"■",IF(AND('制度詳細'!$J$23&lt;&gt;"",'制度詳細'!$J$23&gt;=AO$5,'制度詳細'!$J$23&lt;=EOMONTH(AO$5,0)),"◆","")))</x:f>
      </x:c>
      <x:c r="AP23" s="57" t="str">
        <x:f>IF('制度詳細'!$H$23="",IF('制度詳細'!$J$23="","",IF(AND('制度詳細'!$J$23&gt;=AP$5,'制度詳細'!$J$23&lt;=EOMONTH(AP$5,0)),"◆","")),IF(MAX('制度詳細'!$H$23,AP$5)&lt;=MIN(IF('制度詳細'!$I$23="",EOMONTH(AP$5,0),'制度詳細'!$I$23),EOMONTH(AP$5,0)),"■",IF(AND('制度詳細'!$J$23&lt;&gt;"",'制度詳細'!$J$23&gt;=AP$5,'制度詳細'!$J$23&lt;=EOMONTH(AP$5,0)),"◆","")))</x:f>
      </x:c>
      <x:c r="AQ23" s="57" t="str">
        <x:f>IF('制度詳細'!$H$23="",IF('制度詳細'!$J$23="","",IF(AND('制度詳細'!$J$23&gt;=AQ$5,'制度詳細'!$J$23&lt;=EOMONTH(AQ$5,0)),"◆","")),IF(MAX('制度詳細'!$H$23,AQ$5)&lt;=MIN(IF('制度詳細'!$I$23="",EOMONTH(AQ$5,0),'制度詳細'!$I$23),EOMONTH(AQ$5,0)),"■",IF(AND('制度詳細'!$J$23&lt;&gt;"",'制度詳細'!$J$23&gt;=AQ$5,'制度詳細'!$J$23&lt;=EOMONTH(AQ$5,0)),"◆","")))</x:f>
      </x:c>
      <x:c r="AR23" s="57" t="str">
        <x:f>IF('制度詳細'!$H$23="",IF('制度詳細'!$J$23="","",IF(AND('制度詳細'!$J$23&gt;=AR$5,'制度詳細'!$J$23&lt;=EOMONTH(AR$5,0)),"◆","")),IF(MAX('制度詳細'!$H$23,AR$5)&lt;=MIN(IF('制度詳細'!$I$23="",EOMONTH(AR$5,0),'制度詳細'!$I$23),EOMONTH(AR$5,0)),"■",IF(AND('制度詳細'!$J$23&lt;&gt;"",'制度詳細'!$J$23&gt;=AR$5,'制度詳細'!$J$23&lt;=EOMONTH(AR$5,0)),"◆","")))</x:f>
      </x:c>
      <x:c r="AS23" s="57" t="str">
        <x:f>IF('制度詳細'!$H$23="",IF('制度詳細'!$J$23="","",IF(AND('制度詳細'!$J$23&gt;=AS$5,'制度詳細'!$J$23&lt;=EOMONTH(AS$5,0)),"◆","")),IF(MAX('制度詳細'!$H$23,AS$5)&lt;=MIN(IF('制度詳細'!$I$23="",EOMONTH(AS$5,0),'制度詳細'!$I$23),EOMONTH(AS$5,0)),"■",IF(AND('制度詳細'!$J$23&lt;&gt;"",'制度詳細'!$J$23&gt;=AS$5,'制度詳細'!$J$23&lt;=EOMONTH(AS$5,0)),"◆","")))</x:f>
      </x:c>
      <x:c r="AT23" s="57" t="str">
        <x:f>IF('制度詳細'!$H$23="",IF('制度詳細'!$J$23="","",IF(AND('制度詳細'!$J$23&gt;=AT$5,'制度詳細'!$J$23&lt;=EOMONTH(AT$5,0)),"◆","")),IF(MAX('制度詳細'!$H$23,AT$5)&lt;=MIN(IF('制度詳細'!$I$23="",EOMONTH(AT$5,0),'制度詳細'!$I$23),EOMONTH(AT$5,0)),"■",IF(AND('制度詳細'!$J$23&lt;&gt;"",'制度詳細'!$J$23&gt;=AT$5,'制度詳細'!$J$23&lt;=EOMONTH(AT$5,0)),"◆","")))</x:f>
      </x:c>
      <x:c r="AU23" s="57" t="str">
        <x:f>IF('制度詳細'!$H$23="",IF('制度詳細'!$J$23="","",IF(AND('制度詳細'!$J$23&gt;=AU$5,'制度詳細'!$J$23&lt;=EOMONTH(AU$5,0)),"◆","")),IF(MAX('制度詳細'!$H$23,AU$5)&lt;=MIN(IF('制度詳細'!$I$23="",EOMONTH(AU$5,0),'制度詳細'!$I$23),EOMONTH(AU$5,0)),"■",IF(AND('制度詳細'!$J$23&lt;&gt;"",'制度詳細'!$J$23&gt;=AU$5,'制度詳細'!$J$23&lt;=EOMONTH(AU$5,0)),"◆","")))</x:f>
      </x:c>
      <x:c r="AV23" s="57" t="str">
        <x:f>IF('制度詳細'!$H$23="",IF('制度詳細'!$J$23="","",IF(AND('制度詳細'!$J$23&gt;=AV$5,'制度詳細'!$J$23&lt;=EOMONTH(AV$5,0)),"◆","")),IF(MAX('制度詳細'!$H$23,AV$5)&lt;=MIN(IF('制度詳細'!$I$23="",EOMONTH(AV$5,0),'制度詳細'!$I$23),EOMONTH(AV$5,0)),"■",IF(AND('制度詳細'!$J$23&lt;&gt;"",'制度詳細'!$J$23&gt;=AV$5,'制度詳細'!$J$23&lt;=EOMONTH(AV$5,0)),"◆","")))</x:f>
      </x:c>
      <x:c r="AW23" s="57" t="str">
        <x:f>IF('制度詳細'!$H$23="",IF('制度詳細'!$J$23="","",IF(AND('制度詳細'!$J$23&gt;=AW$5,'制度詳細'!$J$23&lt;=EOMONTH(AW$5,0)),"◆","")),IF(MAX('制度詳細'!$H$23,AW$5)&lt;=MIN(IF('制度詳細'!$I$23="",EOMONTH(AW$5,0),'制度詳細'!$I$23),EOMONTH(AW$5,0)),"■",IF(AND('制度詳細'!$J$23&lt;&gt;"",'制度詳細'!$J$23&gt;=AW$5,'制度詳細'!$J$23&lt;=EOMONTH(AW$5,0)),"◆","")))</x:f>
      </x:c>
      <x:c r="AX23" s="57" t="str">
        <x:f>IF('制度詳細'!$H$23="",IF('制度詳細'!$J$23="","",IF(AND('制度詳細'!$J$23&gt;=AX$5,'制度詳細'!$J$23&lt;=EOMONTH(AX$5,0)),"◆","")),IF(MAX('制度詳細'!$H$23,AX$5)&lt;=MIN(IF('制度詳細'!$I$23="",EOMONTH(AX$5,0),'制度詳細'!$I$23),EOMONTH(AX$5,0)),"■",IF(AND('制度詳細'!$J$23&lt;&gt;"",'制度詳細'!$J$23&gt;=AX$5,'制度詳細'!$J$23&lt;=EOMONTH(AX$5,0)),"◆","")))</x:f>
      </x:c>
      <x:c r="AY23" s="57" t="str">
        <x:f>IF('制度詳細'!$H$23="",IF('制度詳細'!$J$23="","",IF(AND('制度詳細'!$J$23&gt;=AY$5,'制度詳細'!$J$23&lt;=EOMONTH(AY$5,0)),"◆","")),IF(MAX('制度詳細'!$H$23,AY$5)&lt;=MIN(IF('制度詳細'!$I$23="",EOMONTH(AY$5,0),'制度詳細'!$I$23),EOMONTH(AY$5,0)),"■",IF(AND('制度詳細'!$J$23&lt;&gt;"",'制度詳細'!$J$23&gt;=AY$5,'制度詳細'!$J$23&lt;=EOMONTH(AY$5,0)),"◆","")))</x:f>
      </x:c>
      <x:c r="AZ23" s="57" t="str">
        <x:f>IF('制度詳細'!$H$23="",IF('制度詳細'!$J$23="","",IF(AND('制度詳細'!$J$23&gt;=AZ$5,'制度詳細'!$J$23&lt;=EOMONTH(AZ$5,0)),"◆","")),IF(MAX('制度詳細'!$H$23,AZ$5)&lt;=MIN(IF('制度詳細'!$I$23="",EOMONTH(AZ$5,0),'制度詳細'!$I$23),EOMONTH(AZ$5,0)),"■",IF(AND('制度詳細'!$J$23&lt;&gt;"",'制度詳細'!$J$23&gt;=AZ$5,'制度詳細'!$J$23&lt;=EOMONTH(AZ$5,0)),"◆","")))</x:f>
        <x:v>◆</x:v>
      </x:c>
      <x:c r="BA23" s="57" t="str">
        <x:f>IF('制度詳細'!$H$23="",IF('制度詳細'!$J$23="","",IF(AND('制度詳細'!$J$23&gt;=BA$5,'制度詳細'!$J$23&lt;=EOMONTH(BA$5,0)),"◆","")),IF(MAX('制度詳細'!$H$23,BA$5)&lt;=MIN(IF('制度詳細'!$I$23="",EOMONTH(BA$5,0),'制度詳細'!$I$23),EOMONTH(BA$5,0)),"■",IF(AND('制度詳細'!$J$23&lt;&gt;"",'制度詳細'!$J$23&gt;=BA$5,'制度詳細'!$J$23&lt;=EOMONTH(BA$5,0)),"◆","")))</x:f>
      </x:c>
      <x:c r="BB23" s="57" t="str">
        <x:f>IF('制度詳細'!$H$23="",IF('制度詳細'!$J$23="","",IF(AND('制度詳細'!$J$23&gt;=BB$5,'制度詳細'!$J$23&lt;=EOMONTH(BB$5,0)),"◆","")),IF(MAX('制度詳細'!$H$23,BB$5)&lt;=MIN(IF('制度詳細'!$I$23="",EOMONTH(BB$5,0),'制度詳細'!$I$23),EOMONTH(BB$5,0)),"■",IF(AND('制度詳細'!$J$23&lt;&gt;"",'制度詳細'!$J$23&gt;=BB$5,'制度詳細'!$J$23&lt;=EOMONTH(BB$5,0)),"◆","")))</x:f>
      </x:c>
      <x:c r="BC23" s="57" t="str">
        <x:f>IF('制度詳細'!$H$23="",IF('制度詳細'!$J$23="","",IF(AND('制度詳細'!$J$23&gt;=BC$5,'制度詳細'!$J$23&lt;=EOMONTH(BC$5,0)),"◆","")),IF(MAX('制度詳細'!$H$23,BC$5)&lt;=MIN(IF('制度詳細'!$I$23="",EOMONTH(BC$5,0),'制度詳細'!$I$23),EOMONTH(BC$5,0)),"■",IF(AND('制度詳細'!$J$23&lt;&gt;"",'制度詳細'!$J$23&gt;=BC$5,'制度詳細'!$J$23&lt;=EOMONTH(BC$5,0)),"◆","")))</x:f>
      </x:c>
      <x:c r="BD23" s="57" t="str">
        <x:f>IF('制度詳細'!$H$23="",IF('制度詳細'!$J$23="","",IF(AND('制度詳細'!$J$23&gt;=BD$5,'制度詳細'!$J$23&lt;=EOMONTH(BD$5,0)),"◆","")),IF(MAX('制度詳細'!$H$23,BD$5)&lt;=MIN(IF('制度詳細'!$I$23="",EOMONTH(BD$5,0),'制度詳細'!$I$23),EOMONTH(BD$5,0)),"■",IF(AND('制度詳細'!$J$23&lt;&gt;"",'制度詳細'!$J$23&gt;=BD$5,'制度詳細'!$J$23&lt;=EOMONTH(BD$5,0)),"◆","")))</x:f>
      </x:c>
      <x:c r="BE23" s="57" t="str">
        <x:f>IF('制度詳細'!$H$23="",IF('制度詳細'!$J$23="","",IF(AND('制度詳細'!$J$23&gt;=BE$5,'制度詳細'!$J$23&lt;=EOMONTH(BE$5,0)),"◆","")),IF(MAX('制度詳細'!$H$23,BE$5)&lt;=MIN(IF('制度詳細'!$I$23="",EOMONTH(BE$5,0),'制度詳細'!$I$23),EOMONTH(BE$5,0)),"■",IF(AND('制度詳細'!$J$23&lt;&gt;"",'制度詳細'!$J$23&gt;=BE$5,'制度詳細'!$J$23&lt;=EOMONTH(BE$5,0)),"◆","")))</x:f>
      </x:c>
      <x:c r="BF23" s="57" t="str">
        <x:f>IF('制度詳細'!$H$23="",IF('制度詳細'!$J$23="","",IF(AND('制度詳細'!$J$23&gt;=BF$5,'制度詳細'!$J$23&lt;=EOMONTH(BF$5,0)),"◆","")),IF(MAX('制度詳細'!$H$23,BF$5)&lt;=MIN(IF('制度詳細'!$I$23="",EOMONTH(BF$5,0),'制度詳細'!$I$23),EOMONTH(BF$5,0)),"■",IF(AND('制度詳細'!$J$23&lt;&gt;"",'制度詳細'!$J$23&gt;=BF$5,'制度詳細'!$J$23&lt;=EOMONTH(BF$5,0)),"◆","")))</x:f>
      </x:c>
      <x:c r="BG23" s="57" t="str">
        <x:f>IF('制度詳細'!$H$23="",IF('制度詳細'!$J$23="","",IF(AND('制度詳細'!$J$23&gt;=BG$5,'制度詳細'!$J$23&lt;=EOMONTH(BG$5,0)),"◆","")),IF(MAX('制度詳細'!$H$23,BG$5)&lt;=MIN(IF('制度詳細'!$I$23="",EOMONTH(BG$5,0),'制度詳細'!$I$23),EOMONTH(BG$5,0)),"■",IF(AND('制度詳細'!$J$23&lt;&gt;"",'制度詳細'!$J$23&gt;=BG$5,'制度詳細'!$J$23&lt;=EOMONTH(BG$5,0)),"◆","")))</x:f>
      </x:c>
      <x:c r="BH23" s="57" t="str">
        <x:f>IF('制度詳細'!$H$23="",IF('制度詳細'!$J$23="","",IF(AND('制度詳細'!$J$23&gt;=BH$5,'制度詳細'!$J$23&lt;=EOMONTH(BH$5,0)),"◆","")),IF(MAX('制度詳細'!$H$23,BH$5)&lt;=MIN(IF('制度詳細'!$I$23="",EOMONTH(BH$5,0),'制度詳細'!$I$23),EOMONTH(BH$5,0)),"■",IF(AND('制度詳細'!$J$23&lt;&gt;"",'制度詳細'!$J$23&gt;=BH$5,'制度詳細'!$J$23&lt;=EOMONTH(BH$5,0)),"◆","")))</x:f>
      </x:c>
      <x:c r="BI23" s="57" t="str">
        <x:f>IF('制度詳細'!$H$23="",IF('制度詳細'!$J$23="","",IF(AND('制度詳細'!$J$23&gt;=BI$5,'制度詳細'!$J$23&lt;=EOMONTH(BI$5,0)),"◆","")),IF(MAX('制度詳細'!$H$23,BI$5)&lt;=MIN(IF('制度詳細'!$I$23="",EOMONTH(BI$5,0),'制度詳細'!$I$23),EOMONTH(BI$5,0)),"■",IF(AND('制度詳細'!$J$23&lt;&gt;"",'制度詳細'!$J$23&gt;=BI$5,'制度詳細'!$J$23&lt;=EOMONTH(BI$5,0)),"◆","")))</x:f>
      </x:c>
      <x:c r="BJ23" s="57" t="str">
        <x:f>IF('制度詳細'!$H$23="",IF('制度詳細'!$J$23="","",IF(AND('制度詳細'!$J$23&gt;=BJ$5,'制度詳細'!$J$23&lt;=EOMONTH(BJ$5,0)),"◆","")),IF(MAX('制度詳細'!$H$23,BJ$5)&lt;=MIN(IF('制度詳細'!$I$23="",EOMONTH(BJ$5,0),'制度詳細'!$I$23),EOMONTH(BJ$5,0)),"■",IF(AND('制度詳細'!$J$23&lt;&gt;"",'制度詳細'!$J$23&gt;=BJ$5,'制度詳細'!$J$23&lt;=EOMONTH(BJ$5,0)),"◆","")))</x:f>
      </x:c>
      <x:c r="BK23" s="57" t="str">
        <x:f>IF('制度詳細'!$H$23="",IF('制度詳細'!$J$23="","",IF(AND('制度詳細'!$J$23&gt;=BK$5,'制度詳細'!$J$23&lt;=EOMONTH(BK$5,0)),"◆","")),IF(MAX('制度詳細'!$H$23,BK$5)&lt;=MIN(IF('制度詳細'!$I$23="",EOMONTH(BK$5,0),'制度詳細'!$I$23),EOMONTH(BK$5,0)),"■",IF(AND('制度詳細'!$J$23&lt;&gt;"",'制度詳細'!$J$23&gt;=BK$5,'制度詳細'!$J$23&lt;=EOMONTH(BK$5,0)),"◆","")))</x:f>
      </x:c>
      <x:c r="BL23" s="57" t="str">
        <x:f>IF('制度詳細'!$H$23="",IF('制度詳細'!$J$23="","",IF(AND('制度詳細'!$J$23&gt;=BL$5,'制度詳細'!$J$23&lt;=EOMONTH(BL$5,0)),"◆","")),IF(MAX('制度詳細'!$H$23,BL$5)&lt;=MIN(IF('制度詳細'!$I$23="",EOMONTH(BL$5,0),'制度詳細'!$I$23),EOMONTH(BL$5,0)),"■",IF(AND('制度詳細'!$J$23&lt;&gt;"",'制度詳細'!$J$23&gt;=BL$5,'制度詳細'!$J$23&lt;=EOMONTH(BL$5,0)),"◆","")))</x:f>
      </x:c>
      <x:c r="BM23" s="57" t="str">
        <x:f>IF('制度詳細'!$H$23="",IF('制度詳細'!$J$23="","",IF(AND('制度詳細'!$J$23&gt;=BM$5,'制度詳細'!$J$23&lt;=EOMONTH(BM$5,0)),"◆","")),IF(MAX('制度詳細'!$H$23,BM$5)&lt;=MIN(IF('制度詳細'!$I$23="",EOMONTH(BM$5,0),'制度詳細'!$I$23),EOMONTH(BM$5,0)),"■",IF(AND('制度詳細'!$J$23&lt;&gt;"",'制度詳細'!$J$23&gt;=BM$5,'制度詳細'!$J$23&lt;=EOMONTH(BM$5,0)),"◆","")))</x:f>
      </x:c>
      <x:c r="BN23" s="57" t="str">
        <x:f>IF('制度詳細'!$H$23="",IF('制度詳細'!$J$23="","",IF(AND('制度詳細'!$J$23&gt;=BN$5,'制度詳細'!$J$23&lt;=EOMONTH(BN$5,0)),"◆","")),IF(MAX('制度詳細'!$H$23,BN$5)&lt;=MIN(IF('制度詳細'!$I$23="",EOMONTH(BN$5,0),'制度詳細'!$I$23),EOMONTH(BN$5,0)),"■",IF(AND('制度詳細'!$J$23&lt;&gt;"",'制度詳細'!$J$23&gt;=BN$5,'制度詳細'!$J$23&lt;=EOMONTH(BN$5,0)),"◆","")))</x:f>
      </x:c>
      <x:c r="BO23" s="57" t="str">
        <x:f>IF('制度詳細'!$H$23="",IF('制度詳細'!$J$23="","",IF(AND('制度詳細'!$J$23&gt;=BO$5,'制度詳細'!$J$23&lt;=EOMONTH(BO$5,0)),"◆","")),IF(MAX('制度詳細'!$H$23,BO$5)&lt;=MIN(IF('制度詳細'!$I$23="",EOMONTH(BO$5,0),'制度詳細'!$I$23),EOMONTH(BO$5,0)),"■",IF(AND('制度詳細'!$J$23&lt;&gt;"",'制度詳細'!$J$23&gt;=BO$5,'制度詳細'!$J$23&lt;=EOMONTH(BO$5,0)),"◆","")))</x:f>
      </x:c>
      <x:c r="BP23" s="57" t="str">
        <x:f>IF('制度詳細'!$H$23="",IF('制度詳細'!$J$23="","",IF(AND('制度詳細'!$J$23&gt;=BP$5,'制度詳細'!$J$23&lt;=EOMONTH(BP$5,0)),"◆","")),IF(MAX('制度詳細'!$H$23,BP$5)&lt;=MIN(IF('制度詳細'!$I$23="",EOMONTH(BP$5,0),'制度詳細'!$I$23),EOMONTH(BP$5,0)),"■",IF(AND('制度詳細'!$J$23&lt;&gt;"",'制度詳細'!$J$23&gt;=BP$5,'制度詳細'!$J$23&lt;=EOMONTH(BP$5,0)),"◆","")))</x:f>
      </x:c>
      <x:c r="BQ23" s="57" t="str">
        <x:f>IF('制度詳細'!$H$23="",IF('制度詳細'!$J$23="","",IF(AND('制度詳細'!$J$23&gt;=BQ$5,'制度詳細'!$J$23&lt;=EOMONTH(BQ$5,0)),"◆","")),IF(MAX('制度詳細'!$H$23,BQ$5)&lt;=MIN(IF('制度詳細'!$I$23="",EOMONTH(BQ$5,0),'制度詳細'!$I$23),EOMONTH(BQ$5,0)),"■",IF(AND('制度詳細'!$J$23&lt;&gt;"",'制度詳細'!$J$23&gt;=BQ$5,'制度詳細'!$J$23&lt;=EOMONTH(BQ$5,0)),"◆","")))</x:f>
      </x:c>
      <x:c r="BR23" s="57" t="str">
        <x:f>IF('制度詳細'!$H$23="",IF('制度詳細'!$J$23="","",IF(AND('制度詳細'!$J$23&gt;=BR$5,'制度詳細'!$J$23&lt;=EOMONTH(BR$5,0)),"◆","")),IF(MAX('制度詳細'!$H$23,BR$5)&lt;=MIN(IF('制度詳細'!$I$23="",EOMONTH(BR$5,0),'制度詳細'!$I$23),EOMONTH(BR$5,0)),"■",IF(AND('制度詳細'!$J$23&lt;&gt;"",'制度詳細'!$J$23&gt;=BR$5,'制度詳細'!$J$23&lt;=EOMONTH(BR$5,0)),"◆","")))</x:f>
      </x:c>
      <x:c r="BS23" s="57" t="str">
        <x:f>IF('制度詳細'!$H$23="",IF('制度詳細'!$J$23="","",IF(AND('制度詳細'!$J$23&gt;=BS$5,'制度詳細'!$J$23&lt;=EOMONTH(BS$5,0)),"◆","")),IF(MAX('制度詳細'!$H$23,BS$5)&lt;=MIN(IF('制度詳細'!$I$23="",EOMONTH(BS$5,0),'制度詳細'!$I$23),EOMONTH(BS$5,0)),"■",IF(AND('制度詳細'!$J$23&lt;&gt;"",'制度詳細'!$J$23&gt;=BS$5,'制度詳細'!$J$23&lt;=EOMONTH(BS$5,0)),"◆","")))</x:f>
      </x:c>
      <x:c r="BT23" s="57" t="str">
        <x:f>IF('制度詳細'!$H$23="",IF('制度詳細'!$J$23="","",IF(AND('制度詳細'!$J$23&gt;=BT$5,'制度詳細'!$J$23&lt;=EOMONTH(BT$5,0)),"◆","")),IF(MAX('制度詳細'!$H$23,BT$5)&lt;=MIN(IF('制度詳細'!$I$23="",EOMONTH(BT$5,0),'制度詳細'!$I$23),EOMONTH(BT$5,0)),"■",IF(AND('制度詳細'!$J$23&lt;&gt;"",'制度詳細'!$J$23&gt;=BT$5,'制度詳細'!$J$23&lt;=EOMONTH(BT$5,0)),"◆","")))</x:f>
      </x:c>
      <x:c r="BU23" s="57" t="str">
        <x:f>IF('制度詳細'!$H$23="",IF('制度詳細'!$J$23="","",IF(AND('制度詳細'!$J$23&gt;=BU$5,'制度詳細'!$J$23&lt;=EOMONTH(BU$5,0)),"◆","")),IF(MAX('制度詳細'!$H$23,BU$5)&lt;=MIN(IF('制度詳細'!$I$23="",EOMONTH(BU$5,0),'制度詳細'!$I$23),EOMONTH(BU$5,0)),"■",IF(AND('制度詳細'!$J$23&lt;&gt;"",'制度詳細'!$J$23&gt;=BU$5,'制度詳細'!$J$23&lt;=EOMONTH(BU$5,0)),"◆","")))</x:f>
      </x:c>
      <x:c r="BV23" s="57" t="str">
        <x:f>IF('制度詳細'!$H$23="",IF('制度詳細'!$J$23="","",IF(AND('制度詳細'!$J$23&gt;=BV$5,'制度詳細'!$J$23&lt;=EOMONTH(BV$5,0)),"◆","")),IF(MAX('制度詳細'!$H$23,BV$5)&lt;=MIN(IF('制度詳細'!$I$23="",EOMONTH(BV$5,0),'制度詳細'!$I$23),EOMONTH(BV$5,0)),"■",IF(AND('制度詳細'!$J$23&lt;&gt;"",'制度詳細'!$J$23&gt;=BV$5,'制度詳細'!$J$23&lt;=EOMONTH(BV$5,0)),"◆","")))</x:f>
      </x:c>
      <x:c r="BW23" s="57" t="str">
        <x:f>IF('制度詳細'!$H$23="",IF('制度詳細'!$J$23="","",IF(AND('制度詳細'!$J$23&gt;=BW$5,'制度詳細'!$J$23&lt;=EOMONTH(BW$5,0)),"◆","")),IF(MAX('制度詳細'!$H$23,BW$5)&lt;=MIN(IF('制度詳細'!$I$23="",EOMONTH(BW$5,0),'制度詳細'!$I$23),EOMONTH(BW$5,0)),"■",IF(AND('制度詳細'!$J$23&lt;&gt;"",'制度詳細'!$J$23&gt;=BW$5,'制度詳細'!$J$23&lt;=EOMONTH(BW$5,0)),"◆","")))</x:f>
      </x:c>
      <x:c r="BX23" s="57" t="str">
        <x:f>IF('制度詳細'!$H$23="",IF('制度詳細'!$J$23="","",IF(AND('制度詳細'!$J$23&gt;=BX$5,'制度詳細'!$J$23&lt;=EOMONTH(BX$5,0)),"◆","")),IF(MAX('制度詳細'!$H$23,BX$5)&lt;=MIN(IF('制度詳細'!$I$23="",EOMONTH(BX$5,0),'制度詳細'!$I$23),EOMONTH(BX$5,0)),"■",IF(AND('制度詳細'!$J$23&lt;&gt;"",'制度詳細'!$J$23&gt;=BX$5,'制度詳細'!$J$23&lt;=EOMONTH(BX$5,0)),"◆","")))</x:f>
      </x:c>
      <x:c r="BY23" s="57" t="str">
        <x:f>IF('制度詳細'!$H$23="",IF('制度詳細'!$J$23="","",IF(AND('制度詳細'!$J$23&gt;=BY$5,'制度詳細'!$J$23&lt;=EOMONTH(BY$5,0)),"◆","")),IF(MAX('制度詳細'!$H$23,BY$5)&lt;=MIN(IF('制度詳細'!$I$23="",EOMONTH(BY$5,0),'制度詳細'!$I$23),EOMONTH(BY$5,0)),"■",IF(AND('制度詳細'!$J$23&lt;&gt;"",'制度詳細'!$J$23&gt;=BY$5,'制度詳細'!$J$23&lt;=EOMONTH(BY$5,0)),"◆","")))</x:f>
      </x:c>
      <x:c r="BZ23" s="57" t="str">
        <x:f>IF('制度詳細'!$H$23="",IF('制度詳細'!$J$23="","",IF(AND('制度詳細'!$J$23&gt;=BZ$5,'制度詳細'!$J$23&lt;=EOMONTH(BZ$5,0)),"◆","")),IF(MAX('制度詳細'!$H$23,BZ$5)&lt;=MIN(IF('制度詳細'!$I$23="",EOMONTH(BZ$5,0),'制度詳細'!$I$23),EOMONTH(BZ$5,0)),"■",IF(AND('制度詳細'!$J$23&lt;&gt;"",'制度詳細'!$J$23&gt;=BZ$5,'制度詳細'!$J$23&lt;=EOMONTH(BZ$5,0)),"◆","")))</x:f>
      </x:c>
      <x:c r="CA23" s="57" t="str">
        <x:f>IF('制度詳細'!$H$23="",IF('制度詳細'!$J$23="","",IF(AND('制度詳細'!$J$23&gt;=CA$5,'制度詳細'!$J$23&lt;=EOMONTH(CA$5,0)),"◆","")),IF(MAX('制度詳細'!$H$23,CA$5)&lt;=MIN(IF('制度詳細'!$I$23="",EOMONTH(CA$5,0),'制度詳細'!$I$23),EOMONTH(CA$5,0)),"■",IF(AND('制度詳細'!$J$23&lt;&gt;"",'制度詳細'!$J$23&gt;=CA$5,'制度詳細'!$J$23&lt;=EOMONTH(CA$5,0)),"◆","")))</x:f>
      </x:c>
      <x:c r="CB23" s="57" t="str">
        <x:f>IF('制度詳細'!$H$23="",IF('制度詳細'!$J$23="","",IF(AND('制度詳細'!$J$23&gt;=CB$5,'制度詳細'!$J$23&lt;=EOMONTH(CB$5,0)),"◆","")),IF(MAX('制度詳細'!$H$23,CB$5)&lt;=MIN(IF('制度詳細'!$I$23="",EOMONTH(CB$5,0),'制度詳細'!$I$23),EOMONTH(CB$5,0)),"■",IF(AND('制度詳細'!$J$23&lt;&gt;"",'制度詳細'!$J$23&gt;=CB$5,'制度詳細'!$J$23&lt;=EOMONTH(CB$5,0)),"◆","")))</x:f>
      </x:c>
      <x:c r="CC23" s="57" t="str">
        <x:f>IF('制度詳細'!$H$23="",IF('制度詳細'!$J$23="","",IF(AND('制度詳細'!$J$23&gt;=CC$5,'制度詳細'!$J$23&lt;=EOMONTH(CC$5,0)),"◆","")),IF(MAX('制度詳細'!$H$23,CC$5)&lt;=MIN(IF('制度詳細'!$I$23="",EOMONTH(CC$5,0),'制度詳細'!$I$23),EOMONTH(CC$5,0)),"■",IF(AND('制度詳細'!$J$23&lt;&gt;"",'制度詳細'!$J$23&gt;=CC$5,'制度詳細'!$J$23&lt;=EOMONTH(CC$5,0)),"◆","")))</x:f>
      </x:c>
      <x:c r="CD23" s="57" t="str">
        <x:f>IF('制度詳細'!$H$23="",IF('制度詳細'!$J$23="","",IF(AND('制度詳細'!$J$23&gt;=CD$5,'制度詳細'!$J$23&lt;=EOMONTH(CD$5,0)),"◆","")),IF(MAX('制度詳細'!$H$23,CD$5)&lt;=MIN(IF('制度詳細'!$I$23="",EOMONTH(CD$5,0),'制度詳細'!$I$23),EOMONTH(CD$5,0)),"■",IF(AND('制度詳細'!$J$23&lt;&gt;"",'制度詳細'!$J$23&gt;=CD$5,'制度詳細'!$J$23&lt;=EOMONTH(CD$5,0)),"◆","")))</x:f>
      </x:c>
      <x:c r="CE23" s="57" t="str">
        <x:f>IF('制度詳細'!$H$23="",IF('制度詳細'!$J$23="","",IF(AND('制度詳細'!$J$23&gt;=CE$5,'制度詳細'!$J$23&lt;=EOMONTH(CE$5,0)),"◆","")),IF(MAX('制度詳細'!$H$23,CE$5)&lt;=MIN(IF('制度詳細'!$I$23="",EOMONTH(CE$5,0),'制度詳細'!$I$23),EOMONTH(CE$5,0)),"■",IF(AND('制度詳細'!$J$23&lt;&gt;"",'制度詳細'!$J$23&gt;=CE$5,'制度詳細'!$J$23&lt;=EOMONTH(CE$5,0)),"◆","")))</x:f>
      </x:c>
      <x:c r="CF23" s="57" t="str">
        <x:f>IF('制度詳細'!$H$23="",IF('制度詳細'!$J$23="","",IF(AND('制度詳細'!$J$23&gt;=CF$5,'制度詳細'!$J$23&lt;=EOMONTH(CF$5,0)),"◆","")),IF(MAX('制度詳細'!$H$23,CF$5)&lt;=MIN(IF('制度詳細'!$I$23="",EOMONTH(CF$5,0),'制度詳細'!$I$23),EOMONTH(CF$5,0)),"■",IF(AND('制度詳細'!$J$23&lt;&gt;"",'制度詳細'!$J$23&gt;=CF$5,'制度詳細'!$J$23&lt;=EOMONTH(CF$5,0)),"◆","")))</x:f>
      </x:c>
      <x:c r="CG23" s="57" t="str">
        <x:f>IF('制度詳細'!$H$23="",IF('制度詳細'!$J$23="","",IF(AND('制度詳細'!$J$23&gt;=CG$5,'制度詳細'!$J$23&lt;=EOMONTH(CG$5,0)),"◆","")),IF(MAX('制度詳細'!$H$23,CG$5)&lt;=MIN(IF('制度詳細'!$I$23="",EOMONTH(CG$5,0),'制度詳細'!$I$23),EOMONTH(CG$5,0)),"■",IF(AND('制度詳細'!$J$23&lt;&gt;"",'制度詳細'!$J$23&gt;=CG$5,'制度詳細'!$J$23&lt;=EOMONTH(CG$5,0)),"◆","")))</x:f>
      </x:c>
      <x:c r="CH23" s="57" t="str">
        <x:f>IF('制度詳細'!$H$23="",IF('制度詳細'!$J$23="","",IF(AND('制度詳細'!$J$23&gt;=CH$5,'制度詳細'!$J$23&lt;=EOMONTH(CH$5,0)),"◆","")),IF(MAX('制度詳細'!$H$23,CH$5)&lt;=MIN(IF('制度詳細'!$I$23="",EOMONTH(CH$5,0),'制度詳細'!$I$23),EOMONTH(CH$5,0)),"■",IF(AND('制度詳細'!$J$23&lt;&gt;"",'制度詳細'!$J$23&gt;=CH$5,'制度詳細'!$J$23&lt;=EOMONTH(CH$5,0)),"◆","")))</x:f>
      </x:c>
      <x:c r="CI23" s="57" t="str">
        <x:f>IF('制度詳細'!$H$23="",IF('制度詳細'!$J$23="","",IF(AND('制度詳細'!$J$23&gt;=CI$5,'制度詳細'!$J$23&lt;=EOMONTH(CI$5,0)),"◆","")),IF(MAX('制度詳細'!$H$23,CI$5)&lt;=MIN(IF('制度詳細'!$I$23="",EOMONTH(CI$5,0),'制度詳細'!$I$23),EOMONTH(CI$5,0)),"■",IF(AND('制度詳細'!$J$23&lt;&gt;"",'制度詳細'!$J$23&gt;=CI$5,'制度詳細'!$J$23&lt;=EOMONTH(CI$5,0)),"◆","")))</x:f>
      </x:c>
      <x:c r="CJ23" s="57" t="str">
        <x:f>IF('制度詳細'!$H$23="",IF('制度詳細'!$J$23="","",IF(AND('制度詳細'!$J$23&gt;=CJ$5,'制度詳細'!$J$23&lt;=EOMONTH(CJ$5,0)),"◆","")),IF(MAX('制度詳細'!$H$23,CJ$5)&lt;=MIN(IF('制度詳細'!$I$23="",EOMONTH(CJ$5,0),'制度詳細'!$I$23),EOMONTH(CJ$5,0)),"■",IF(AND('制度詳細'!$J$23&lt;&gt;"",'制度詳細'!$J$23&gt;=CJ$5,'制度詳細'!$J$23&lt;=EOMONTH(CJ$5,0)),"◆","")))</x:f>
      </x:c>
      <x:c r="CK23" s="57" t="str">
        <x:f>IF('制度詳細'!$H$23="",IF('制度詳細'!$J$23="","",IF(AND('制度詳細'!$J$23&gt;=CK$5,'制度詳細'!$J$23&lt;=EOMONTH(CK$5,0)),"◆","")),IF(MAX('制度詳細'!$H$23,CK$5)&lt;=MIN(IF('制度詳細'!$I$23="",EOMONTH(CK$5,0),'制度詳細'!$I$23),EOMONTH(CK$5,0)),"■",IF(AND('制度詳細'!$J$23&lt;&gt;"",'制度詳細'!$J$23&gt;=CK$5,'制度詳細'!$J$23&lt;=EOMONTH(CK$5,0)),"◆","")))</x:f>
        <x:v>■</x:v>
      </x:c>
      <x:c r="CL23" s="57" t="str">
        <x:f>IF('制度詳細'!$H$23="",IF('制度詳細'!$J$23="","",IF(AND('制度詳細'!$J$23&gt;=CL$5,'制度詳細'!$J$23&lt;=EOMONTH(CL$5,0)),"◆","")),IF(MAX('制度詳細'!$H$23,CL$5)&lt;=MIN(IF('制度詳細'!$I$23="",EOMONTH(CL$5,0),'制度詳細'!$I$23),EOMONTH(CL$5,0)),"■",IF(AND('制度詳細'!$J$23&lt;&gt;"",'制度詳細'!$J$23&gt;=CL$5,'制度詳細'!$J$23&lt;=EOMONTH(CL$5,0)),"◆","")))</x:f>
        <x:v>■</x:v>
      </x:c>
      <x:c r="CM23" s="57" t="str">
        <x:f>IF('制度詳細'!$H$23="",IF('制度詳細'!$J$23="","",IF(AND('制度詳細'!$J$23&gt;=CM$5,'制度詳細'!$J$23&lt;=EOMONTH(CM$5,0)),"◆","")),IF(MAX('制度詳細'!$H$23,CM$5)&lt;=MIN(IF('制度詳細'!$I$23="",EOMONTH(CM$5,0),'制度詳細'!$I$23),EOMONTH(CM$5,0)),"■",IF(AND('制度詳細'!$J$23&lt;&gt;"",'制度詳細'!$J$23&gt;=CM$5,'制度詳細'!$J$23&lt;=EOMONTH(CM$5,0)),"◆","")))</x:f>
        <x:v>■</x:v>
      </x:c>
      <x:c r="CN23" s="57" t="str">
        <x:f>IF('制度詳細'!$H$23="",IF('制度詳細'!$J$23="","",IF(AND('制度詳細'!$J$23&gt;=CN$5,'制度詳細'!$J$23&lt;=EOMONTH(CN$5,0)),"◆","")),IF(MAX('制度詳細'!$H$23,CN$5)&lt;=MIN(IF('制度詳細'!$I$23="",EOMONTH(CN$5,0),'制度詳細'!$I$23),EOMONTH(CN$5,0)),"■",IF(AND('制度詳細'!$J$23&lt;&gt;"",'制度詳細'!$J$23&gt;=CN$5,'制度詳細'!$J$23&lt;=EOMONTH(CN$5,0)),"◆","")))</x:f>
        <x:v>■</x:v>
      </x:c>
      <x:c r="CO23" s="57" t="str">
        <x:f>IF('制度詳細'!$H$23="",IF('制度詳細'!$J$23="","",IF(AND('制度詳細'!$J$23&gt;=CO$5,'制度詳細'!$J$23&lt;=EOMONTH(CO$5,0)),"◆","")),IF(MAX('制度詳細'!$H$23,CO$5)&lt;=MIN(IF('制度詳細'!$I$23="",EOMONTH(CO$5,0),'制度詳細'!$I$23),EOMONTH(CO$5,0)),"■",IF(AND('制度詳細'!$J$23&lt;&gt;"",'制度詳細'!$J$23&gt;=CO$5,'制度詳細'!$J$23&lt;=EOMONTH(CO$5,0)),"◆","")))</x:f>
        <x:v>■</x:v>
      </x:c>
      <x:c r="CP23" s="57" t="str">
        <x:f>IF('制度詳細'!$H$23="",IF('制度詳細'!$J$23="","",IF(AND('制度詳細'!$J$23&gt;=CP$5,'制度詳細'!$J$23&lt;=EOMONTH(CP$5,0)),"◆","")),IF(MAX('制度詳細'!$H$23,CP$5)&lt;=MIN(IF('制度詳細'!$I$23="",EOMONTH(CP$5,0),'制度詳細'!$I$23),EOMONTH(CP$5,0)),"■",IF(AND('制度詳細'!$J$23&lt;&gt;"",'制度詳細'!$J$23&gt;=CP$5,'制度詳細'!$J$23&lt;=EOMONTH(CP$5,0)),"◆","")))</x:f>
        <x:v>■</x:v>
      </x:c>
      <x:c r="CQ23" s="57" t="str">
        <x:f>IF('制度詳細'!$H$23="",IF('制度詳細'!$J$23="","",IF(AND('制度詳細'!$J$23&gt;=CQ$5,'制度詳細'!$J$23&lt;=EOMONTH(CQ$5,0)),"◆","")),IF(MAX('制度詳細'!$H$23,CQ$5)&lt;=MIN(IF('制度詳細'!$I$23="",EOMONTH(CQ$5,0),'制度詳細'!$I$23),EOMONTH(CQ$5,0)),"■",IF(AND('制度詳細'!$J$23&lt;&gt;"",'制度詳細'!$J$23&gt;=CQ$5,'制度詳細'!$J$23&lt;=EOMONTH(CQ$5,0)),"◆","")))</x:f>
        <x:v>■</x:v>
      </x:c>
      <x:c r="CR23" s="57" t="str">
        <x:f>IF('制度詳細'!$H$23="",IF('制度詳細'!$J$23="","",IF(AND('制度詳細'!$J$23&gt;=CR$5,'制度詳細'!$J$23&lt;=EOMONTH(CR$5,0)),"◆","")),IF(MAX('制度詳細'!$H$23,CR$5)&lt;=MIN(IF('制度詳細'!$I$23="",EOMONTH(CR$5,0),'制度詳細'!$I$23),EOMONTH(CR$5,0)),"■",IF(AND('制度詳細'!$J$23&lt;&gt;"",'制度詳細'!$J$23&gt;=CR$5,'制度詳細'!$J$23&lt;=EOMONTH(CR$5,0)),"◆","")))</x:f>
        <x:v>■</x:v>
      </x:c>
      <x:c r="CS23" s="57" t="str">
        <x:f>IF('制度詳細'!$H$23="",IF('制度詳細'!$J$23="","",IF(AND('制度詳細'!$J$23&gt;=CS$5,'制度詳細'!$J$23&lt;=EOMONTH(CS$5,0)),"◆","")),IF(MAX('制度詳細'!$H$23,CS$5)&lt;=MIN(IF('制度詳細'!$I$23="",EOMONTH(CS$5,0),'制度詳細'!$I$23),EOMONTH(CS$5,0)),"■",IF(AND('制度詳細'!$J$23&lt;&gt;"",'制度詳細'!$J$23&gt;=CS$5,'制度詳細'!$J$23&lt;=EOMONTH(CS$5,0)),"◆","")))</x:f>
        <x:v>■</x:v>
      </x:c>
      <x:c r="CT23" s="57" t="str">
        <x:f>IF('制度詳細'!$H$23="",IF('制度詳細'!$J$23="","",IF(AND('制度詳細'!$J$23&gt;=CT$5,'制度詳細'!$J$23&lt;=EOMONTH(CT$5,0)),"◆","")),IF(MAX('制度詳細'!$H$23,CT$5)&lt;=MIN(IF('制度詳細'!$I$23="",EOMONTH(CT$5,0),'制度詳細'!$I$23),EOMONTH(CT$5,0)),"■",IF(AND('制度詳細'!$J$23&lt;&gt;"",'制度詳細'!$J$23&gt;=CT$5,'制度詳細'!$J$23&lt;=EOMONTH(CT$5,0)),"◆","")))</x:f>
        <x:v>■</x:v>
      </x:c>
      <x:c r="CU23" s="57" t="str">
        <x:f>IF('制度詳細'!$H$23="",IF('制度詳細'!$J$23="","",IF(AND('制度詳細'!$J$23&gt;=CU$5,'制度詳細'!$J$23&lt;=EOMONTH(CU$5,0)),"◆","")),IF(MAX('制度詳細'!$H$23,CU$5)&lt;=MIN(IF('制度詳細'!$I$23="",EOMONTH(CU$5,0),'制度詳細'!$I$23),EOMONTH(CU$5,0)),"■",IF(AND('制度詳細'!$J$23&lt;&gt;"",'制度詳細'!$J$23&gt;=CU$5,'制度詳細'!$J$23&lt;=EOMONTH(CU$5,0)),"◆","")))</x:f>
        <x:v>■</x:v>
      </x:c>
      <x:c r="CV23" s="57" t="str">
        <x:f>IF('制度詳細'!$H$23="",IF('制度詳細'!$J$23="","",IF(AND('制度詳細'!$J$23&gt;=CV$5,'制度詳細'!$J$23&lt;=EOMONTH(CV$5,0)),"◆","")),IF(MAX('制度詳細'!$H$23,CV$5)&lt;=MIN(IF('制度詳細'!$I$23="",EOMONTH(CV$5,0),'制度詳細'!$I$23),EOMONTH(CV$5,0)),"■",IF(AND('制度詳細'!$J$23&lt;&gt;"",'制度詳細'!$J$23&gt;=CV$5,'制度詳細'!$J$23&lt;=EOMONTH(CV$5,0)),"◆","")))</x:f>
        <x:v>■</x:v>
      </x:c>
      <x:c r="CW23" s="1"/>
      <x:c r="CX23" s="1"/>
      <x:c r="CY23" s="1"/>
      <x:c r="CZ23" s="1"/>
      <x:c r="DA23" s="1"/>
      <x:c r="DB23" s="1"/>
      <x:c r="DC23" s="1"/>
      <x:c r="DD23" s="1"/>
    </x:row>
    <x:row r="24" ht="27" customHeight="1">
      <x:c r="A24" s="53" t="str">
        <x:v>MY01</x:v>
      </x:c>
      <x:c r="B24" s="53" t="str">
        <x:v>マレーシア</x:v>
      </x:c>
      <x:c r="C24" s="53" t="str">
        <x:v>CBU：輸入税・物品税免除</x:v>
      </x:c>
      <x:c r="D24" s="53" t="str">
        <x:v>BEV</x:v>
      </x:c>
      <x:c r="E24" s="57" t="str">
        <x:f>IF('制度詳細'!$H$24="",IF('制度詳細'!$J$24="","",IF(AND('制度詳細'!$J$24&gt;=E$5,'制度詳細'!$J$24&lt;=EOMONTH(E$5,0)),"◆","")),IF(MAX('制度詳細'!$H$24,E$5)&lt;=MIN(IF('制度詳細'!$I$24="",EOMONTH(E$5,0),'制度詳細'!$I$24),EOMONTH(E$5,0)),"■",IF(AND('制度詳細'!$J$24&lt;&gt;"",'制度詳細'!$J$24&gt;=E$5,'制度詳細'!$J$24&lt;=EOMONTH(E$5,0)),"◆","")))</x:f>
      </x:c>
      <x:c r="F24" s="57" t="str">
        <x:f>IF('制度詳細'!$H$24="",IF('制度詳細'!$J$24="","",IF(AND('制度詳細'!$J$24&gt;=F$5,'制度詳細'!$J$24&lt;=EOMONTH(F$5,0)),"◆","")),IF(MAX('制度詳細'!$H$24,F$5)&lt;=MIN(IF('制度詳細'!$I$24="",EOMONTH(F$5,0),'制度詳細'!$I$24),EOMONTH(F$5,0)),"■",IF(AND('制度詳細'!$J$24&lt;&gt;"",'制度詳細'!$J$24&gt;=F$5,'制度詳細'!$J$24&lt;=EOMONTH(F$5,0)),"◆","")))</x:f>
      </x:c>
      <x:c r="G24" s="57" t="str">
        <x:f>IF('制度詳細'!$H$24="",IF('制度詳細'!$J$24="","",IF(AND('制度詳細'!$J$24&gt;=G$5,'制度詳細'!$J$24&lt;=EOMONTH(G$5,0)),"◆","")),IF(MAX('制度詳細'!$H$24,G$5)&lt;=MIN(IF('制度詳細'!$I$24="",EOMONTH(G$5,0),'制度詳細'!$I$24),EOMONTH(G$5,0)),"■",IF(AND('制度詳細'!$J$24&lt;&gt;"",'制度詳細'!$J$24&gt;=G$5,'制度詳細'!$J$24&lt;=EOMONTH(G$5,0)),"◆","")))</x:f>
      </x:c>
      <x:c r="H24" s="57" t="str">
        <x:f>IF('制度詳細'!$H$24="",IF('制度詳細'!$J$24="","",IF(AND('制度詳細'!$J$24&gt;=H$5,'制度詳細'!$J$24&lt;=EOMONTH(H$5,0)),"◆","")),IF(MAX('制度詳細'!$H$24,H$5)&lt;=MIN(IF('制度詳細'!$I$24="",EOMONTH(H$5,0),'制度詳細'!$I$24),EOMONTH(H$5,0)),"■",IF(AND('制度詳細'!$J$24&lt;&gt;"",'制度詳細'!$J$24&gt;=H$5,'制度詳細'!$J$24&lt;=EOMONTH(H$5,0)),"◆","")))</x:f>
      </x:c>
      <x:c r="I24" s="57" t="str">
        <x:f>IF('制度詳細'!$H$24="",IF('制度詳細'!$J$24="","",IF(AND('制度詳細'!$J$24&gt;=I$5,'制度詳細'!$J$24&lt;=EOMONTH(I$5,0)),"◆","")),IF(MAX('制度詳細'!$H$24,I$5)&lt;=MIN(IF('制度詳細'!$I$24="",EOMONTH(I$5,0),'制度詳細'!$I$24),EOMONTH(I$5,0)),"■",IF(AND('制度詳細'!$J$24&lt;&gt;"",'制度詳細'!$J$24&gt;=I$5,'制度詳細'!$J$24&lt;=EOMONTH(I$5,0)),"◆","")))</x:f>
      </x:c>
      <x:c r="J24" s="57" t="str">
        <x:f>IF('制度詳細'!$H$24="",IF('制度詳細'!$J$24="","",IF(AND('制度詳細'!$J$24&gt;=J$5,'制度詳細'!$J$24&lt;=EOMONTH(J$5,0)),"◆","")),IF(MAX('制度詳細'!$H$24,J$5)&lt;=MIN(IF('制度詳細'!$I$24="",EOMONTH(J$5,0),'制度詳細'!$I$24),EOMONTH(J$5,0)),"■",IF(AND('制度詳細'!$J$24&lt;&gt;"",'制度詳細'!$J$24&gt;=J$5,'制度詳細'!$J$24&lt;=EOMONTH(J$5,0)),"◆","")))</x:f>
      </x:c>
      <x:c r="K24" s="57" t="str">
        <x:f>IF('制度詳細'!$H$24="",IF('制度詳細'!$J$24="","",IF(AND('制度詳細'!$J$24&gt;=K$5,'制度詳細'!$J$24&lt;=EOMONTH(K$5,0)),"◆","")),IF(MAX('制度詳細'!$H$24,K$5)&lt;=MIN(IF('制度詳細'!$I$24="",EOMONTH(K$5,0),'制度詳細'!$I$24),EOMONTH(K$5,0)),"■",IF(AND('制度詳細'!$J$24&lt;&gt;"",'制度詳細'!$J$24&gt;=K$5,'制度詳細'!$J$24&lt;=EOMONTH(K$5,0)),"◆","")))</x:f>
      </x:c>
      <x:c r="L24" s="57" t="str">
        <x:f>IF('制度詳細'!$H$24="",IF('制度詳細'!$J$24="","",IF(AND('制度詳細'!$J$24&gt;=L$5,'制度詳細'!$J$24&lt;=EOMONTH(L$5,0)),"◆","")),IF(MAX('制度詳細'!$H$24,L$5)&lt;=MIN(IF('制度詳細'!$I$24="",EOMONTH(L$5,0),'制度詳細'!$I$24),EOMONTH(L$5,0)),"■",IF(AND('制度詳細'!$J$24&lt;&gt;"",'制度詳細'!$J$24&gt;=L$5,'制度詳細'!$J$24&lt;=EOMONTH(L$5,0)),"◆","")))</x:f>
      </x:c>
      <x:c r="M24" s="57" t="str">
        <x:f>IF('制度詳細'!$H$24="",IF('制度詳細'!$J$24="","",IF(AND('制度詳細'!$J$24&gt;=M$5,'制度詳細'!$J$24&lt;=EOMONTH(M$5,0)),"◆","")),IF(MAX('制度詳細'!$H$24,M$5)&lt;=MIN(IF('制度詳細'!$I$24="",EOMONTH(M$5,0),'制度詳細'!$I$24),EOMONTH(M$5,0)),"■",IF(AND('制度詳細'!$J$24&lt;&gt;"",'制度詳細'!$J$24&gt;=M$5,'制度詳細'!$J$24&lt;=EOMONTH(M$5,0)),"◆","")))</x:f>
      </x:c>
      <x:c r="N24" s="57" t="str">
        <x:f>IF('制度詳細'!$H$24="",IF('制度詳細'!$J$24="","",IF(AND('制度詳細'!$J$24&gt;=N$5,'制度詳細'!$J$24&lt;=EOMONTH(N$5,0)),"◆","")),IF(MAX('制度詳細'!$H$24,N$5)&lt;=MIN(IF('制度詳細'!$I$24="",EOMONTH(N$5,0),'制度詳細'!$I$24),EOMONTH(N$5,0)),"■",IF(AND('制度詳細'!$J$24&lt;&gt;"",'制度詳細'!$J$24&gt;=N$5,'制度詳細'!$J$24&lt;=EOMONTH(N$5,0)),"◆","")))</x:f>
      </x:c>
      <x:c r="O24" s="57" t="str">
        <x:f>IF('制度詳細'!$H$24="",IF('制度詳細'!$J$24="","",IF(AND('制度詳細'!$J$24&gt;=O$5,'制度詳細'!$J$24&lt;=EOMONTH(O$5,0)),"◆","")),IF(MAX('制度詳細'!$H$24,O$5)&lt;=MIN(IF('制度詳細'!$I$24="",EOMONTH(O$5,0),'制度詳細'!$I$24),EOMONTH(O$5,0)),"■",IF(AND('制度詳細'!$J$24&lt;&gt;"",'制度詳細'!$J$24&gt;=O$5,'制度詳細'!$J$24&lt;=EOMONTH(O$5,0)),"◆","")))</x:f>
      </x:c>
      <x:c r="P24" s="57" t="str">
        <x:f>IF('制度詳細'!$H$24="",IF('制度詳細'!$J$24="","",IF(AND('制度詳細'!$J$24&gt;=P$5,'制度詳細'!$J$24&lt;=EOMONTH(P$5,0)),"◆","")),IF(MAX('制度詳細'!$H$24,P$5)&lt;=MIN(IF('制度詳細'!$I$24="",EOMONTH(P$5,0),'制度詳細'!$I$24),EOMONTH(P$5,0)),"■",IF(AND('制度詳細'!$J$24&lt;&gt;"",'制度詳細'!$J$24&gt;=P$5,'制度詳細'!$J$24&lt;=EOMONTH(P$5,0)),"◆","")))</x:f>
      </x:c>
      <x:c r="Q24" s="57" t="str">
        <x:f>IF('制度詳細'!$H$24="",IF('制度詳細'!$J$24="","",IF(AND('制度詳細'!$J$24&gt;=Q$5,'制度詳細'!$J$24&lt;=EOMONTH(Q$5,0)),"◆","")),IF(MAX('制度詳細'!$H$24,Q$5)&lt;=MIN(IF('制度詳細'!$I$24="",EOMONTH(Q$5,0),'制度詳細'!$I$24),EOMONTH(Q$5,0)),"■",IF(AND('制度詳細'!$J$24&lt;&gt;"",'制度詳細'!$J$24&gt;=Q$5,'制度詳細'!$J$24&lt;=EOMONTH(Q$5,0)),"◆","")))</x:f>
      </x:c>
      <x:c r="R24" s="57" t="str">
        <x:f>IF('制度詳細'!$H$24="",IF('制度詳細'!$J$24="","",IF(AND('制度詳細'!$J$24&gt;=R$5,'制度詳細'!$J$24&lt;=EOMONTH(R$5,0)),"◆","")),IF(MAX('制度詳細'!$H$24,R$5)&lt;=MIN(IF('制度詳細'!$I$24="",EOMONTH(R$5,0),'制度詳細'!$I$24),EOMONTH(R$5,0)),"■",IF(AND('制度詳細'!$J$24&lt;&gt;"",'制度詳細'!$J$24&gt;=R$5,'制度詳細'!$J$24&lt;=EOMONTH(R$5,0)),"◆","")))</x:f>
      </x:c>
      <x:c r="S24" s="57" t="str">
        <x:f>IF('制度詳細'!$H$24="",IF('制度詳細'!$J$24="","",IF(AND('制度詳細'!$J$24&gt;=S$5,'制度詳細'!$J$24&lt;=EOMONTH(S$5,0)),"◆","")),IF(MAX('制度詳細'!$H$24,S$5)&lt;=MIN(IF('制度詳細'!$I$24="",EOMONTH(S$5,0),'制度詳細'!$I$24),EOMONTH(S$5,0)),"■",IF(AND('制度詳細'!$J$24&lt;&gt;"",'制度詳細'!$J$24&gt;=S$5,'制度詳細'!$J$24&lt;=EOMONTH(S$5,0)),"◆","")))</x:f>
      </x:c>
      <x:c r="T24" s="57" t="str">
        <x:f>IF('制度詳細'!$H$24="",IF('制度詳細'!$J$24="","",IF(AND('制度詳細'!$J$24&gt;=T$5,'制度詳細'!$J$24&lt;=EOMONTH(T$5,0)),"◆","")),IF(MAX('制度詳細'!$H$24,T$5)&lt;=MIN(IF('制度詳細'!$I$24="",EOMONTH(T$5,0),'制度詳細'!$I$24),EOMONTH(T$5,0)),"■",IF(AND('制度詳細'!$J$24&lt;&gt;"",'制度詳細'!$J$24&gt;=T$5,'制度詳細'!$J$24&lt;=EOMONTH(T$5,0)),"◆","")))</x:f>
      </x:c>
      <x:c r="U24" s="57" t="str">
        <x:f>IF('制度詳細'!$H$24="",IF('制度詳細'!$J$24="","",IF(AND('制度詳細'!$J$24&gt;=U$5,'制度詳細'!$J$24&lt;=EOMONTH(U$5,0)),"◆","")),IF(MAX('制度詳細'!$H$24,U$5)&lt;=MIN(IF('制度詳細'!$I$24="",EOMONTH(U$5,0),'制度詳細'!$I$24),EOMONTH(U$5,0)),"■",IF(AND('制度詳細'!$J$24&lt;&gt;"",'制度詳細'!$J$24&gt;=U$5,'制度詳細'!$J$24&lt;=EOMONTH(U$5,0)),"◆","")))</x:f>
      </x:c>
      <x:c r="V24" s="57" t="str">
        <x:f>IF('制度詳細'!$H$24="",IF('制度詳細'!$J$24="","",IF(AND('制度詳細'!$J$24&gt;=V$5,'制度詳細'!$J$24&lt;=EOMONTH(V$5,0)),"◆","")),IF(MAX('制度詳細'!$H$24,V$5)&lt;=MIN(IF('制度詳細'!$I$24="",EOMONTH(V$5,0),'制度詳細'!$I$24),EOMONTH(V$5,0)),"■",IF(AND('制度詳細'!$J$24&lt;&gt;"",'制度詳細'!$J$24&gt;=V$5,'制度詳細'!$J$24&lt;=EOMONTH(V$5,0)),"◆","")))</x:f>
      </x:c>
      <x:c r="W24" s="57" t="str">
        <x:f>IF('制度詳細'!$H$24="",IF('制度詳細'!$J$24="","",IF(AND('制度詳細'!$J$24&gt;=W$5,'制度詳細'!$J$24&lt;=EOMONTH(W$5,0)),"◆","")),IF(MAX('制度詳細'!$H$24,W$5)&lt;=MIN(IF('制度詳細'!$I$24="",EOMONTH(W$5,0),'制度詳細'!$I$24),EOMONTH(W$5,0)),"■",IF(AND('制度詳細'!$J$24&lt;&gt;"",'制度詳細'!$J$24&gt;=W$5,'制度詳細'!$J$24&lt;=EOMONTH(W$5,0)),"◆","")))</x:f>
      </x:c>
      <x:c r="X24" s="57" t="str">
        <x:f>IF('制度詳細'!$H$24="",IF('制度詳細'!$J$24="","",IF(AND('制度詳細'!$J$24&gt;=X$5,'制度詳細'!$J$24&lt;=EOMONTH(X$5,0)),"◆","")),IF(MAX('制度詳細'!$H$24,X$5)&lt;=MIN(IF('制度詳細'!$I$24="",EOMONTH(X$5,0),'制度詳細'!$I$24),EOMONTH(X$5,0)),"■",IF(AND('制度詳細'!$J$24&lt;&gt;"",'制度詳細'!$J$24&gt;=X$5,'制度詳細'!$J$24&lt;=EOMONTH(X$5,0)),"◆","")))</x:f>
      </x:c>
      <x:c r="Y24" s="57" t="str">
        <x:f>IF('制度詳細'!$H$24="",IF('制度詳細'!$J$24="","",IF(AND('制度詳細'!$J$24&gt;=Y$5,'制度詳細'!$J$24&lt;=EOMONTH(Y$5,0)),"◆","")),IF(MAX('制度詳細'!$H$24,Y$5)&lt;=MIN(IF('制度詳細'!$I$24="",EOMONTH(Y$5,0),'制度詳細'!$I$24),EOMONTH(Y$5,0)),"■",IF(AND('制度詳細'!$J$24&lt;&gt;"",'制度詳細'!$J$24&gt;=Y$5,'制度詳細'!$J$24&lt;=EOMONTH(Y$5,0)),"◆","")))</x:f>
      </x:c>
      <x:c r="Z24" s="57" t="str">
        <x:f>IF('制度詳細'!$H$24="",IF('制度詳細'!$J$24="","",IF(AND('制度詳細'!$J$24&gt;=Z$5,'制度詳細'!$J$24&lt;=EOMONTH(Z$5,0)),"◆","")),IF(MAX('制度詳細'!$H$24,Z$5)&lt;=MIN(IF('制度詳細'!$I$24="",EOMONTH(Z$5,0),'制度詳細'!$I$24),EOMONTH(Z$5,0)),"■",IF(AND('制度詳細'!$J$24&lt;&gt;"",'制度詳細'!$J$24&gt;=Z$5,'制度詳細'!$J$24&lt;=EOMONTH(Z$5,0)),"◆","")))</x:f>
        <x:v>◆</x:v>
      </x:c>
      <x:c r="AA24" s="57" t="str">
        <x:f>IF('制度詳細'!$H$24="",IF('制度詳細'!$J$24="","",IF(AND('制度詳細'!$J$24&gt;=AA$5,'制度詳細'!$J$24&lt;=EOMONTH(AA$5,0)),"◆","")),IF(MAX('制度詳細'!$H$24,AA$5)&lt;=MIN(IF('制度詳細'!$I$24="",EOMONTH(AA$5,0),'制度詳細'!$I$24),EOMONTH(AA$5,0)),"■",IF(AND('制度詳細'!$J$24&lt;&gt;"",'制度詳細'!$J$24&gt;=AA$5,'制度詳細'!$J$24&lt;=EOMONTH(AA$5,0)),"◆","")))</x:f>
      </x:c>
      <x:c r="AB24" s="57" t="str">
        <x:f>IF('制度詳細'!$H$24="",IF('制度詳細'!$J$24="","",IF(AND('制度詳細'!$J$24&gt;=AB$5,'制度詳細'!$J$24&lt;=EOMONTH(AB$5,0)),"◆","")),IF(MAX('制度詳細'!$H$24,AB$5)&lt;=MIN(IF('制度詳細'!$I$24="",EOMONTH(AB$5,0),'制度詳細'!$I$24),EOMONTH(AB$5,0)),"■",IF(AND('制度詳細'!$J$24&lt;&gt;"",'制度詳細'!$J$24&gt;=AB$5,'制度詳細'!$J$24&lt;=EOMONTH(AB$5,0)),"◆","")))</x:f>
      </x:c>
      <x:c r="AC24" s="57" t="str">
        <x:f>IF('制度詳細'!$H$24="",IF('制度詳細'!$J$24="","",IF(AND('制度詳細'!$J$24&gt;=AC$5,'制度詳細'!$J$24&lt;=EOMONTH(AC$5,0)),"◆","")),IF(MAX('制度詳細'!$H$24,AC$5)&lt;=MIN(IF('制度詳細'!$I$24="",EOMONTH(AC$5,0),'制度詳細'!$I$24),EOMONTH(AC$5,0)),"■",IF(AND('制度詳細'!$J$24&lt;&gt;"",'制度詳細'!$J$24&gt;=AC$5,'制度詳細'!$J$24&lt;=EOMONTH(AC$5,0)),"◆","")))</x:f>
        <x:v>■</x:v>
      </x:c>
      <x:c r="AD24" s="57" t="str">
        <x:f>IF('制度詳細'!$H$24="",IF('制度詳細'!$J$24="","",IF(AND('制度詳細'!$J$24&gt;=AD$5,'制度詳細'!$J$24&lt;=EOMONTH(AD$5,0)),"◆","")),IF(MAX('制度詳細'!$H$24,AD$5)&lt;=MIN(IF('制度詳細'!$I$24="",EOMONTH(AD$5,0),'制度詳細'!$I$24),EOMONTH(AD$5,0)),"■",IF(AND('制度詳細'!$J$24&lt;&gt;"",'制度詳細'!$J$24&gt;=AD$5,'制度詳細'!$J$24&lt;=EOMONTH(AD$5,0)),"◆","")))</x:f>
        <x:v>■</x:v>
      </x:c>
      <x:c r="AE24" s="57" t="str">
        <x:f>IF('制度詳細'!$H$24="",IF('制度詳細'!$J$24="","",IF(AND('制度詳細'!$J$24&gt;=AE$5,'制度詳細'!$J$24&lt;=EOMONTH(AE$5,0)),"◆","")),IF(MAX('制度詳細'!$H$24,AE$5)&lt;=MIN(IF('制度詳細'!$I$24="",EOMONTH(AE$5,0),'制度詳細'!$I$24),EOMONTH(AE$5,0)),"■",IF(AND('制度詳細'!$J$24&lt;&gt;"",'制度詳細'!$J$24&gt;=AE$5,'制度詳細'!$J$24&lt;=EOMONTH(AE$5,0)),"◆","")))</x:f>
        <x:v>■</x:v>
      </x:c>
      <x:c r="AF24" s="57" t="str">
        <x:f>IF('制度詳細'!$H$24="",IF('制度詳細'!$J$24="","",IF(AND('制度詳細'!$J$24&gt;=AF$5,'制度詳細'!$J$24&lt;=EOMONTH(AF$5,0)),"◆","")),IF(MAX('制度詳細'!$H$24,AF$5)&lt;=MIN(IF('制度詳細'!$I$24="",EOMONTH(AF$5,0),'制度詳細'!$I$24),EOMONTH(AF$5,0)),"■",IF(AND('制度詳細'!$J$24&lt;&gt;"",'制度詳細'!$J$24&gt;=AF$5,'制度詳細'!$J$24&lt;=EOMONTH(AF$5,0)),"◆","")))</x:f>
        <x:v>■</x:v>
      </x:c>
      <x:c r="AG24" s="57" t="str">
        <x:f>IF('制度詳細'!$H$24="",IF('制度詳細'!$J$24="","",IF(AND('制度詳細'!$J$24&gt;=AG$5,'制度詳細'!$J$24&lt;=EOMONTH(AG$5,0)),"◆","")),IF(MAX('制度詳細'!$H$24,AG$5)&lt;=MIN(IF('制度詳細'!$I$24="",EOMONTH(AG$5,0),'制度詳細'!$I$24),EOMONTH(AG$5,0)),"■",IF(AND('制度詳細'!$J$24&lt;&gt;"",'制度詳細'!$J$24&gt;=AG$5,'制度詳細'!$J$24&lt;=EOMONTH(AG$5,0)),"◆","")))</x:f>
        <x:v>■</x:v>
      </x:c>
      <x:c r="AH24" s="57" t="str">
        <x:f>IF('制度詳細'!$H$24="",IF('制度詳細'!$J$24="","",IF(AND('制度詳細'!$J$24&gt;=AH$5,'制度詳細'!$J$24&lt;=EOMONTH(AH$5,0)),"◆","")),IF(MAX('制度詳細'!$H$24,AH$5)&lt;=MIN(IF('制度詳細'!$I$24="",EOMONTH(AH$5,0),'制度詳細'!$I$24),EOMONTH(AH$5,0)),"■",IF(AND('制度詳細'!$J$24&lt;&gt;"",'制度詳細'!$J$24&gt;=AH$5,'制度詳細'!$J$24&lt;=EOMONTH(AH$5,0)),"◆","")))</x:f>
        <x:v>■</x:v>
      </x:c>
      <x:c r="AI24" s="57" t="str">
        <x:f>IF('制度詳細'!$H$24="",IF('制度詳細'!$J$24="","",IF(AND('制度詳細'!$J$24&gt;=AI$5,'制度詳細'!$J$24&lt;=EOMONTH(AI$5,0)),"◆","")),IF(MAX('制度詳細'!$H$24,AI$5)&lt;=MIN(IF('制度詳細'!$I$24="",EOMONTH(AI$5,0),'制度詳細'!$I$24),EOMONTH(AI$5,0)),"■",IF(AND('制度詳細'!$J$24&lt;&gt;"",'制度詳細'!$J$24&gt;=AI$5,'制度詳細'!$J$24&lt;=EOMONTH(AI$5,0)),"◆","")))</x:f>
        <x:v>■</x:v>
      </x:c>
      <x:c r="AJ24" s="57" t="str">
        <x:f>IF('制度詳細'!$H$24="",IF('制度詳細'!$J$24="","",IF(AND('制度詳細'!$J$24&gt;=AJ$5,'制度詳細'!$J$24&lt;=EOMONTH(AJ$5,0)),"◆","")),IF(MAX('制度詳細'!$H$24,AJ$5)&lt;=MIN(IF('制度詳細'!$I$24="",EOMONTH(AJ$5,0),'制度詳細'!$I$24),EOMONTH(AJ$5,0)),"■",IF(AND('制度詳細'!$J$24&lt;&gt;"",'制度詳細'!$J$24&gt;=AJ$5,'制度詳細'!$J$24&lt;=EOMONTH(AJ$5,0)),"◆","")))</x:f>
        <x:v>■</x:v>
      </x:c>
      <x:c r="AK24" s="57" t="str">
        <x:f>IF('制度詳細'!$H$24="",IF('制度詳細'!$J$24="","",IF(AND('制度詳細'!$J$24&gt;=AK$5,'制度詳細'!$J$24&lt;=EOMONTH(AK$5,0)),"◆","")),IF(MAX('制度詳細'!$H$24,AK$5)&lt;=MIN(IF('制度詳細'!$I$24="",EOMONTH(AK$5,0),'制度詳細'!$I$24),EOMONTH(AK$5,0)),"■",IF(AND('制度詳細'!$J$24&lt;&gt;"",'制度詳細'!$J$24&gt;=AK$5,'制度詳細'!$J$24&lt;=EOMONTH(AK$5,0)),"◆","")))</x:f>
        <x:v>■</x:v>
      </x:c>
      <x:c r="AL24" s="57" t="str">
        <x:f>IF('制度詳細'!$H$24="",IF('制度詳細'!$J$24="","",IF(AND('制度詳細'!$J$24&gt;=AL$5,'制度詳細'!$J$24&lt;=EOMONTH(AL$5,0)),"◆","")),IF(MAX('制度詳細'!$H$24,AL$5)&lt;=MIN(IF('制度詳細'!$I$24="",EOMONTH(AL$5,0),'制度詳細'!$I$24),EOMONTH(AL$5,0)),"■",IF(AND('制度詳細'!$J$24&lt;&gt;"",'制度詳細'!$J$24&gt;=AL$5,'制度詳細'!$J$24&lt;=EOMONTH(AL$5,0)),"◆","")))</x:f>
        <x:v>■</x:v>
      </x:c>
      <x:c r="AM24" s="57" t="str">
        <x:f>IF('制度詳細'!$H$24="",IF('制度詳細'!$J$24="","",IF(AND('制度詳細'!$J$24&gt;=AM$5,'制度詳細'!$J$24&lt;=EOMONTH(AM$5,0)),"◆","")),IF(MAX('制度詳細'!$H$24,AM$5)&lt;=MIN(IF('制度詳細'!$I$24="",EOMONTH(AM$5,0),'制度詳細'!$I$24),EOMONTH(AM$5,0)),"■",IF(AND('制度詳細'!$J$24&lt;&gt;"",'制度詳細'!$J$24&gt;=AM$5,'制度詳細'!$J$24&lt;=EOMONTH(AM$5,0)),"◆","")))</x:f>
        <x:v>■</x:v>
      </x:c>
      <x:c r="AN24" s="57" t="str">
        <x:f>IF('制度詳細'!$H$24="",IF('制度詳細'!$J$24="","",IF(AND('制度詳細'!$J$24&gt;=AN$5,'制度詳細'!$J$24&lt;=EOMONTH(AN$5,0)),"◆","")),IF(MAX('制度詳細'!$H$24,AN$5)&lt;=MIN(IF('制度詳細'!$I$24="",EOMONTH(AN$5,0),'制度詳細'!$I$24),EOMONTH(AN$5,0)),"■",IF(AND('制度詳細'!$J$24&lt;&gt;"",'制度詳細'!$J$24&gt;=AN$5,'制度詳細'!$J$24&lt;=EOMONTH(AN$5,0)),"◆","")))</x:f>
        <x:v>■</x:v>
      </x:c>
      <x:c r="AO24" s="57" t="str">
        <x:f>IF('制度詳細'!$H$24="",IF('制度詳細'!$J$24="","",IF(AND('制度詳細'!$J$24&gt;=AO$5,'制度詳細'!$J$24&lt;=EOMONTH(AO$5,0)),"◆","")),IF(MAX('制度詳細'!$H$24,AO$5)&lt;=MIN(IF('制度詳細'!$I$24="",EOMONTH(AO$5,0),'制度詳細'!$I$24),EOMONTH(AO$5,0)),"■",IF(AND('制度詳細'!$J$24&lt;&gt;"",'制度詳細'!$J$24&gt;=AO$5,'制度詳細'!$J$24&lt;=EOMONTH(AO$5,0)),"◆","")))</x:f>
        <x:v>■</x:v>
      </x:c>
      <x:c r="AP24" s="57" t="str">
        <x:f>IF('制度詳細'!$H$24="",IF('制度詳細'!$J$24="","",IF(AND('制度詳細'!$J$24&gt;=AP$5,'制度詳細'!$J$24&lt;=EOMONTH(AP$5,0)),"◆","")),IF(MAX('制度詳細'!$H$24,AP$5)&lt;=MIN(IF('制度詳細'!$I$24="",EOMONTH(AP$5,0),'制度詳細'!$I$24),EOMONTH(AP$5,0)),"■",IF(AND('制度詳細'!$J$24&lt;&gt;"",'制度詳細'!$J$24&gt;=AP$5,'制度詳細'!$J$24&lt;=EOMONTH(AP$5,0)),"◆","")))</x:f>
        <x:v>■</x:v>
      </x:c>
      <x:c r="AQ24" s="57" t="str">
        <x:f>IF('制度詳細'!$H$24="",IF('制度詳細'!$J$24="","",IF(AND('制度詳細'!$J$24&gt;=AQ$5,'制度詳細'!$J$24&lt;=EOMONTH(AQ$5,0)),"◆","")),IF(MAX('制度詳細'!$H$24,AQ$5)&lt;=MIN(IF('制度詳細'!$I$24="",EOMONTH(AQ$5,0),'制度詳細'!$I$24),EOMONTH(AQ$5,0)),"■",IF(AND('制度詳細'!$J$24&lt;&gt;"",'制度詳細'!$J$24&gt;=AQ$5,'制度詳細'!$J$24&lt;=EOMONTH(AQ$5,0)),"◆","")))</x:f>
        <x:v>■</x:v>
      </x:c>
      <x:c r="AR24" s="57" t="str">
        <x:f>IF('制度詳細'!$H$24="",IF('制度詳細'!$J$24="","",IF(AND('制度詳細'!$J$24&gt;=AR$5,'制度詳細'!$J$24&lt;=EOMONTH(AR$5,0)),"◆","")),IF(MAX('制度詳細'!$H$24,AR$5)&lt;=MIN(IF('制度詳細'!$I$24="",EOMONTH(AR$5,0),'制度詳細'!$I$24),EOMONTH(AR$5,0)),"■",IF(AND('制度詳細'!$J$24&lt;&gt;"",'制度詳細'!$J$24&gt;=AR$5,'制度詳細'!$J$24&lt;=EOMONTH(AR$5,0)),"◆","")))</x:f>
        <x:v>■</x:v>
      </x:c>
      <x:c r="AS24" s="57" t="str">
        <x:f>IF('制度詳細'!$H$24="",IF('制度詳細'!$J$24="","",IF(AND('制度詳細'!$J$24&gt;=AS$5,'制度詳細'!$J$24&lt;=EOMONTH(AS$5,0)),"◆","")),IF(MAX('制度詳細'!$H$24,AS$5)&lt;=MIN(IF('制度詳細'!$I$24="",EOMONTH(AS$5,0),'制度詳細'!$I$24),EOMONTH(AS$5,0)),"■",IF(AND('制度詳細'!$J$24&lt;&gt;"",'制度詳細'!$J$24&gt;=AS$5,'制度詳細'!$J$24&lt;=EOMONTH(AS$5,0)),"◆","")))</x:f>
        <x:v>■</x:v>
      </x:c>
      <x:c r="AT24" s="57" t="str">
        <x:f>IF('制度詳細'!$H$24="",IF('制度詳細'!$J$24="","",IF(AND('制度詳細'!$J$24&gt;=AT$5,'制度詳細'!$J$24&lt;=EOMONTH(AT$5,0)),"◆","")),IF(MAX('制度詳細'!$H$24,AT$5)&lt;=MIN(IF('制度詳細'!$I$24="",EOMONTH(AT$5,0),'制度詳細'!$I$24),EOMONTH(AT$5,0)),"■",IF(AND('制度詳細'!$J$24&lt;&gt;"",'制度詳細'!$J$24&gt;=AT$5,'制度詳細'!$J$24&lt;=EOMONTH(AT$5,0)),"◆","")))</x:f>
        <x:v>■</x:v>
      </x:c>
      <x:c r="AU24" s="57" t="str">
        <x:f>IF('制度詳細'!$H$24="",IF('制度詳細'!$J$24="","",IF(AND('制度詳細'!$J$24&gt;=AU$5,'制度詳細'!$J$24&lt;=EOMONTH(AU$5,0)),"◆","")),IF(MAX('制度詳細'!$H$24,AU$5)&lt;=MIN(IF('制度詳細'!$I$24="",EOMONTH(AU$5,0),'制度詳細'!$I$24),EOMONTH(AU$5,0)),"■",IF(AND('制度詳細'!$J$24&lt;&gt;"",'制度詳細'!$J$24&gt;=AU$5,'制度詳細'!$J$24&lt;=EOMONTH(AU$5,0)),"◆","")))</x:f>
        <x:v>■</x:v>
      </x:c>
      <x:c r="AV24" s="57" t="str">
        <x:f>IF('制度詳細'!$H$24="",IF('制度詳細'!$J$24="","",IF(AND('制度詳細'!$J$24&gt;=AV$5,'制度詳細'!$J$24&lt;=EOMONTH(AV$5,0)),"◆","")),IF(MAX('制度詳細'!$H$24,AV$5)&lt;=MIN(IF('制度詳細'!$I$24="",EOMONTH(AV$5,0),'制度詳細'!$I$24),EOMONTH(AV$5,0)),"■",IF(AND('制度詳細'!$J$24&lt;&gt;"",'制度詳細'!$J$24&gt;=AV$5,'制度詳細'!$J$24&lt;=EOMONTH(AV$5,0)),"◆","")))</x:f>
        <x:v>■</x:v>
      </x:c>
      <x:c r="AW24" s="57" t="str">
        <x:f>IF('制度詳細'!$H$24="",IF('制度詳細'!$J$24="","",IF(AND('制度詳細'!$J$24&gt;=AW$5,'制度詳細'!$J$24&lt;=EOMONTH(AW$5,0)),"◆","")),IF(MAX('制度詳細'!$H$24,AW$5)&lt;=MIN(IF('制度詳細'!$I$24="",EOMONTH(AW$5,0),'制度詳細'!$I$24),EOMONTH(AW$5,0)),"■",IF(AND('制度詳細'!$J$24&lt;&gt;"",'制度詳細'!$J$24&gt;=AW$5,'制度詳細'!$J$24&lt;=EOMONTH(AW$5,0)),"◆","")))</x:f>
        <x:v>■</x:v>
      </x:c>
      <x:c r="AX24" s="57" t="str">
        <x:f>IF('制度詳細'!$H$24="",IF('制度詳細'!$J$24="","",IF(AND('制度詳細'!$J$24&gt;=AX$5,'制度詳細'!$J$24&lt;=EOMONTH(AX$5,0)),"◆","")),IF(MAX('制度詳細'!$H$24,AX$5)&lt;=MIN(IF('制度詳細'!$I$24="",EOMONTH(AX$5,0),'制度詳細'!$I$24),EOMONTH(AX$5,0)),"■",IF(AND('制度詳細'!$J$24&lt;&gt;"",'制度詳細'!$J$24&gt;=AX$5,'制度詳細'!$J$24&lt;=EOMONTH(AX$5,0)),"◆","")))</x:f>
        <x:v>■</x:v>
      </x:c>
      <x:c r="AY24" s="57" t="str">
        <x:f>IF('制度詳細'!$H$24="",IF('制度詳細'!$J$24="","",IF(AND('制度詳細'!$J$24&gt;=AY$5,'制度詳細'!$J$24&lt;=EOMONTH(AY$5,0)),"◆","")),IF(MAX('制度詳細'!$H$24,AY$5)&lt;=MIN(IF('制度詳細'!$I$24="",EOMONTH(AY$5,0),'制度詳細'!$I$24),EOMONTH(AY$5,0)),"■",IF(AND('制度詳細'!$J$24&lt;&gt;"",'制度詳細'!$J$24&gt;=AY$5,'制度詳細'!$J$24&lt;=EOMONTH(AY$5,0)),"◆","")))</x:f>
        <x:v>■</x:v>
      </x:c>
      <x:c r="AZ24" s="57" t="str">
        <x:f>IF('制度詳細'!$H$24="",IF('制度詳細'!$J$24="","",IF(AND('制度詳細'!$J$24&gt;=AZ$5,'制度詳細'!$J$24&lt;=EOMONTH(AZ$5,0)),"◆","")),IF(MAX('制度詳細'!$H$24,AZ$5)&lt;=MIN(IF('制度詳細'!$I$24="",EOMONTH(AZ$5,0),'制度詳細'!$I$24),EOMONTH(AZ$5,0)),"■",IF(AND('制度詳細'!$J$24&lt;&gt;"",'制度詳細'!$J$24&gt;=AZ$5,'制度詳細'!$J$24&lt;=EOMONTH(AZ$5,0)),"◆","")))</x:f>
        <x:v>■</x:v>
      </x:c>
      <x:c r="BA24" s="57" t="str">
        <x:f>IF('制度詳細'!$H$24="",IF('制度詳細'!$J$24="","",IF(AND('制度詳細'!$J$24&gt;=BA$5,'制度詳細'!$J$24&lt;=EOMONTH(BA$5,0)),"◆","")),IF(MAX('制度詳細'!$H$24,BA$5)&lt;=MIN(IF('制度詳細'!$I$24="",EOMONTH(BA$5,0),'制度詳細'!$I$24),EOMONTH(BA$5,0)),"■",IF(AND('制度詳細'!$J$24&lt;&gt;"",'制度詳細'!$J$24&gt;=BA$5,'制度詳細'!$J$24&lt;=EOMONTH(BA$5,0)),"◆","")))</x:f>
        <x:v>■</x:v>
      </x:c>
      <x:c r="BB24" s="57" t="str">
        <x:f>IF('制度詳細'!$H$24="",IF('制度詳細'!$J$24="","",IF(AND('制度詳細'!$J$24&gt;=BB$5,'制度詳細'!$J$24&lt;=EOMONTH(BB$5,0)),"◆","")),IF(MAX('制度詳細'!$H$24,BB$5)&lt;=MIN(IF('制度詳細'!$I$24="",EOMONTH(BB$5,0),'制度詳細'!$I$24),EOMONTH(BB$5,0)),"■",IF(AND('制度詳細'!$J$24&lt;&gt;"",'制度詳細'!$J$24&gt;=BB$5,'制度詳細'!$J$24&lt;=EOMONTH(BB$5,0)),"◆","")))</x:f>
        <x:v>■</x:v>
      </x:c>
      <x:c r="BC24" s="57" t="str">
        <x:f>IF('制度詳細'!$H$24="",IF('制度詳細'!$J$24="","",IF(AND('制度詳細'!$J$24&gt;=BC$5,'制度詳細'!$J$24&lt;=EOMONTH(BC$5,0)),"◆","")),IF(MAX('制度詳細'!$H$24,BC$5)&lt;=MIN(IF('制度詳細'!$I$24="",EOMONTH(BC$5,0),'制度詳細'!$I$24),EOMONTH(BC$5,0)),"■",IF(AND('制度詳細'!$J$24&lt;&gt;"",'制度詳細'!$J$24&gt;=BC$5,'制度詳細'!$J$24&lt;=EOMONTH(BC$5,0)),"◆","")))</x:f>
        <x:v>■</x:v>
      </x:c>
      <x:c r="BD24" s="57" t="str">
        <x:f>IF('制度詳細'!$H$24="",IF('制度詳細'!$J$24="","",IF(AND('制度詳細'!$J$24&gt;=BD$5,'制度詳細'!$J$24&lt;=EOMONTH(BD$5,0)),"◆","")),IF(MAX('制度詳細'!$H$24,BD$5)&lt;=MIN(IF('制度詳細'!$I$24="",EOMONTH(BD$5,0),'制度詳細'!$I$24),EOMONTH(BD$5,0)),"■",IF(AND('制度詳細'!$J$24&lt;&gt;"",'制度詳細'!$J$24&gt;=BD$5,'制度詳細'!$J$24&lt;=EOMONTH(BD$5,0)),"◆","")))</x:f>
        <x:v>■</x:v>
      </x:c>
      <x:c r="BE24" s="57" t="str">
        <x:f>IF('制度詳細'!$H$24="",IF('制度詳細'!$J$24="","",IF(AND('制度詳細'!$J$24&gt;=BE$5,'制度詳細'!$J$24&lt;=EOMONTH(BE$5,0)),"◆","")),IF(MAX('制度詳細'!$H$24,BE$5)&lt;=MIN(IF('制度詳細'!$I$24="",EOMONTH(BE$5,0),'制度詳細'!$I$24),EOMONTH(BE$5,0)),"■",IF(AND('制度詳細'!$J$24&lt;&gt;"",'制度詳細'!$J$24&gt;=BE$5,'制度詳細'!$J$24&lt;=EOMONTH(BE$5,0)),"◆","")))</x:f>
        <x:v>■</x:v>
      </x:c>
      <x:c r="BF24" s="57" t="str">
        <x:f>IF('制度詳細'!$H$24="",IF('制度詳細'!$J$24="","",IF(AND('制度詳細'!$J$24&gt;=BF$5,'制度詳細'!$J$24&lt;=EOMONTH(BF$5,0)),"◆","")),IF(MAX('制度詳細'!$H$24,BF$5)&lt;=MIN(IF('制度詳細'!$I$24="",EOMONTH(BF$5,0),'制度詳細'!$I$24),EOMONTH(BF$5,0)),"■",IF(AND('制度詳細'!$J$24&lt;&gt;"",'制度詳細'!$J$24&gt;=BF$5,'制度詳細'!$J$24&lt;=EOMONTH(BF$5,0)),"◆","")))</x:f>
        <x:v>■</x:v>
      </x:c>
      <x:c r="BG24" s="57" t="str">
        <x:f>IF('制度詳細'!$H$24="",IF('制度詳細'!$J$24="","",IF(AND('制度詳細'!$J$24&gt;=BG$5,'制度詳細'!$J$24&lt;=EOMONTH(BG$5,0)),"◆","")),IF(MAX('制度詳細'!$H$24,BG$5)&lt;=MIN(IF('制度詳細'!$I$24="",EOMONTH(BG$5,0),'制度詳細'!$I$24),EOMONTH(BG$5,0)),"■",IF(AND('制度詳細'!$J$24&lt;&gt;"",'制度詳細'!$J$24&gt;=BG$5,'制度詳細'!$J$24&lt;=EOMONTH(BG$5,0)),"◆","")))</x:f>
        <x:v>■</x:v>
      </x:c>
      <x:c r="BH24" s="57" t="str">
        <x:f>IF('制度詳細'!$H$24="",IF('制度詳細'!$J$24="","",IF(AND('制度詳細'!$J$24&gt;=BH$5,'制度詳細'!$J$24&lt;=EOMONTH(BH$5,0)),"◆","")),IF(MAX('制度詳細'!$H$24,BH$5)&lt;=MIN(IF('制度詳細'!$I$24="",EOMONTH(BH$5,0),'制度詳細'!$I$24),EOMONTH(BH$5,0)),"■",IF(AND('制度詳細'!$J$24&lt;&gt;"",'制度詳細'!$J$24&gt;=BH$5,'制度詳細'!$J$24&lt;=EOMONTH(BH$5,0)),"◆","")))</x:f>
        <x:v>■</x:v>
      </x:c>
      <x:c r="BI24" s="57" t="str">
        <x:f>IF('制度詳細'!$H$24="",IF('制度詳細'!$J$24="","",IF(AND('制度詳細'!$J$24&gt;=BI$5,'制度詳細'!$J$24&lt;=EOMONTH(BI$5,0)),"◆","")),IF(MAX('制度詳細'!$H$24,BI$5)&lt;=MIN(IF('制度詳細'!$I$24="",EOMONTH(BI$5,0),'制度詳細'!$I$24),EOMONTH(BI$5,0)),"■",IF(AND('制度詳細'!$J$24&lt;&gt;"",'制度詳細'!$J$24&gt;=BI$5,'制度詳細'!$J$24&lt;=EOMONTH(BI$5,0)),"◆","")))</x:f>
        <x:v>■</x:v>
      </x:c>
      <x:c r="BJ24" s="57" t="str">
        <x:f>IF('制度詳細'!$H$24="",IF('制度詳細'!$J$24="","",IF(AND('制度詳細'!$J$24&gt;=BJ$5,'制度詳細'!$J$24&lt;=EOMONTH(BJ$5,0)),"◆","")),IF(MAX('制度詳細'!$H$24,BJ$5)&lt;=MIN(IF('制度詳細'!$I$24="",EOMONTH(BJ$5,0),'制度詳細'!$I$24),EOMONTH(BJ$5,0)),"■",IF(AND('制度詳細'!$J$24&lt;&gt;"",'制度詳細'!$J$24&gt;=BJ$5,'制度詳細'!$J$24&lt;=EOMONTH(BJ$5,0)),"◆","")))</x:f>
        <x:v>■</x:v>
      </x:c>
      <x:c r="BK24" s="57" t="str">
        <x:f>IF('制度詳細'!$H$24="",IF('制度詳細'!$J$24="","",IF(AND('制度詳細'!$J$24&gt;=BK$5,'制度詳細'!$J$24&lt;=EOMONTH(BK$5,0)),"◆","")),IF(MAX('制度詳細'!$H$24,BK$5)&lt;=MIN(IF('制度詳細'!$I$24="",EOMONTH(BK$5,0),'制度詳細'!$I$24),EOMONTH(BK$5,0)),"■",IF(AND('制度詳細'!$J$24&lt;&gt;"",'制度詳細'!$J$24&gt;=BK$5,'制度詳細'!$J$24&lt;=EOMONTH(BK$5,0)),"◆","")))</x:f>
        <x:v>■</x:v>
      </x:c>
      <x:c r="BL24" s="57" t="str">
        <x:f>IF('制度詳細'!$H$24="",IF('制度詳細'!$J$24="","",IF(AND('制度詳細'!$J$24&gt;=BL$5,'制度詳細'!$J$24&lt;=EOMONTH(BL$5,0)),"◆","")),IF(MAX('制度詳細'!$H$24,BL$5)&lt;=MIN(IF('制度詳細'!$I$24="",EOMONTH(BL$5,0),'制度詳細'!$I$24),EOMONTH(BL$5,0)),"■",IF(AND('制度詳細'!$J$24&lt;&gt;"",'制度詳細'!$J$24&gt;=BL$5,'制度詳細'!$J$24&lt;=EOMONTH(BL$5,0)),"◆","")))</x:f>
        <x:v>■</x:v>
      </x:c>
      <x:c r="BM24" s="57" t="str">
        <x:f>IF('制度詳細'!$H$24="",IF('制度詳細'!$J$24="","",IF(AND('制度詳細'!$J$24&gt;=BM$5,'制度詳細'!$J$24&lt;=EOMONTH(BM$5,0)),"◆","")),IF(MAX('制度詳細'!$H$24,BM$5)&lt;=MIN(IF('制度詳細'!$I$24="",EOMONTH(BM$5,0),'制度詳細'!$I$24),EOMONTH(BM$5,0)),"■",IF(AND('制度詳細'!$J$24&lt;&gt;"",'制度詳細'!$J$24&gt;=BM$5,'制度詳細'!$J$24&lt;=EOMONTH(BM$5,0)),"◆","")))</x:f>
        <x:v>■</x:v>
      </x:c>
      <x:c r="BN24" s="57" t="str">
        <x:f>IF('制度詳細'!$H$24="",IF('制度詳細'!$J$24="","",IF(AND('制度詳細'!$J$24&gt;=BN$5,'制度詳細'!$J$24&lt;=EOMONTH(BN$5,0)),"◆","")),IF(MAX('制度詳細'!$H$24,BN$5)&lt;=MIN(IF('制度詳細'!$I$24="",EOMONTH(BN$5,0),'制度詳細'!$I$24),EOMONTH(BN$5,0)),"■",IF(AND('制度詳細'!$J$24&lt;&gt;"",'制度詳細'!$J$24&gt;=BN$5,'制度詳細'!$J$24&lt;=EOMONTH(BN$5,0)),"◆","")))</x:f>
        <x:v>■</x:v>
      </x:c>
      <x:c r="BO24" s="57" t="str">
        <x:f>IF('制度詳細'!$H$24="",IF('制度詳細'!$J$24="","",IF(AND('制度詳細'!$J$24&gt;=BO$5,'制度詳細'!$J$24&lt;=EOMONTH(BO$5,0)),"◆","")),IF(MAX('制度詳細'!$H$24,BO$5)&lt;=MIN(IF('制度詳細'!$I$24="",EOMONTH(BO$5,0),'制度詳細'!$I$24),EOMONTH(BO$5,0)),"■",IF(AND('制度詳細'!$J$24&lt;&gt;"",'制度詳細'!$J$24&gt;=BO$5,'制度詳細'!$J$24&lt;=EOMONTH(BO$5,0)),"◆","")))</x:f>
        <x:v>■</x:v>
      </x:c>
      <x:c r="BP24" s="57" t="str">
        <x:f>IF('制度詳細'!$H$24="",IF('制度詳細'!$J$24="","",IF(AND('制度詳細'!$J$24&gt;=BP$5,'制度詳細'!$J$24&lt;=EOMONTH(BP$5,0)),"◆","")),IF(MAX('制度詳細'!$H$24,BP$5)&lt;=MIN(IF('制度詳細'!$I$24="",EOMONTH(BP$5,0),'制度詳細'!$I$24),EOMONTH(BP$5,0)),"■",IF(AND('制度詳細'!$J$24&lt;&gt;"",'制度詳細'!$J$24&gt;=BP$5,'制度詳細'!$J$24&lt;=EOMONTH(BP$5,0)),"◆","")))</x:f>
        <x:v>■</x:v>
      </x:c>
      <x:c r="BQ24" s="57" t="str">
        <x:f>IF('制度詳細'!$H$24="",IF('制度詳細'!$J$24="","",IF(AND('制度詳細'!$J$24&gt;=BQ$5,'制度詳細'!$J$24&lt;=EOMONTH(BQ$5,0)),"◆","")),IF(MAX('制度詳細'!$H$24,BQ$5)&lt;=MIN(IF('制度詳細'!$I$24="",EOMONTH(BQ$5,0),'制度詳細'!$I$24),EOMONTH(BQ$5,0)),"■",IF(AND('制度詳細'!$J$24&lt;&gt;"",'制度詳細'!$J$24&gt;=BQ$5,'制度詳細'!$J$24&lt;=EOMONTH(BQ$5,0)),"◆","")))</x:f>
        <x:v>■</x:v>
      </x:c>
      <x:c r="BR24" s="57" t="str">
        <x:f>IF('制度詳細'!$H$24="",IF('制度詳細'!$J$24="","",IF(AND('制度詳細'!$J$24&gt;=BR$5,'制度詳細'!$J$24&lt;=EOMONTH(BR$5,0)),"◆","")),IF(MAX('制度詳細'!$H$24,BR$5)&lt;=MIN(IF('制度詳細'!$I$24="",EOMONTH(BR$5,0),'制度詳細'!$I$24),EOMONTH(BR$5,0)),"■",IF(AND('制度詳細'!$J$24&lt;&gt;"",'制度詳細'!$J$24&gt;=BR$5,'制度詳細'!$J$24&lt;=EOMONTH(BR$5,0)),"◆","")))</x:f>
        <x:v>■</x:v>
      </x:c>
      <x:c r="BS24" s="57" t="str">
        <x:f>IF('制度詳細'!$H$24="",IF('制度詳細'!$J$24="","",IF(AND('制度詳細'!$J$24&gt;=BS$5,'制度詳細'!$J$24&lt;=EOMONTH(BS$5,0)),"◆","")),IF(MAX('制度詳細'!$H$24,BS$5)&lt;=MIN(IF('制度詳細'!$I$24="",EOMONTH(BS$5,0),'制度詳細'!$I$24),EOMONTH(BS$5,0)),"■",IF(AND('制度詳細'!$J$24&lt;&gt;"",'制度詳細'!$J$24&gt;=BS$5,'制度詳細'!$J$24&lt;=EOMONTH(BS$5,0)),"◆","")))</x:f>
        <x:v>■</x:v>
      </x:c>
      <x:c r="BT24" s="57" t="str">
        <x:f>IF('制度詳細'!$H$24="",IF('制度詳細'!$J$24="","",IF(AND('制度詳細'!$J$24&gt;=BT$5,'制度詳細'!$J$24&lt;=EOMONTH(BT$5,0)),"◆","")),IF(MAX('制度詳細'!$H$24,BT$5)&lt;=MIN(IF('制度詳細'!$I$24="",EOMONTH(BT$5,0),'制度詳細'!$I$24),EOMONTH(BT$5,0)),"■",IF(AND('制度詳細'!$J$24&lt;&gt;"",'制度詳細'!$J$24&gt;=BT$5,'制度詳細'!$J$24&lt;=EOMONTH(BT$5,0)),"◆","")))</x:f>
        <x:v>■</x:v>
      </x:c>
      <x:c r="BU24" s="57" t="str">
        <x:f>IF('制度詳細'!$H$24="",IF('制度詳細'!$J$24="","",IF(AND('制度詳細'!$J$24&gt;=BU$5,'制度詳細'!$J$24&lt;=EOMONTH(BU$5,0)),"◆","")),IF(MAX('制度詳細'!$H$24,BU$5)&lt;=MIN(IF('制度詳細'!$I$24="",EOMONTH(BU$5,0),'制度詳細'!$I$24),EOMONTH(BU$5,0)),"■",IF(AND('制度詳細'!$J$24&lt;&gt;"",'制度詳細'!$J$24&gt;=BU$5,'制度詳細'!$J$24&lt;=EOMONTH(BU$5,0)),"◆","")))</x:f>
        <x:v>■</x:v>
      </x:c>
      <x:c r="BV24" s="57" t="str">
        <x:f>IF('制度詳細'!$H$24="",IF('制度詳細'!$J$24="","",IF(AND('制度詳細'!$J$24&gt;=BV$5,'制度詳細'!$J$24&lt;=EOMONTH(BV$5,0)),"◆","")),IF(MAX('制度詳細'!$H$24,BV$5)&lt;=MIN(IF('制度詳細'!$I$24="",EOMONTH(BV$5,0),'制度詳細'!$I$24),EOMONTH(BV$5,0)),"■",IF(AND('制度詳細'!$J$24&lt;&gt;"",'制度詳細'!$J$24&gt;=BV$5,'制度詳細'!$J$24&lt;=EOMONTH(BV$5,0)),"◆","")))</x:f>
        <x:v>■</x:v>
      </x:c>
      <x:c r="BW24" s="57" t="str">
        <x:f>IF('制度詳細'!$H$24="",IF('制度詳細'!$J$24="","",IF(AND('制度詳細'!$J$24&gt;=BW$5,'制度詳細'!$J$24&lt;=EOMONTH(BW$5,0)),"◆","")),IF(MAX('制度詳細'!$H$24,BW$5)&lt;=MIN(IF('制度詳細'!$I$24="",EOMONTH(BW$5,0),'制度詳細'!$I$24),EOMONTH(BW$5,0)),"■",IF(AND('制度詳細'!$J$24&lt;&gt;"",'制度詳細'!$J$24&gt;=BW$5,'制度詳細'!$J$24&lt;=EOMONTH(BW$5,0)),"◆","")))</x:f>
        <x:v>■</x:v>
      </x:c>
      <x:c r="BX24" s="57" t="str">
        <x:f>IF('制度詳細'!$H$24="",IF('制度詳細'!$J$24="","",IF(AND('制度詳細'!$J$24&gt;=BX$5,'制度詳細'!$J$24&lt;=EOMONTH(BX$5,0)),"◆","")),IF(MAX('制度詳細'!$H$24,BX$5)&lt;=MIN(IF('制度詳細'!$I$24="",EOMONTH(BX$5,0),'制度詳細'!$I$24),EOMONTH(BX$5,0)),"■",IF(AND('制度詳細'!$J$24&lt;&gt;"",'制度詳細'!$J$24&gt;=BX$5,'制度詳細'!$J$24&lt;=EOMONTH(BX$5,0)),"◆","")))</x:f>
        <x:v>■</x:v>
      </x:c>
      <x:c r="BY24" s="57" t="str">
        <x:f>IF('制度詳細'!$H$24="",IF('制度詳細'!$J$24="","",IF(AND('制度詳細'!$J$24&gt;=BY$5,'制度詳細'!$J$24&lt;=EOMONTH(BY$5,0)),"◆","")),IF(MAX('制度詳細'!$H$24,BY$5)&lt;=MIN(IF('制度詳細'!$I$24="",EOMONTH(BY$5,0),'制度詳細'!$I$24),EOMONTH(BY$5,0)),"■",IF(AND('制度詳細'!$J$24&lt;&gt;"",'制度詳細'!$J$24&gt;=BY$5,'制度詳細'!$J$24&lt;=EOMONTH(BY$5,0)),"◆","")))</x:f>
      </x:c>
      <x:c r="BZ24" s="57" t="str">
        <x:f>IF('制度詳細'!$H$24="",IF('制度詳細'!$J$24="","",IF(AND('制度詳細'!$J$24&gt;=BZ$5,'制度詳細'!$J$24&lt;=EOMONTH(BZ$5,0)),"◆","")),IF(MAX('制度詳細'!$H$24,BZ$5)&lt;=MIN(IF('制度詳細'!$I$24="",EOMONTH(BZ$5,0),'制度詳細'!$I$24),EOMONTH(BZ$5,0)),"■",IF(AND('制度詳細'!$J$24&lt;&gt;"",'制度詳細'!$J$24&gt;=BZ$5,'制度詳細'!$J$24&lt;=EOMONTH(BZ$5,0)),"◆","")))</x:f>
      </x:c>
      <x:c r="CA24" s="57" t="str">
        <x:f>IF('制度詳細'!$H$24="",IF('制度詳細'!$J$24="","",IF(AND('制度詳細'!$J$24&gt;=CA$5,'制度詳細'!$J$24&lt;=EOMONTH(CA$5,0)),"◆","")),IF(MAX('制度詳細'!$H$24,CA$5)&lt;=MIN(IF('制度詳細'!$I$24="",EOMONTH(CA$5,0),'制度詳細'!$I$24),EOMONTH(CA$5,0)),"■",IF(AND('制度詳細'!$J$24&lt;&gt;"",'制度詳細'!$J$24&gt;=CA$5,'制度詳細'!$J$24&lt;=EOMONTH(CA$5,0)),"◆","")))</x:f>
      </x:c>
      <x:c r="CB24" s="57" t="str">
        <x:f>IF('制度詳細'!$H$24="",IF('制度詳細'!$J$24="","",IF(AND('制度詳細'!$J$24&gt;=CB$5,'制度詳細'!$J$24&lt;=EOMONTH(CB$5,0)),"◆","")),IF(MAX('制度詳細'!$H$24,CB$5)&lt;=MIN(IF('制度詳細'!$I$24="",EOMONTH(CB$5,0),'制度詳細'!$I$24),EOMONTH(CB$5,0)),"■",IF(AND('制度詳細'!$J$24&lt;&gt;"",'制度詳細'!$J$24&gt;=CB$5,'制度詳細'!$J$24&lt;=EOMONTH(CB$5,0)),"◆","")))</x:f>
      </x:c>
      <x:c r="CC24" s="57" t="str">
        <x:f>IF('制度詳細'!$H$24="",IF('制度詳細'!$J$24="","",IF(AND('制度詳細'!$J$24&gt;=CC$5,'制度詳細'!$J$24&lt;=EOMONTH(CC$5,0)),"◆","")),IF(MAX('制度詳細'!$H$24,CC$5)&lt;=MIN(IF('制度詳細'!$I$24="",EOMONTH(CC$5,0),'制度詳細'!$I$24),EOMONTH(CC$5,0)),"■",IF(AND('制度詳細'!$J$24&lt;&gt;"",'制度詳細'!$J$24&gt;=CC$5,'制度詳細'!$J$24&lt;=EOMONTH(CC$5,0)),"◆","")))</x:f>
      </x:c>
      <x:c r="CD24" s="57" t="str">
        <x:f>IF('制度詳細'!$H$24="",IF('制度詳細'!$J$24="","",IF(AND('制度詳細'!$J$24&gt;=CD$5,'制度詳細'!$J$24&lt;=EOMONTH(CD$5,0)),"◆","")),IF(MAX('制度詳細'!$H$24,CD$5)&lt;=MIN(IF('制度詳細'!$I$24="",EOMONTH(CD$5,0),'制度詳細'!$I$24),EOMONTH(CD$5,0)),"■",IF(AND('制度詳細'!$J$24&lt;&gt;"",'制度詳細'!$J$24&gt;=CD$5,'制度詳細'!$J$24&lt;=EOMONTH(CD$5,0)),"◆","")))</x:f>
      </x:c>
      <x:c r="CE24" s="57" t="str">
        <x:f>IF('制度詳細'!$H$24="",IF('制度詳細'!$J$24="","",IF(AND('制度詳細'!$J$24&gt;=CE$5,'制度詳細'!$J$24&lt;=EOMONTH(CE$5,0)),"◆","")),IF(MAX('制度詳細'!$H$24,CE$5)&lt;=MIN(IF('制度詳細'!$I$24="",EOMONTH(CE$5,0),'制度詳細'!$I$24),EOMONTH(CE$5,0)),"■",IF(AND('制度詳細'!$J$24&lt;&gt;"",'制度詳細'!$J$24&gt;=CE$5,'制度詳細'!$J$24&lt;=EOMONTH(CE$5,0)),"◆","")))</x:f>
      </x:c>
      <x:c r="CF24" s="57" t="str">
        <x:f>IF('制度詳細'!$H$24="",IF('制度詳細'!$J$24="","",IF(AND('制度詳細'!$J$24&gt;=CF$5,'制度詳細'!$J$24&lt;=EOMONTH(CF$5,0)),"◆","")),IF(MAX('制度詳細'!$H$24,CF$5)&lt;=MIN(IF('制度詳細'!$I$24="",EOMONTH(CF$5,0),'制度詳細'!$I$24),EOMONTH(CF$5,0)),"■",IF(AND('制度詳細'!$J$24&lt;&gt;"",'制度詳細'!$J$24&gt;=CF$5,'制度詳細'!$J$24&lt;=EOMONTH(CF$5,0)),"◆","")))</x:f>
      </x:c>
      <x:c r="CG24" s="57" t="str">
        <x:f>IF('制度詳細'!$H$24="",IF('制度詳細'!$J$24="","",IF(AND('制度詳細'!$J$24&gt;=CG$5,'制度詳細'!$J$24&lt;=EOMONTH(CG$5,0)),"◆","")),IF(MAX('制度詳細'!$H$24,CG$5)&lt;=MIN(IF('制度詳細'!$I$24="",EOMONTH(CG$5,0),'制度詳細'!$I$24),EOMONTH(CG$5,0)),"■",IF(AND('制度詳細'!$J$24&lt;&gt;"",'制度詳細'!$J$24&gt;=CG$5,'制度詳細'!$J$24&lt;=EOMONTH(CG$5,0)),"◆","")))</x:f>
      </x:c>
      <x:c r="CH24" s="57" t="str">
        <x:f>IF('制度詳細'!$H$24="",IF('制度詳細'!$J$24="","",IF(AND('制度詳細'!$J$24&gt;=CH$5,'制度詳細'!$J$24&lt;=EOMONTH(CH$5,0)),"◆","")),IF(MAX('制度詳細'!$H$24,CH$5)&lt;=MIN(IF('制度詳細'!$I$24="",EOMONTH(CH$5,0),'制度詳細'!$I$24),EOMONTH(CH$5,0)),"■",IF(AND('制度詳細'!$J$24&lt;&gt;"",'制度詳細'!$J$24&gt;=CH$5,'制度詳細'!$J$24&lt;=EOMONTH(CH$5,0)),"◆","")))</x:f>
      </x:c>
      <x:c r="CI24" s="57" t="str">
        <x:f>IF('制度詳細'!$H$24="",IF('制度詳細'!$J$24="","",IF(AND('制度詳細'!$J$24&gt;=CI$5,'制度詳細'!$J$24&lt;=EOMONTH(CI$5,0)),"◆","")),IF(MAX('制度詳細'!$H$24,CI$5)&lt;=MIN(IF('制度詳細'!$I$24="",EOMONTH(CI$5,0),'制度詳細'!$I$24),EOMONTH(CI$5,0)),"■",IF(AND('制度詳細'!$J$24&lt;&gt;"",'制度詳細'!$J$24&gt;=CI$5,'制度詳細'!$J$24&lt;=EOMONTH(CI$5,0)),"◆","")))</x:f>
      </x:c>
      <x:c r="CJ24" s="57" t="str">
        <x:f>IF('制度詳細'!$H$24="",IF('制度詳細'!$J$24="","",IF(AND('制度詳細'!$J$24&gt;=CJ$5,'制度詳細'!$J$24&lt;=EOMONTH(CJ$5,0)),"◆","")),IF(MAX('制度詳細'!$H$24,CJ$5)&lt;=MIN(IF('制度詳細'!$I$24="",EOMONTH(CJ$5,0),'制度詳細'!$I$24),EOMONTH(CJ$5,0)),"■",IF(AND('制度詳細'!$J$24&lt;&gt;"",'制度詳細'!$J$24&gt;=CJ$5,'制度詳細'!$J$24&lt;=EOMONTH(CJ$5,0)),"◆","")))</x:f>
      </x:c>
      <x:c r="CK24" s="57" t="str">
        <x:f>IF('制度詳細'!$H$24="",IF('制度詳細'!$J$24="","",IF(AND('制度詳細'!$J$24&gt;=CK$5,'制度詳細'!$J$24&lt;=EOMONTH(CK$5,0)),"◆","")),IF(MAX('制度詳細'!$H$24,CK$5)&lt;=MIN(IF('制度詳細'!$I$24="",EOMONTH(CK$5,0),'制度詳細'!$I$24),EOMONTH(CK$5,0)),"■",IF(AND('制度詳細'!$J$24&lt;&gt;"",'制度詳細'!$J$24&gt;=CK$5,'制度詳細'!$J$24&lt;=EOMONTH(CK$5,0)),"◆","")))</x:f>
      </x:c>
      <x:c r="CL24" s="57" t="str">
        <x:f>IF('制度詳細'!$H$24="",IF('制度詳細'!$J$24="","",IF(AND('制度詳細'!$J$24&gt;=CL$5,'制度詳細'!$J$24&lt;=EOMONTH(CL$5,0)),"◆","")),IF(MAX('制度詳細'!$H$24,CL$5)&lt;=MIN(IF('制度詳細'!$I$24="",EOMONTH(CL$5,0),'制度詳細'!$I$24),EOMONTH(CL$5,0)),"■",IF(AND('制度詳細'!$J$24&lt;&gt;"",'制度詳細'!$J$24&gt;=CL$5,'制度詳細'!$J$24&lt;=EOMONTH(CL$5,0)),"◆","")))</x:f>
      </x:c>
      <x:c r="CM24" s="57" t="str">
        <x:f>IF('制度詳細'!$H$24="",IF('制度詳細'!$J$24="","",IF(AND('制度詳細'!$J$24&gt;=CM$5,'制度詳細'!$J$24&lt;=EOMONTH(CM$5,0)),"◆","")),IF(MAX('制度詳細'!$H$24,CM$5)&lt;=MIN(IF('制度詳細'!$I$24="",EOMONTH(CM$5,0),'制度詳細'!$I$24),EOMONTH(CM$5,0)),"■",IF(AND('制度詳細'!$J$24&lt;&gt;"",'制度詳細'!$J$24&gt;=CM$5,'制度詳細'!$J$24&lt;=EOMONTH(CM$5,0)),"◆","")))</x:f>
      </x:c>
      <x:c r="CN24" s="57" t="str">
        <x:f>IF('制度詳細'!$H$24="",IF('制度詳細'!$J$24="","",IF(AND('制度詳細'!$J$24&gt;=CN$5,'制度詳細'!$J$24&lt;=EOMONTH(CN$5,0)),"◆","")),IF(MAX('制度詳細'!$H$24,CN$5)&lt;=MIN(IF('制度詳細'!$I$24="",EOMONTH(CN$5,0),'制度詳細'!$I$24),EOMONTH(CN$5,0)),"■",IF(AND('制度詳細'!$J$24&lt;&gt;"",'制度詳細'!$J$24&gt;=CN$5,'制度詳細'!$J$24&lt;=EOMONTH(CN$5,0)),"◆","")))</x:f>
      </x:c>
      <x:c r="CO24" s="57" t="str">
        <x:f>IF('制度詳細'!$H$24="",IF('制度詳細'!$J$24="","",IF(AND('制度詳細'!$J$24&gt;=CO$5,'制度詳細'!$J$24&lt;=EOMONTH(CO$5,0)),"◆","")),IF(MAX('制度詳細'!$H$24,CO$5)&lt;=MIN(IF('制度詳細'!$I$24="",EOMONTH(CO$5,0),'制度詳細'!$I$24),EOMONTH(CO$5,0)),"■",IF(AND('制度詳細'!$J$24&lt;&gt;"",'制度詳細'!$J$24&gt;=CO$5,'制度詳細'!$J$24&lt;=EOMONTH(CO$5,0)),"◆","")))</x:f>
      </x:c>
      <x:c r="CP24" s="57" t="str">
        <x:f>IF('制度詳細'!$H$24="",IF('制度詳細'!$J$24="","",IF(AND('制度詳細'!$J$24&gt;=CP$5,'制度詳細'!$J$24&lt;=EOMONTH(CP$5,0)),"◆","")),IF(MAX('制度詳細'!$H$24,CP$5)&lt;=MIN(IF('制度詳細'!$I$24="",EOMONTH(CP$5,0),'制度詳細'!$I$24),EOMONTH(CP$5,0)),"■",IF(AND('制度詳細'!$J$24&lt;&gt;"",'制度詳細'!$J$24&gt;=CP$5,'制度詳細'!$J$24&lt;=EOMONTH(CP$5,0)),"◆","")))</x:f>
      </x:c>
      <x:c r="CQ24" s="57" t="str">
        <x:f>IF('制度詳細'!$H$24="",IF('制度詳細'!$J$24="","",IF(AND('制度詳細'!$J$24&gt;=CQ$5,'制度詳細'!$J$24&lt;=EOMONTH(CQ$5,0)),"◆","")),IF(MAX('制度詳細'!$H$24,CQ$5)&lt;=MIN(IF('制度詳細'!$I$24="",EOMONTH(CQ$5,0),'制度詳細'!$I$24),EOMONTH(CQ$5,0)),"■",IF(AND('制度詳細'!$J$24&lt;&gt;"",'制度詳細'!$J$24&gt;=CQ$5,'制度詳細'!$J$24&lt;=EOMONTH(CQ$5,0)),"◆","")))</x:f>
      </x:c>
      <x:c r="CR24" s="57" t="str">
        <x:f>IF('制度詳細'!$H$24="",IF('制度詳細'!$J$24="","",IF(AND('制度詳細'!$J$24&gt;=CR$5,'制度詳細'!$J$24&lt;=EOMONTH(CR$5,0)),"◆","")),IF(MAX('制度詳細'!$H$24,CR$5)&lt;=MIN(IF('制度詳細'!$I$24="",EOMONTH(CR$5,0),'制度詳細'!$I$24),EOMONTH(CR$5,0)),"■",IF(AND('制度詳細'!$J$24&lt;&gt;"",'制度詳細'!$J$24&gt;=CR$5,'制度詳細'!$J$24&lt;=EOMONTH(CR$5,0)),"◆","")))</x:f>
      </x:c>
      <x:c r="CS24" s="57" t="str">
        <x:f>IF('制度詳細'!$H$24="",IF('制度詳細'!$J$24="","",IF(AND('制度詳細'!$J$24&gt;=CS$5,'制度詳細'!$J$24&lt;=EOMONTH(CS$5,0)),"◆","")),IF(MAX('制度詳細'!$H$24,CS$5)&lt;=MIN(IF('制度詳細'!$I$24="",EOMONTH(CS$5,0),'制度詳細'!$I$24),EOMONTH(CS$5,0)),"■",IF(AND('制度詳細'!$J$24&lt;&gt;"",'制度詳細'!$J$24&gt;=CS$5,'制度詳細'!$J$24&lt;=EOMONTH(CS$5,0)),"◆","")))</x:f>
      </x:c>
      <x:c r="CT24" s="57" t="str">
        <x:f>IF('制度詳細'!$H$24="",IF('制度詳細'!$J$24="","",IF(AND('制度詳細'!$J$24&gt;=CT$5,'制度詳細'!$J$24&lt;=EOMONTH(CT$5,0)),"◆","")),IF(MAX('制度詳細'!$H$24,CT$5)&lt;=MIN(IF('制度詳細'!$I$24="",EOMONTH(CT$5,0),'制度詳細'!$I$24),EOMONTH(CT$5,0)),"■",IF(AND('制度詳細'!$J$24&lt;&gt;"",'制度詳細'!$J$24&gt;=CT$5,'制度詳細'!$J$24&lt;=EOMONTH(CT$5,0)),"◆","")))</x:f>
      </x:c>
      <x:c r="CU24" s="57" t="str">
        <x:f>IF('制度詳細'!$H$24="",IF('制度詳細'!$J$24="","",IF(AND('制度詳細'!$J$24&gt;=CU$5,'制度詳細'!$J$24&lt;=EOMONTH(CU$5,0)),"◆","")),IF(MAX('制度詳細'!$H$24,CU$5)&lt;=MIN(IF('制度詳細'!$I$24="",EOMONTH(CU$5,0),'制度詳細'!$I$24),EOMONTH(CU$5,0)),"■",IF(AND('制度詳細'!$J$24&lt;&gt;"",'制度詳細'!$J$24&gt;=CU$5,'制度詳細'!$J$24&lt;=EOMONTH(CU$5,0)),"◆","")))</x:f>
      </x:c>
      <x:c r="CV24" s="57" t="str">
        <x:f>IF('制度詳細'!$H$24="",IF('制度詳細'!$J$24="","",IF(AND('制度詳細'!$J$24&gt;=CV$5,'制度詳細'!$J$24&lt;=EOMONTH(CV$5,0)),"◆","")),IF(MAX('制度詳細'!$H$24,CV$5)&lt;=MIN(IF('制度詳細'!$I$24="",EOMONTH(CV$5,0),'制度詳細'!$I$24),EOMONTH(CV$5,0)),"■",IF(AND('制度詳細'!$J$24&lt;&gt;"",'制度詳細'!$J$24&gt;=CV$5,'制度詳細'!$J$24&lt;=EOMONTH(CV$5,0)),"◆","")))</x:f>
      </x:c>
      <x:c r="CW24" s="1"/>
      <x:c r="CX24" s="1"/>
      <x:c r="CY24" s="1"/>
      <x:c r="CZ24" s="1"/>
      <x:c r="DA24" s="1"/>
      <x:c r="DB24" s="1"/>
      <x:c r="DC24" s="1"/>
      <x:c r="DD24" s="1"/>
    </x:row>
    <x:row r="25" ht="27" customHeight="1">
      <x:c r="A25" s="58" t="str">
        <x:v>MY02</x:v>
      </x:c>
      <x:c r="B25" s="58" t="str">
        <x:v>マレーシア</x:v>
      </x:c>
      <x:c r="C25" s="58" t="str">
        <x:v>CKD：部品税・車両税免除</x:v>
      </x:c>
      <x:c r="D25" s="58" t="str">
        <x:v>BEV</x:v>
      </x:c>
      <x:c r="E25" s="57" t="str">
        <x:f>IF('制度詳細'!$H$25="",IF('制度詳細'!$J$25="","",IF(AND('制度詳細'!$J$25&gt;=E$5,'制度詳細'!$J$25&lt;=EOMONTH(E$5,0)),"◆","")),IF(MAX('制度詳細'!$H$25,E$5)&lt;=MIN(IF('制度詳細'!$I$25="",EOMONTH(E$5,0),'制度詳細'!$I$25),EOMONTH(E$5,0)),"■",IF(AND('制度詳細'!$J$25&lt;&gt;"",'制度詳細'!$J$25&gt;=E$5,'制度詳細'!$J$25&lt;=EOMONTH(E$5,0)),"◆","")))</x:f>
      </x:c>
      <x:c r="F25" s="57" t="str">
        <x:f>IF('制度詳細'!$H$25="",IF('制度詳細'!$J$25="","",IF(AND('制度詳細'!$J$25&gt;=F$5,'制度詳細'!$J$25&lt;=EOMONTH(F$5,0)),"◆","")),IF(MAX('制度詳細'!$H$25,F$5)&lt;=MIN(IF('制度詳細'!$I$25="",EOMONTH(F$5,0),'制度詳細'!$I$25),EOMONTH(F$5,0)),"■",IF(AND('制度詳細'!$J$25&lt;&gt;"",'制度詳細'!$J$25&gt;=F$5,'制度詳細'!$J$25&lt;=EOMONTH(F$5,0)),"◆","")))</x:f>
      </x:c>
      <x:c r="G25" s="57" t="str">
        <x:f>IF('制度詳細'!$H$25="",IF('制度詳細'!$J$25="","",IF(AND('制度詳細'!$J$25&gt;=G$5,'制度詳細'!$J$25&lt;=EOMONTH(G$5,0)),"◆","")),IF(MAX('制度詳細'!$H$25,G$5)&lt;=MIN(IF('制度詳細'!$I$25="",EOMONTH(G$5,0),'制度詳細'!$I$25),EOMONTH(G$5,0)),"■",IF(AND('制度詳細'!$J$25&lt;&gt;"",'制度詳細'!$J$25&gt;=G$5,'制度詳細'!$J$25&lt;=EOMONTH(G$5,0)),"◆","")))</x:f>
      </x:c>
      <x:c r="H25" s="57" t="str">
        <x:f>IF('制度詳細'!$H$25="",IF('制度詳細'!$J$25="","",IF(AND('制度詳細'!$J$25&gt;=H$5,'制度詳細'!$J$25&lt;=EOMONTH(H$5,0)),"◆","")),IF(MAX('制度詳細'!$H$25,H$5)&lt;=MIN(IF('制度詳細'!$I$25="",EOMONTH(H$5,0),'制度詳細'!$I$25),EOMONTH(H$5,0)),"■",IF(AND('制度詳細'!$J$25&lt;&gt;"",'制度詳細'!$J$25&gt;=H$5,'制度詳細'!$J$25&lt;=EOMONTH(H$5,0)),"◆","")))</x:f>
      </x:c>
      <x:c r="I25" s="57" t="str">
        <x:f>IF('制度詳細'!$H$25="",IF('制度詳細'!$J$25="","",IF(AND('制度詳細'!$J$25&gt;=I$5,'制度詳細'!$J$25&lt;=EOMONTH(I$5,0)),"◆","")),IF(MAX('制度詳細'!$H$25,I$5)&lt;=MIN(IF('制度詳細'!$I$25="",EOMONTH(I$5,0),'制度詳細'!$I$25),EOMONTH(I$5,0)),"■",IF(AND('制度詳細'!$J$25&lt;&gt;"",'制度詳細'!$J$25&gt;=I$5,'制度詳細'!$J$25&lt;=EOMONTH(I$5,0)),"◆","")))</x:f>
      </x:c>
      <x:c r="J25" s="57" t="str">
        <x:f>IF('制度詳細'!$H$25="",IF('制度詳細'!$J$25="","",IF(AND('制度詳細'!$J$25&gt;=J$5,'制度詳細'!$J$25&lt;=EOMONTH(J$5,0)),"◆","")),IF(MAX('制度詳細'!$H$25,J$5)&lt;=MIN(IF('制度詳細'!$I$25="",EOMONTH(J$5,0),'制度詳細'!$I$25),EOMONTH(J$5,0)),"■",IF(AND('制度詳細'!$J$25&lt;&gt;"",'制度詳細'!$J$25&gt;=J$5,'制度詳細'!$J$25&lt;=EOMONTH(J$5,0)),"◆","")))</x:f>
      </x:c>
      <x:c r="K25" s="57" t="str">
        <x:f>IF('制度詳細'!$H$25="",IF('制度詳細'!$J$25="","",IF(AND('制度詳細'!$J$25&gt;=K$5,'制度詳細'!$J$25&lt;=EOMONTH(K$5,0)),"◆","")),IF(MAX('制度詳細'!$H$25,K$5)&lt;=MIN(IF('制度詳細'!$I$25="",EOMONTH(K$5,0),'制度詳細'!$I$25),EOMONTH(K$5,0)),"■",IF(AND('制度詳細'!$J$25&lt;&gt;"",'制度詳細'!$J$25&gt;=K$5,'制度詳細'!$J$25&lt;=EOMONTH(K$5,0)),"◆","")))</x:f>
      </x:c>
      <x:c r="L25" s="57" t="str">
        <x:f>IF('制度詳細'!$H$25="",IF('制度詳細'!$J$25="","",IF(AND('制度詳細'!$J$25&gt;=L$5,'制度詳細'!$J$25&lt;=EOMONTH(L$5,0)),"◆","")),IF(MAX('制度詳細'!$H$25,L$5)&lt;=MIN(IF('制度詳細'!$I$25="",EOMONTH(L$5,0),'制度詳細'!$I$25),EOMONTH(L$5,0)),"■",IF(AND('制度詳細'!$J$25&lt;&gt;"",'制度詳細'!$J$25&gt;=L$5,'制度詳細'!$J$25&lt;=EOMONTH(L$5,0)),"◆","")))</x:f>
      </x:c>
      <x:c r="M25" s="57" t="str">
        <x:f>IF('制度詳細'!$H$25="",IF('制度詳細'!$J$25="","",IF(AND('制度詳細'!$J$25&gt;=M$5,'制度詳細'!$J$25&lt;=EOMONTH(M$5,0)),"◆","")),IF(MAX('制度詳細'!$H$25,M$5)&lt;=MIN(IF('制度詳細'!$I$25="",EOMONTH(M$5,0),'制度詳細'!$I$25),EOMONTH(M$5,0)),"■",IF(AND('制度詳細'!$J$25&lt;&gt;"",'制度詳細'!$J$25&gt;=M$5,'制度詳細'!$J$25&lt;=EOMONTH(M$5,0)),"◆","")))</x:f>
      </x:c>
      <x:c r="N25" s="57" t="str">
        <x:f>IF('制度詳細'!$H$25="",IF('制度詳細'!$J$25="","",IF(AND('制度詳細'!$J$25&gt;=N$5,'制度詳細'!$J$25&lt;=EOMONTH(N$5,0)),"◆","")),IF(MAX('制度詳細'!$H$25,N$5)&lt;=MIN(IF('制度詳細'!$I$25="",EOMONTH(N$5,0),'制度詳細'!$I$25),EOMONTH(N$5,0)),"■",IF(AND('制度詳細'!$J$25&lt;&gt;"",'制度詳細'!$J$25&gt;=N$5,'制度詳細'!$J$25&lt;=EOMONTH(N$5,0)),"◆","")))</x:f>
      </x:c>
      <x:c r="O25" s="57" t="str">
        <x:f>IF('制度詳細'!$H$25="",IF('制度詳細'!$J$25="","",IF(AND('制度詳細'!$J$25&gt;=O$5,'制度詳細'!$J$25&lt;=EOMONTH(O$5,0)),"◆","")),IF(MAX('制度詳細'!$H$25,O$5)&lt;=MIN(IF('制度詳細'!$I$25="",EOMONTH(O$5,0),'制度詳細'!$I$25),EOMONTH(O$5,0)),"■",IF(AND('制度詳細'!$J$25&lt;&gt;"",'制度詳細'!$J$25&gt;=O$5,'制度詳細'!$J$25&lt;=EOMONTH(O$5,0)),"◆","")))</x:f>
      </x:c>
      <x:c r="P25" s="57" t="str">
        <x:f>IF('制度詳細'!$H$25="",IF('制度詳細'!$J$25="","",IF(AND('制度詳細'!$J$25&gt;=P$5,'制度詳細'!$J$25&lt;=EOMONTH(P$5,0)),"◆","")),IF(MAX('制度詳細'!$H$25,P$5)&lt;=MIN(IF('制度詳細'!$I$25="",EOMONTH(P$5,0),'制度詳細'!$I$25),EOMONTH(P$5,0)),"■",IF(AND('制度詳細'!$J$25&lt;&gt;"",'制度詳細'!$J$25&gt;=P$5,'制度詳細'!$J$25&lt;=EOMONTH(P$5,0)),"◆","")))</x:f>
      </x:c>
      <x:c r="Q25" s="57" t="str">
        <x:f>IF('制度詳細'!$H$25="",IF('制度詳細'!$J$25="","",IF(AND('制度詳細'!$J$25&gt;=Q$5,'制度詳細'!$J$25&lt;=EOMONTH(Q$5,0)),"◆","")),IF(MAX('制度詳細'!$H$25,Q$5)&lt;=MIN(IF('制度詳細'!$I$25="",EOMONTH(Q$5,0),'制度詳細'!$I$25),EOMONTH(Q$5,0)),"■",IF(AND('制度詳細'!$J$25&lt;&gt;"",'制度詳細'!$J$25&gt;=Q$5,'制度詳細'!$J$25&lt;=EOMONTH(Q$5,0)),"◆","")))</x:f>
      </x:c>
      <x:c r="R25" s="57" t="str">
        <x:f>IF('制度詳細'!$H$25="",IF('制度詳細'!$J$25="","",IF(AND('制度詳細'!$J$25&gt;=R$5,'制度詳細'!$J$25&lt;=EOMONTH(R$5,0)),"◆","")),IF(MAX('制度詳細'!$H$25,R$5)&lt;=MIN(IF('制度詳細'!$I$25="",EOMONTH(R$5,0),'制度詳細'!$I$25),EOMONTH(R$5,0)),"■",IF(AND('制度詳細'!$J$25&lt;&gt;"",'制度詳細'!$J$25&gt;=R$5,'制度詳細'!$J$25&lt;=EOMONTH(R$5,0)),"◆","")))</x:f>
      </x:c>
      <x:c r="S25" s="57" t="str">
        <x:f>IF('制度詳細'!$H$25="",IF('制度詳細'!$J$25="","",IF(AND('制度詳細'!$J$25&gt;=S$5,'制度詳細'!$J$25&lt;=EOMONTH(S$5,0)),"◆","")),IF(MAX('制度詳細'!$H$25,S$5)&lt;=MIN(IF('制度詳細'!$I$25="",EOMONTH(S$5,0),'制度詳細'!$I$25),EOMONTH(S$5,0)),"■",IF(AND('制度詳細'!$J$25&lt;&gt;"",'制度詳細'!$J$25&gt;=S$5,'制度詳細'!$J$25&lt;=EOMONTH(S$5,0)),"◆","")))</x:f>
      </x:c>
      <x:c r="T25" s="57" t="str">
        <x:f>IF('制度詳細'!$H$25="",IF('制度詳細'!$J$25="","",IF(AND('制度詳細'!$J$25&gt;=T$5,'制度詳細'!$J$25&lt;=EOMONTH(T$5,0)),"◆","")),IF(MAX('制度詳細'!$H$25,T$5)&lt;=MIN(IF('制度詳細'!$I$25="",EOMONTH(T$5,0),'制度詳細'!$I$25),EOMONTH(T$5,0)),"■",IF(AND('制度詳細'!$J$25&lt;&gt;"",'制度詳細'!$J$25&gt;=T$5,'制度詳細'!$J$25&lt;=EOMONTH(T$5,0)),"◆","")))</x:f>
      </x:c>
      <x:c r="U25" s="57" t="str">
        <x:f>IF('制度詳細'!$H$25="",IF('制度詳細'!$J$25="","",IF(AND('制度詳細'!$J$25&gt;=U$5,'制度詳細'!$J$25&lt;=EOMONTH(U$5,0)),"◆","")),IF(MAX('制度詳細'!$H$25,U$5)&lt;=MIN(IF('制度詳細'!$I$25="",EOMONTH(U$5,0),'制度詳細'!$I$25),EOMONTH(U$5,0)),"■",IF(AND('制度詳細'!$J$25&lt;&gt;"",'制度詳細'!$J$25&gt;=U$5,'制度詳細'!$J$25&lt;=EOMONTH(U$5,0)),"◆","")))</x:f>
      </x:c>
      <x:c r="V25" s="57" t="str">
        <x:f>IF('制度詳細'!$H$25="",IF('制度詳細'!$J$25="","",IF(AND('制度詳細'!$J$25&gt;=V$5,'制度詳細'!$J$25&lt;=EOMONTH(V$5,0)),"◆","")),IF(MAX('制度詳細'!$H$25,V$5)&lt;=MIN(IF('制度詳細'!$I$25="",EOMONTH(V$5,0),'制度詳細'!$I$25),EOMONTH(V$5,0)),"■",IF(AND('制度詳細'!$J$25&lt;&gt;"",'制度詳細'!$J$25&gt;=V$5,'制度詳細'!$J$25&lt;=EOMONTH(V$5,0)),"◆","")))</x:f>
      </x:c>
      <x:c r="W25" s="57" t="str">
        <x:f>IF('制度詳細'!$H$25="",IF('制度詳細'!$J$25="","",IF(AND('制度詳細'!$J$25&gt;=W$5,'制度詳細'!$J$25&lt;=EOMONTH(W$5,0)),"◆","")),IF(MAX('制度詳細'!$H$25,W$5)&lt;=MIN(IF('制度詳細'!$I$25="",EOMONTH(W$5,0),'制度詳細'!$I$25),EOMONTH(W$5,0)),"■",IF(AND('制度詳細'!$J$25&lt;&gt;"",'制度詳細'!$J$25&gt;=W$5,'制度詳細'!$J$25&lt;=EOMONTH(W$5,0)),"◆","")))</x:f>
      </x:c>
      <x:c r="X25" s="57" t="str">
        <x:f>IF('制度詳細'!$H$25="",IF('制度詳細'!$J$25="","",IF(AND('制度詳細'!$J$25&gt;=X$5,'制度詳細'!$J$25&lt;=EOMONTH(X$5,0)),"◆","")),IF(MAX('制度詳細'!$H$25,X$5)&lt;=MIN(IF('制度詳細'!$I$25="",EOMONTH(X$5,0),'制度詳細'!$I$25),EOMONTH(X$5,0)),"■",IF(AND('制度詳細'!$J$25&lt;&gt;"",'制度詳細'!$J$25&gt;=X$5,'制度詳細'!$J$25&lt;=EOMONTH(X$5,0)),"◆","")))</x:f>
      </x:c>
      <x:c r="Y25" s="57" t="str">
        <x:f>IF('制度詳細'!$H$25="",IF('制度詳細'!$J$25="","",IF(AND('制度詳細'!$J$25&gt;=Y$5,'制度詳細'!$J$25&lt;=EOMONTH(Y$5,0)),"◆","")),IF(MAX('制度詳細'!$H$25,Y$5)&lt;=MIN(IF('制度詳細'!$I$25="",EOMONTH(Y$5,0),'制度詳細'!$I$25),EOMONTH(Y$5,0)),"■",IF(AND('制度詳細'!$J$25&lt;&gt;"",'制度詳細'!$J$25&gt;=Y$5,'制度詳細'!$J$25&lt;=EOMONTH(Y$5,0)),"◆","")))</x:f>
      </x:c>
      <x:c r="Z25" s="57" t="str">
        <x:f>IF('制度詳細'!$H$25="",IF('制度詳細'!$J$25="","",IF(AND('制度詳細'!$J$25&gt;=Z$5,'制度詳細'!$J$25&lt;=EOMONTH(Z$5,0)),"◆","")),IF(MAX('制度詳細'!$H$25,Z$5)&lt;=MIN(IF('制度詳細'!$I$25="",EOMONTH(Z$5,0),'制度詳細'!$I$25),EOMONTH(Z$5,0)),"■",IF(AND('制度詳細'!$J$25&lt;&gt;"",'制度詳細'!$J$25&gt;=Z$5,'制度詳細'!$J$25&lt;=EOMONTH(Z$5,0)),"◆","")))</x:f>
        <x:v>◆</x:v>
      </x:c>
      <x:c r="AA25" s="57" t="str">
        <x:f>IF('制度詳細'!$H$25="",IF('制度詳細'!$J$25="","",IF(AND('制度詳細'!$J$25&gt;=AA$5,'制度詳細'!$J$25&lt;=EOMONTH(AA$5,0)),"◆","")),IF(MAX('制度詳細'!$H$25,AA$5)&lt;=MIN(IF('制度詳細'!$I$25="",EOMONTH(AA$5,0),'制度詳細'!$I$25),EOMONTH(AA$5,0)),"■",IF(AND('制度詳細'!$J$25&lt;&gt;"",'制度詳細'!$J$25&gt;=AA$5,'制度詳細'!$J$25&lt;=EOMONTH(AA$5,0)),"◆","")))</x:f>
      </x:c>
      <x:c r="AB25" s="57" t="str">
        <x:f>IF('制度詳細'!$H$25="",IF('制度詳細'!$J$25="","",IF(AND('制度詳細'!$J$25&gt;=AB$5,'制度詳細'!$J$25&lt;=EOMONTH(AB$5,0)),"◆","")),IF(MAX('制度詳細'!$H$25,AB$5)&lt;=MIN(IF('制度詳細'!$I$25="",EOMONTH(AB$5,0),'制度詳細'!$I$25),EOMONTH(AB$5,0)),"■",IF(AND('制度詳細'!$J$25&lt;&gt;"",'制度詳細'!$J$25&gt;=AB$5,'制度詳細'!$J$25&lt;=EOMONTH(AB$5,0)),"◆","")))</x:f>
      </x:c>
      <x:c r="AC25" s="57" t="str">
        <x:f>IF('制度詳細'!$H$25="",IF('制度詳細'!$J$25="","",IF(AND('制度詳細'!$J$25&gt;=AC$5,'制度詳細'!$J$25&lt;=EOMONTH(AC$5,0)),"◆","")),IF(MAX('制度詳細'!$H$25,AC$5)&lt;=MIN(IF('制度詳細'!$I$25="",EOMONTH(AC$5,0),'制度詳細'!$I$25),EOMONTH(AC$5,0)),"■",IF(AND('制度詳細'!$J$25&lt;&gt;"",'制度詳細'!$J$25&gt;=AC$5,'制度詳細'!$J$25&lt;=EOMONTH(AC$5,0)),"◆","")))</x:f>
        <x:v>■</x:v>
      </x:c>
      <x:c r="AD25" s="57" t="str">
        <x:f>IF('制度詳細'!$H$25="",IF('制度詳細'!$J$25="","",IF(AND('制度詳細'!$J$25&gt;=AD$5,'制度詳細'!$J$25&lt;=EOMONTH(AD$5,0)),"◆","")),IF(MAX('制度詳細'!$H$25,AD$5)&lt;=MIN(IF('制度詳細'!$I$25="",EOMONTH(AD$5,0),'制度詳細'!$I$25),EOMONTH(AD$5,0)),"■",IF(AND('制度詳細'!$J$25&lt;&gt;"",'制度詳細'!$J$25&gt;=AD$5,'制度詳細'!$J$25&lt;=EOMONTH(AD$5,0)),"◆","")))</x:f>
        <x:v>■</x:v>
      </x:c>
      <x:c r="AE25" s="57" t="str">
        <x:f>IF('制度詳細'!$H$25="",IF('制度詳細'!$J$25="","",IF(AND('制度詳細'!$J$25&gt;=AE$5,'制度詳細'!$J$25&lt;=EOMONTH(AE$5,0)),"◆","")),IF(MAX('制度詳細'!$H$25,AE$5)&lt;=MIN(IF('制度詳細'!$I$25="",EOMONTH(AE$5,0),'制度詳細'!$I$25),EOMONTH(AE$5,0)),"■",IF(AND('制度詳細'!$J$25&lt;&gt;"",'制度詳細'!$J$25&gt;=AE$5,'制度詳細'!$J$25&lt;=EOMONTH(AE$5,0)),"◆","")))</x:f>
        <x:v>■</x:v>
      </x:c>
      <x:c r="AF25" s="57" t="str">
        <x:f>IF('制度詳細'!$H$25="",IF('制度詳細'!$J$25="","",IF(AND('制度詳細'!$J$25&gt;=AF$5,'制度詳細'!$J$25&lt;=EOMONTH(AF$5,0)),"◆","")),IF(MAX('制度詳細'!$H$25,AF$5)&lt;=MIN(IF('制度詳細'!$I$25="",EOMONTH(AF$5,0),'制度詳細'!$I$25),EOMONTH(AF$5,0)),"■",IF(AND('制度詳細'!$J$25&lt;&gt;"",'制度詳細'!$J$25&gt;=AF$5,'制度詳細'!$J$25&lt;=EOMONTH(AF$5,0)),"◆","")))</x:f>
        <x:v>■</x:v>
      </x:c>
      <x:c r="AG25" s="57" t="str">
        <x:f>IF('制度詳細'!$H$25="",IF('制度詳細'!$J$25="","",IF(AND('制度詳細'!$J$25&gt;=AG$5,'制度詳細'!$J$25&lt;=EOMONTH(AG$5,0)),"◆","")),IF(MAX('制度詳細'!$H$25,AG$5)&lt;=MIN(IF('制度詳細'!$I$25="",EOMONTH(AG$5,0),'制度詳細'!$I$25),EOMONTH(AG$5,0)),"■",IF(AND('制度詳細'!$J$25&lt;&gt;"",'制度詳細'!$J$25&gt;=AG$5,'制度詳細'!$J$25&lt;=EOMONTH(AG$5,0)),"◆","")))</x:f>
        <x:v>■</x:v>
      </x:c>
      <x:c r="AH25" s="57" t="str">
        <x:f>IF('制度詳細'!$H$25="",IF('制度詳細'!$J$25="","",IF(AND('制度詳細'!$J$25&gt;=AH$5,'制度詳細'!$J$25&lt;=EOMONTH(AH$5,0)),"◆","")),IF(MAX('制度詳細'!$H$25,AH$5)&lt;=MIN(IF('制度詳細'!$I$25="",EOMONTH(AH$5,0),'制度詳細'!$I$25),EOMONTH(AH$5,0)),"■",IF(AND('制度詳細'!$J$25&lt;&gt;"",'制度詳細'!$J$25&gt;=AH$5,'制度詳細'!$J$25&lt;=EOMONTH(AH$5,0)),"◆","")))</x:f>
        <x:v>■</x:v>
      </x:c>
      <x:c r="AI25" s="57" t="str">
        <x:f>IF('制度詳細'!$H$25="",IF('制度詳細'!$J$25="","",IF(AND('制度詳細'!$J$25&gt;=AI$5,'制度詳細'!$J$25&lt;=EOMONTH(AI$5,0)),"◆","")),IF(MAX('制度詳細'!$H$25,AI$5)&lt;=MIN(IF('制度詳細'!$I$25="",EOMONTH(AI$5,0),'制度詳細'!$I$25),EOMONTH(AI$5,0)),"■",IF(AND('制度詳細'!$J$25&lt;&gt;"",'制度詳細'!$J$25&gt;=AI$5,'制度詳細'!$J$25&lt;=EOMONTH(AI$5,0)),"◆","")))</x:f>
        <x:v>■</x:v>
      </x:c>
      <x:c r="AJ25" s="57" t="str">
        <x:f>IF('制度詳細'!$H$25="",IF('制度詳細'!$J$25="","",IF(AND('制度詳細'!$J$25&gt;=AJ$5,'制度詳細'!$J$25&lt;=EOMONTH(AJ$5,0)),"◆","")),IF(MAX('制度詳細'!$H$25,AJ$5)&lt;=MIN(IF('制度詳細'!$I$25="",EOMONTH(AJ$5,0),'制度詳細'!$I$25),EOMONTH(AJ$5,0)),"■",IF(AND('制度詳細'!$J$25&lt;&gt;"",'制度詳細'!$J$25&gt;=AJ$5,'制度詳細'!$J$25&lt;=EOMONTH(AJ$5,0)),"◆","")))</x:f>
        <x:v>■</x:v>
      </x:c>
      <x:c r="AK25" s="57" t="str">
        <x:f>IF('制度詳細'!$H$25="",IF('制度詳細'!$J$25="","",IF(AND('制度詳細'!$J$25&gt;=AK$5,'制度詳細'!$J$25&lt;=EOMONTH(AK$5,0)),"◆","")),IF(MAX('制度詳細'!$H$25,AK$5)&lt;=MIN(IF('制度詳細'!$I$25="",EOMONTH(AK$5,0),'制度詳細'!$I$25),EOMONTH(AK$5,0)),"■",IF(AND('制度詳細'!$J$25&lt;&gt;"",'制度詳細'!$J$25&gt;=AK$5,'制度詳細'!$J$25&lt;=EOMONTH(AK$5,0)),"◆","")))</x:f>
        <x:v>■</x:v>
      </x:c>
      <x:c r="AL25" s="57" t="str">
        <x:f>IF('制度詳細'!$H$25="",IF('制度詳細'!$J$25="","",IF(AND('制度詳細'!$J$25&gt;=AL$5,'制度詳細'!$J$25&lt;=EOMONTH(AL$5,0)),"◆","")),IF(MAX('制度詳細'!$H$25,AL$5)&lt;=MIN(IF('制度詳細'!$I$25="",EOMONTH(AL$5,0),'制度詳細'!$I$25),EOMONTH(AL$5,0)),"■",IF(AND('制度詳細'!$J$25&lt;&gt;"",'制度詳細'!$J$25&gt;=AL$5,'制度詳細'!$J$25&lt;=EOMONTH(AL$5,0)),"◆","")))</x:f>
        <x:v>■</x:v>
      </x:c>
      <x:c r="AM25" s="57" t="str">
        <x:f>IF('制度詳細'!$H$25="",IF('制度詳細'!$J$25="","",IF(AND('制度詳細'!$J$25&gt;=AM$5,'制度詳細'!$J$25&lt;=EOMONTH(AM$5,0)),"◆","")),IF(MAX('制度詳細'!$H$25,AM$5)&lt;=MIN(IF('制度詳細'!$I$25="",EOMONTH(AM$5,0),'制度詳細'!$I$25),EOMONTH(AM$5,0)),"■",IF(AND('制度詳細'!$J$25&lt;&gt;"",'制度詳細'!$J$25&gt;=AM$5,'制度詳細'!$J$25&lt;=EOMONTH(AM$5,0)),"◆","")))</x:f>
        <x:v>■</x:v>
      </x:c>
      <x:c r="AN25" s="57" t="str">
        <x:f>IF('制度詳細'!$H$25="",IF('制度詳細'!$J$25="","",IF(AND('制度詳細'!$J$25&gt;=AN$5,'制度詳細'!$J$25&lt;=EOMONTH(AN$5,0)),"◆","")),IF(MAX('制度詳細'!$H$25,AN$5)&lt;=MIN(IF('制度詳細'!$I$25="",EOMONTH(AN$5,0),'制度詳細'!$I$25),EOMONTH(AN$5,0)),"■",IF(AND('制度詳細'!$J$25&lt;&gt;"",'制度詳細'!$J$25&gt;=AN$5,'制度詳細'!$J$25&lt;=EOMONTH(AN$5,0)),"◆","")))</x:f>
        <x:v>■</x:v>
      </x:c>
      <x:c r="AO25" s="57" t="str">
        <x:f>IF('制度詳細'!$H$25="",IF('制度詳細'!$J$25="","",IF(AND('制度詳細'!$J$25&gt;=AO$5,'制度詳細'!$J$25&lt;=EOMONTH(AO$5,0)),"◆","")),IF(MAX('制度詳細'!$H$25,AO$5)&lt;=MIN(IF('制度詳細'!$I$25="",EOMONTH(AO$5,0),'制度詳細'!$I$25),EOMONTH(AO$5,0)),"■",IF(AND('制度詳細'!$J$25&lt;&gt;"",'制度詳細'!$J$25&gt;=AO$5,'制度詳細'!$J$25&lt;=EOMONTH(AO$5,0)),"◆","")))</x:f>
        <x:v>■</x:v>
      </x:c>
      <x:c r="AP25" s="57" t="str">
        <x:f>IF('制度詳細'!$H$25="",IF('制度詳細'!$J$25="","",IF(AND('制度詳細'!$J$25&gt;=AP$5,'制度詳細'!$J$25&lt;=EOMONTH(AP$5,0)),"◆","")),IF(MAX('制度詳細'!$H$25,AP$5)&lt;=MIN(IF('制度詳細'!$I$25="",EOMONTH(AP$5,0),'制度詳細'!$I$25),EOMONTH(AP$5,0)),"■",IF(AND('制度詳細'!$J$25&lt;&gt;"",'制度詳細'!$J$25&gt;=AP$5,'制度詳細'!$J$25&lt;=EOMONTH(AP$5,0)),"◆","")))</x:f>
        <x:v>■</x:v>
      </x:c>
      <x:c r="AQ25" s="57" t="str">
        <x:f>IF('制度詳細'!$H$25="",IF('制度詳細'!$J$25="","",IF(AND('制度詳細'!$J$25&gt;=AQ$5,'制度詳細'!$J$25&lt;=EOMONTH(AQ$5,0)),"◆","")),IF(MAX('制度詳細'!$H$25,AQ$5)&lt;=MIN(IF('制度詳細'!$I$25="",EOMONTH(AQ$5,0),'制度詳細'!$I$25),EOMONTH(AQ$5,0)),"■",IF(AND('制度詳細'!$J$25&lt;&gt;"",'制度詳細'!$J$25&gt;=AQ$5,'制度詳細'!$J$25&lt;=EOMONTH(AQ$5,0)),"◆","")))</x:f>
        <x:v>■</x:v>
      </x:c>
      <x:c r="AR25" s="57" t="str">
        <x:f>IF('制度詳細'!$H$25="",IF('制度詳細'!$J$25="","",IF(AND('制度詳細'!$J$25&gt;=AR$5,'制度詳細'!$J$25&lt;=EOMONTH(AR$5,0)),"◆","")),IF(MAX('制度詳細'!$H$25,AR$5)&lt;=MIN(IF('制度詳細'!$I$25="",EOMONTH(AR$5,0),'制度詳細'!$I$25),EOMONTH(AR$5,0)),"■",IF(AND('制度詳細'!$J$25&lt;&gt;"",'制度詳細'!$J$25&gt;=AR$5,'制度詳細'!$J$25&lt;=EOMONTH(AR$5,0)),"◆","")))</x:f>
        <x:v>■</x:v>
      </x:c>
      <x:c r="AS25" s="57" t="str">
        <x:f>IF('制度詳細'!$H$25="",IF('制度詳細'!$J$25="","",IF(AND('制度詳細'!$J$25&gt;=AS$5,'制度詳細'!$J$25&lt;=EOMONTH(AS$5,0)),"◆","")),IF(MAX('制度詳細'!$H$25,AS$5)&lt;=MIN(IF('制度詳細'!$I$25="",EOMONTH(AS$5,0),'制度詳細'!$I$25),EOMONTH(AS$5,0)),"■",IF(AND('制度詳細'!$J$25&lt;&gt;"",'制度詳細'!$J$25&gt;=AS$5,'制度詳細'!$J$25&lt;=EOMONTH(AS$5,0)),"◆","")))</x:f>
        <x:v>■</x:v>
      </x:c>
      <x:c r="AT25" s="57" t="str">
        <x:f>IF('制度詳細'!$H$25="",IF('制度詳細'!$J$25="","",IF(AND('制度詳細'!$J$25&gt;=AT$5,'制度詳細'!$J$25&lt;=EOMONTH(AT$5,0)),"◆","")),IF(MAX('制度詳細'!$H$25,AT$5)&lt;=MIN(IF('制度詳細'!$I$25="",EOMONTH(AT$5,0),'制度詳細'!$I$25),EOMONTH(AT$5,0)),"■",IF(AND('制度詳細'!$J$25&lt;&gt;"",'制度詳細'!$J$25&gt;=AT$5,'制度詳細'!$J$25&lt;=EOMONTH(AT$5,0)),"◆","")))</x:f>
        <x:v>■</x:v>
      </x:c>
      <x:c r="AU25" s="57" t="str">
        <x:f>IF('制度詳細'!$H$25="",IF('制度詳細'!$J$25="","",IF(AND('制度詳細'!$J$25&gt;=AU$5,'制度詳細'!$J$25&lt;=EOMONTH(AU$5,0)),"◆","")),IF(MAX('制度詳細'!$H$25,AU$5)&lt;=MIN(IF('制度詳細'!$I$25="",EOMONTH(AU$5,0),'制度詳細'!$I$25),EOMONTH(AU$5,0)),"■",IF(AND('制度詳細'!$J$25&lt;&gt;"",'制度詳細'!$J$25&gt;=AU$5,'制度詳細'!$J$25&lt;=EOMONTH(AU$5,0)),"◆","")))</x:f>
        <x:v>■</x:v>
      </x:c>
      <x:c r="AV25" s="57" t="str">
        <x:f>IF('制度詳細'!$H$25="",IF('制度詳細'!$J$25="","",IF(AND('制度詳細'!$J$25&gt;=AV$5,'制度詳細'!$J$25&lt;=EOMONTH(AV$5,0)),"◆","")),IF(MAX('制度詳細'!$H$25,AV$5)&lt;=MIN(IF('制度詳細'!$I$25="",EOMONTH(AV$5,0),'制度詳細'!$I$25),EOMONTH(AV$5,0)),"■",IF(AND('制度詳細'!$J$25&lt;&gt;"",'制度詳細'!$J$25&gt;=AV$5,'制度詳細'!$J$25&lt;=EOMONTH(AV$5,0)),"◆","")))</x:f>
        <x:v>■</x:v>
      </x:c>
      <x:c r="AW25" s="57" t="str">
        <x:f>IF('制度詳細'!$H$25="",IF('制度詳細'!$J$25="","",IF(AND('制度詳細'!$J$25&gt;=AW$5,'制度詳細'!$J$25&lt;=EOMONTH(AW$5,0)),"◆","")),IF(MAX('制度詳細'!$H$25,AW$5)&lt;=MIN(IF('制度詳細'!$I$25="",EOMONTH(AW$5,0),'制度詳細'!$I$25),EOMONTH(AW$5,0)),"■",IF(AND('制度詳細'!$J$25&lt;&gt;"",'制度詳細'!$J$25&gt;=AW$5,'制度詳細'!$J$25&lt;=EOMONTH(AW$5,0)),"◆","")))</x:f>
        <x:v>■</x:v>
      </x:c>
      <x:c r="AX25" s="57" t="str">
        <x:f>IF('制度詳細'!$H$25="",IF('制度詳細'!$J$25="","",IF(AND('制度詳細'!$J$25&gt;=AX$5,'制度詳細'!$J$25&lt;=EOMONTH(AX$5,0)),"◆","")),IF(MAX('制度詳細'!$H$25,AX$5)&lt;=MIN(IF('制度詳細'!$I$25="",EOMONTH(AX$5,0),'制度詳細'!$I$25),EOMONTH(AX$5,0)),"■",IF(AND('制度詳細'!$J$25&lt;&gt;"",'制度詳細'!$J$25&gt;=AX$5,'制度詳細'!$J$25&lt;=EOMONTH(AX$5,0)),"◆","")))</x:f>
        <x:v>■</x:v>
      </x:c>
      <x:c r="AY25" s="57" t="str">
        <x:f>IF('制度詳細'!$H$25="",IF('制度詳細'!$J$25="","",IF(AND('制度詳細'!$J$25&gt;=AY$5,'制度詳細'!$J$25&lt;=EOMONTH(AY$5,0)),"◆","")),IF(MAX('制度詳細'!$H$25,AY$5)&lt;=MIN(IF('制度詳細'!$I$25="",EOMONTH(AY$5,0),'制度詳細'!$I$25),EOMONTH(AY$5,0)),"■",IF(AND('制度詳細'!$J$25&lt;&gt;"",'制度詳細'!$J$25&gt;=AY$5,'制度詳細'!$J$25&lt;=EOMONTH(AY$5,0)),"◆","")))</x:f>
        <x:v>■</x:v>
      </x:c>
      <x:c r="AZ25" s="57" t="str">
        <x:f>IF('制度詳細'!$H$25="",IF('制度詳細'!$J$25="","",IF(AND('制度詳細'!$J$25&gt;=AZ$5,'制度詳細'!$J$25&lt;=EOMONTH(AZ$5,0)),"◆","")),IF(MAX('制度詳細'!$H$25,AZ$5)&lt;=MIN(IF('制度詳細'!$I$25="",EOMONTH(AZ$5,0),'制度詳細'!$I$25),EOMONTH(AZ$5,0)),"■",IF(AND('制度詳細'!$J$25&lt;&gt;"",'制度詳細'!$J$25&gt;=AZ$5,'制度詳細'!$J$25&lt;=EOMONTH(AZ$5,0)),"◆","")))</x:f>
        <x:v>■</x:v>
      </x:c>
      <x:c r="BA25" s="57" t="str">
        <x:f>IF('制度詳細'!$H$25="",IF('制度詳細'!$J$25="","",IF(AND('制度詳細'!$J$25&gt;=BA$5,'制度詳細'!$J$25&lt;=EOMONTH(BA$5,0)),"◆","")),IF(MAX('制度詳細'!$H$25,BA$5)&lt;=MIN(IF('制度詳細'!$I$25="",EOMONTH(BA$5,0),'制度詳細'!$I$25),EOMONTH(BA$5,0)),"■",IF(AND('制度詳細'!$J$25&lt;&gt;"",'制度詳細'!$J$25&gt;=BA$5,'制度詳細'!$J$25&lt;=EOMONTH(BA$5,0)),"◆","")))</x:f>
        <x:v>■</x:v>
      </x:c>
      <x:c r="BB25" s="57" t="str">
        <x:f>IF('制度詳細'!$H$25="",IF('制度詳細'!$J$25="","",IF(AND('制度詳細'!$J$25&gt;=BB$5,'制度詳細'!$J$25&lt;=EOMONTH(BB$5,0)),"◆","")),IF(MAX('制度詳細'!$H$25,BB$5)&lt;=MIN(IF('制度詳細'!$I$25="",EOMONTH(BB$5,0),'制度詳細'!$I$25),EOMONTH(BB$5,0)),"■",IF(AND('制度詳細'!$J$25&lt;&gt;"",'制度詳細'!$J$25&gt;=BB$5,'制度詳細'!$J$25&lt;=EOMONTH(BB$5,0)),"◆","")))</x:f>
        <x:v>■</x:v>
      </x:c>
      <x:c r="BC25" s="57" t="str">
        <x:f>IF('制度詳細'!$H$25="",IF('制度詳細'!$J$25="","",IF(AND('制度詳細'!$J$25&gt;=BC$5,'制度詳細'!$J$25&lt;=EOMONTH(BC$5,0)),"◆","")),IF(MAX('制度詳細'!$H$25,BC$5)&lt;=MIN(IF('制度詳細'!$I$25="",EOMONTH(BC$5,0),'制度詳細'!$I$25),EOMONTH(BC$5,0)),"■",IF(AND('制度詳細'!$J$25&lt;&gt;"",'制度詳細'!$J$25&gt;=BC$5,'制度詳細'!$J$25&lt;=EOMONTH(BC$5,0)),"◆","")))</x:f>
        <x:v>■</x:v>
      </x:c>
      <x:c r="BD25" s="57" t="str">
        <x:f>IF('制度詳細'!$H$25="",IF('制度詳細'!$J$25="","",IF(AND('制度詳細'!$J$25&gt;=BD$5,'制度詳細'!$J$25&lt;=EOMONTH(BD$5,0)),"◆","")),IF(MAX('制度詳細'!$H$25,BD$5)&lt;=MIN(IF('制度詳細'!$I$25="",EOMONTH(BD$5,0),'制度詳細'!$I$25),EOMONTH(BD$5,0)),"■",IF(AND('制度詳細'!$J$25&lt;&gt;"",'制度詳細'!$J$25&gt;=BD$5,'制度詳細'!$J$25&lt;=EOMONTH(BD$5,0)),"◆","")))</x:f>
        <x:v>■</x:v>
      </x:c>
      <x:c r="BE25" s="57" t="str">
        <x:f>IF('制度詳細'!$H$25="",IF('制度詳細'!$J$25="","",IF(AND('制度詳細'!$J$25&gt;=BE$5,'制度詳細'!$J$25&lt;=EOMONTH(BE$5,0)),"◆","")),IF(MAX('制度詳細'!$H$25,BE$5)&lt;=MIN(IF('制度詳細'!$I$25="",EOMONTH(BE$5,0),'制度詳細'!$I$25),EOMONTH(BE$5,0)),"■",IF(AND('制度詳細'!$J$25&lt;&gt;"",'制度詳細'!$J$25&gt;=BE$5,'制度詳細'!$J$25&lt;=EOMONTH(BE$5,0)),"◆","")))</x:f>
        <x:v>■</x:v>
      </x:c>
      <x:c r="BF25" s="57" t="str">
        <x:f>IF('制度詳細'!$H$25="",IF('制度詳細'!$J$25="","",IF(AND('制度詳細'!$J$25&gt;=BF$5,'制度詳細'!$J$25&lt;=EOMONTH(BF$5,0)),"◆","")),IF(MAX('制度詳細'!$H$25,BF$5)&lt;=MIN(IF('制度詳細'!$I$25="",EOMONTH(BF$5,0),'制度詳細'!$I$25),EOMONTH(BF$5,0)),"■",IF(AND('制度詳細'!$J$25&lt;&gt;"",'制度詳細'!$J$25&gt;=BF$5,'制度詳細'!$J$25&lt;=EOMONTH(BF$5,0)),"◆","")))</x:f>
        <x:v>■</x:v>
      </x:c>
      <x:c r="BG25" s="57" t="str">
        <x:f>IF('制度詳細'!$H$25="",IF('制度詳細'!$J$25="","",IF(AND('制度詳細'!$J$25&gt;=BG$5,'制度詳細'!$J$25&lt;=EOMONTH(BG$5,0)),"◆","")),IF(MAX('制度詳細'!$H$25,BG$5)&lt;=MIN(IF('制度詳細'!$I$25="",EOMONTH(BG$5,0),'制度詳細'!$I$25),EOMONTH(BG$5,0)),"■",IF(AND('制度詳細'!$J$25&lt;&gt;"",'制度詳細'!$J$25&gt;=BG$5,'制度詳細'!$J$25&lt;=EOMONTH(BG$5,0)),"◆","")))</x:f>
        <x:v>■</x:v>
      </x:c>
      <x:c r="BH25" s="57" t="str">
        <x:f>IF('制度詳細'!$H$25="",IF('制度詳細'!$J$25="","",IF(AND('制度詳細'!$J$25&gt;=BH$5,'制度詳細'!$J$25&lt;=EOMONTH(BH$5,0)),"◆","")),IF(MAX('制度詳細'!$H$25,BH$5)&lt;=MIN(IF('制度詳細'!$I$25="",EOMONTH(BH$5,0),'制度詳細'!$I$25),EOMONTH(BH$5,0)),"■",IF(AND('制度詳細'!$J$25&lt;&gt;"",'制度詳細'!$J$25&gt;=BH$5,'制度詳細'!$J$25&lt;=EOMONTH(BH$5,0)),"◆","")))</x:f>
        <x:v>■</x:v>
      </x:c>
      <x:c r="BI25" s="57" t="str">
        <x:f>IF('制度詳細'!$H$25="",IF('制度詳細'!$J$25="","",IF(AND('制度詳細'!$J$25&gt;=BI$5,'制度詳細'!$J$25&lt;=EOMONTH(BI$5,0)),"◆","")),IF(MAX('制度詳細'!$H$25,BI$5)&lt;=MIN(IF('制度詳細'!$I$25="",EOMONTH(BI$5,0),'制度詳細'!$I$25),EOMONTH(BI$5,0)),"■",IF(AND('制度詳細'!$J$25&lt;&gt;"",'制度詳細'!$J$25&gt;=BI$5,'制度詳細'!$J$25&lt;=EOMONTH(BI$5,0)),"◆","")))</x:f>
        <x:v>■</x:v>
      </x:c>
      <x:c r="BJ25" s="57" t="str">
        <x:f>IF('制度詳細'!$H$25="",IF('制度詳細'!$J$25="","",IF(AND('制度詳細'!$J$25&gt;=BJ$5,'制度詳細'!$J$25&lt;=EOMONTH(BJ$5,0)),"◆","")),IF(MAX('制度詳細'!$H$25,BJ$5)&lt;=MIN(IF('制度詳細'!$I$25="",EOMONTH(BJ$5,0),'制度詳細'!$I$25),EOMONTH(BJ$5,0)),"■",IF(AND('制度詳細'!$J$25&lt;&gt;"",'制度詳細'!$J$25&gt;=BJ$5,'制度詳細'!$J$25&lt;=EOMONTH(BJ$5,0)),"◆","")))</x:f>
        <x:v>■</x:v>
      </x:c>
      <x:c r="BK25" s="57" t="str">
        <x:f>IF('制度詳細'!$H$25="",IF('制度詳細'!$J$25="","",IF(AND('制度詳細'!$J$25&gt;=BK$5,'制度詳細'!$J$25&lt;=EOMONTH(BK$5,0)),"◆","")),IF(MAX('制度詳細'!$H$25,BK$5)&lt;=MIN(IF('制度詳細'!$I$25="",EOMONTH(BK$5,0),'制度詳細'!$I$25),EOMONTH(BK$5,0)),"■",IF(AND('制度詳細'!$J$25&lt;&gt;"",'制度詳細'!$J$25&gt;=BK$5,'制度詳細'!$J$25&lt;=EOMONTH(BK$5,0)),"◆","")))</x:f>
        <x:v>■</x:v>
      </x:c>
      <x:c r="BL25" s="57" t="str">
        <x:f>IF('制度詳細'!$H$25="",IF('制度詳細'!$J$25="","",IF(AND('制度詳細'!$J$25&gt;=BL$5,'制度詳細'!$J$25&lt;=EOMONTH(BL$5,0)),"◆","")),IF(MAX('制度詳細'!$H$25,BL$5)&lt;=MIN(IF('制度詳細'!$I$25="",EOMONTH(BL$5,0),'制度詳細'!$I$25),EOMONTH(BL$5,0)),"■",IF(AND('制度詳細'!$J$25&lt;&gt;"",'制度詳細'!$J$25&gt;=BL$5,'制度詳細'!$J$25&lt;=EOMONTH(BL$5,0)),"◆","")))</x:f>
        <x:v>■</x:v>
      </x:c>
      <x:c r="BM25" s="57" t="str">
        <x:f>IF('制度詳細'!$H$25="",IF('制度詳細'!$J$25="","",IF(AND('制度詳細'!$J$25&gt;=BM$5,'制度詳細'!$J$25&lt;=EOMONTH(BM$5,0)),"◆","")),IF(MAX('制度詳細'!$H$25,BM$5)&lt;=MIN(IF('制度詳細'!$I$25="",EOMONTH(BM$5,0),'制度詳細'!$I$25),EOMONTH(BM$5,0)),"■",IF(AND('制度詳細'!$J$25&lt;&gt;"",'制度詳細'!$J$25&gt;=BM$5,'制度詳細'!$J$25&lt;=EOMONTH(BM$5,0)),"◆","")))</x:f>
        <x:v>■</x:v>
      </x:c>
      <x:c r="BN25" s="57" t="str">
        <x:f>IF('制度詳細'!$H$25="",IF('制度詳細'!$J$25="","",IF(AND('制度詳細'!$J$25&gt;=BN$5,'制度詳細'!$J$25&lt;=EOMONTH(BN$5,0)),"◆","")),IF(MAX('制度詳細'!$H$25,BN$5)&lt;=MIN(IF('制度詳細'!$I$25="",EOMONTH(BN$5,0),'制度詳細'!$I$25),EOMONTH(BN$5,0)),"■",IF(AND('制度詳細'!$J$25&lt;&gt;"",'制度詳細'!$J$25&gt;=BN$5,'制度詳細'!$J$25&lt;=EOMONTH(BN$5,0)),"◆","")))</x:f>
        <x:v>■</x:v>
      </x:c>
      <x:c r="BO25" s="57" t="str">
        <x:f>IF('制度詳細'!$H$25="",IF('制度詳細'!$J$25="","",IF(AND('制度詳細'!$J$25&gt;=BO$5,'制度詳細'!$J$25&lt;=EOMONTH(BO$5,0)),"◆","")),IF(MAX('制度詳細'!$H$25,BO$5)&lt;=MIN(IF('制度詳細'!$I$25="",EOMONTH(BO$5,0),'制度詳細'!$I$25),EOMONTH(BO$5,0)),"■",IF(AND('制度詳細'!$J$25&lt;&gt;"",'制度詳細'!$J$25&gt;=BO$5,'制度詳細'!$J$25&lt;=EOMONTH(BO$5,0)),"◆","")))</x:f>
        <x:v>■</x:v>
      </x:c>
      <x:c r="BP25" s="57" t="str">
        <x:f>IF('制度詳細'!$H$25="",IF('制度詳細'!$J$25="","",IF(AND('制度詳細'!$J$25&gt;=BP$5,'制度詳細'!$J$25&lt;=EOMONTH(BP$5,0)),"◆","")),IF(MAX('制度詳細'!$H$25,BP$5)&lt;=MIN(IF('制度詳細'!$I$25="",EOMONTH(BP$5,0),'制度詳細'!$I$25),EOMONTH(BP$5,0)),"■",IF(AND('制度詳細'!$J$25&lt;&gt;"",'制度詳細'!$J$25&gt;=BP$5,'制度詳細'!$J$25&lt;=EOMONTH(BP$5,0)),"◆","")))</x:f>
        <x:v>■</x:v>
      </x:c>
      <x:c r="BQ25" s="57" t="str">
        <x:f>IF('制度詳細'!$H$25="",IF('制度詳細'!$J$25="","",IF(AND('制度詳細'!$J$25&gt;=BQ$5,'制度詳細'!$J$25&lt;=EOMONTH(BQ$5,0)),"◆","")),IF(MAX('制度詳細'!$H$25,BQ$5)&lt;=MIN(IF('制度詳細'!$I$25="",EOMONTH(BQ$5,0),'制度詳細'!$I$25),EOMONTH(BQ$5,0)),"■",IF(AND('制度詳細'!$J$25&lt;&gt;"",'制度詳細'!$J$25&gt;=BQ$5,'制度詳細'!$J$25&lt;=EOMONTH(BQ$5,0)),"◆","")))</x:f>
        <x:v>■</x:v>
      </x:c>
      <x:c r="BR25" s="57" t="str">
        <x:f>IF('制度詳細'!$H$25="",IF('制度詳細'!$J$25="","",IF(AND('制度詳細'!$J$25&gt;=BR$5,'制度詳細'!$J$25&lt;=EOMONTH(BR$5,0)),"◆","")),IF(MAX('制度詳細'!$H$25,BR$5)&lt;=MIN(IF('制度詳細'!$I$25="",EOMONTH(BR$5,0),'制度詳細'!$I$25),EOMONTH(BR$5,0)),"■",IF(AND('制度詳細'!$J$25&lt;&gt;"",'制度詳細'!$J$25&gt;=BR$5,'制度詳細'!$J$25&lt;=EOMONTH(BR$5,0)),"◆","")))</x:f>
        <x:v>■</x:v>
      </x:c>
      <x:c r="BS25" s="57" t="str">
        <x:f>IF('制度詳細'!$H$25="",IF('制度詳細'!$J$25="","",IF(AND('制度詳細'!$J$25&gt;=BS$5,'制度詳細'!$J$25&lt;=EOMONTH(BS$5,0)),"◆","")),IF(MAX('制度詳細'!$H$25,BS$5)&lt;=MIN(IF('制度詳細'!$I$25="",EOMONTH(BS$5,0),'制度詳細'!$I$25),EOMONTH(BS$5,0)),"■",IF(AND('制度詳細'!$J$25&lt;&gt;"",'制度詳細'!$J$25&gt;=BS$5,'制度詳細'!$J$25&lt;=EOMONTH(BS$5,0)),"◆","")))</x:f>
        <x:v>■</x:v>
      </x:c>
      <x:c r="BT25" s="57" t="str">
        <x:f>IF('制度詳細'!$H$25="",IF('制度詳細'!$J$25="","",IF(AND('制度詳細'!$J$25&gt;=BT$5,'制度詳細'!$J$25&lt;=EOMONTH(BT$5,0)),"◆","")),IF(MAX('制度詳細'!$H$25,BT$5)&lt;=MIN(IF('制度詳細'!$I$25="",EOMONTH(BT$5,0),'制度詳細'!$I$25),EOMONTH(BT$5,0)),"■",IF(AND('制度詳細'!$J$25&lt;&gt;"",'制度詳細'!$J$25&gt;=BT$5,'制度詳細'!$J$25&lt;=EOMONTH(BT$5,0)),"◆","")))</x:f>
        <x:v>■</x:v>
      </x:c>
      <x:c r="BU25" s="57" t="str">
        <x:f>IF('制度詳細'!$H$25="",IF('制度詳細'!$J$25="","",IF(AND('制度詳細'!$J$25&gt;=BU$5,'制度詳細'!$J$25&lt;=EOMONTH(BU$5,0)),"◆","")),IF(MAX('制度詳細'!$H$25,BU$5)&lt;=MIN(IF('制度詳細'!$I$25="",EOMONTH(BU$5,0),'制度詳細'!$I$25),EOMONTH(BU$5,0)),"■",IF(AND('制度詳細'!$J$25&lt;&gt;"",'制度詳細'!$J$25&gt;=BU$5,'制度詳細'!$J$25&lt;=EOMONTH(BU$5,0)),"◆","")))</x:f>
        <x:v>■</x:v>
      </x:c>
      <x:c r="BV25" s="57" t="str">
        <x:f>IF('制度詳細'!$H$25="",IF('制度詳細'!$J$25="","",IF(AND('制度詳細'!$J$25&gt;=BV$5,'制度詳細'!$J$25&lt;=EOMONTH(BV$5,0)),"◆","")),IF(MAX('制度詳細'!$H$25,BV$5)&lt;=MIN(IF('制度詳細'!$I$25="",EOMONTH(BV$5,0),'制度詳細'!$I$25),EOMONTH(BV$5,0)),"■",IF(AND('制度詳細'!$J$25&lt;&gt;"",'制度詳細'!$J$25&gt;=BV$5,'制度詳細'!$J$25&lt;=EOMONTH(BV$5,0)),"◆","")))</x:f>
        <x:v>■</x:v>
      </x:c>
      <x:c r="BW25" s="57" t="str">
        <x:f>IF('制度詳細'!$H$25="",IF('制度詳細'!$J$25="","",IF(AND('制度詳細'!$J$25&gt;=BW$5,'制度詳細'!$J$25&lt;=EOMONTH(BW$5,0)),"◆","")),IF(MAX('制度詳細'!$H$25,BW$5)&lt;=MIN(IF('制度詳細'!$I$25="",EOMONTH(BW$5,0),'制度詳細'!$I$25),EOMONTH(BW$5,0)),"■",IF(AND('制度詳細'!$J$25&lt;&gt;"",'制度詳細'!$J$25&gt;=BW$5,'制度詳細'!$J$25&lt;=EOMONTH(BW$5,0)),"◆","")))</x:f>
        <x:v>■</x:v>
      </x:c>
      <x:c r="BX25" s="57" t="str">
        <x:f>IF('制度詳細'!$H$25="",IF('制度詳細'!$J$25="","",IF(AND('制度詳細'!$J$25&gt;=BX$5,'制度詳細'!$J$25&lt;=EOMONTH(BX$5,0)),"◆","")),IF(MAX('制度詳細'!$H$25,BX$5)&lt;=MIN(IF('制度詳細'!$I$25="",EOMONTH(BX$5,0),'制度詳細'!$I$25),EOMONTH(BX$5,0)),"■",IF(AND('制度詳細'!$J$25&lt;&gt;"",'制度詳細'!$J$25&gt;=BX$5,'制度詳細'!$J$25&lt;=EOMONTH(BX$5,0)),"◆","")))</x:f>
        <x:v>■</x:v>
      </x:c>
      <x:c r="BY25" s="57" t="str">
        <x:f>IF('制度詳細'!$H$25="",IF('制度詳細'!$J$25="","",IF(AND('制度詳細'!$J$25&gt;=BY$5,'制度詳細'!$J$25&lt;=EOMONTH(BY$5,0)),"◆","")),IF(MAX('制度詳細'!$H$25,BY$5)&lt;=MIN(IF('制度詳細'!$I$25="",EOMONTH(BY$5,0),'制度詳細'!$I$25),EOMONTH(BY$5,0)),"■",IF(AND('制度詳細'!$J$25&lt;&gt;"",'制度詳細'!$J$25&gt;=BY$5,'制度詳細'!$J$25&lt;=EOMONTH(BY$5,0)),"◆","")))</x:f>
        <x:v>■</x:v>
      </x:c>
      <x:c r="BZ25" s="57" t="str">
        <x:f>IF('制度詳細'!$H$25="",IF('制度詳細'!$J$25="","",IF(AND('制度詳細'!$J$25&gt;=BZ$5,'制度詳細'!$J$25&lt;=EOMONTH(BZ$5,0)),"◆","")),IF(MAX('制度詳細'!$H$25,BZ$5)&lt;=MIN(IF('制度詳細'!$I$25="",EOMONTH(BZ$5,0),'制度詳細'!$I$25),EOMONTH(BZ$5,0)),"■",IF(AND('制度詳細'!$J$25&lt;&gt;"",'制度詳細'!$J$25&gt;=BZ$5,'制度詳細'!$J$25&lt;=EOMONTH(BZ$5,0)),"◆","")))</x:f>
        <x:v>■</x:v>
      </x:c>
      <x:c r="CA25" s="57" t="str">
        <x:f>IF('制度詳細'!$H$25="",IF('制度詳細'!$J$25="","",IF(AND('制度詳細'!$J$25&gt;=CA$5,'制度詳細'!$J$25&lt;=EOMONTH(CA$5,0)),"◆","")),IF(MAX('制度詳細'!$H$25,CA$5)&lt;=MIN(IF('制度詳細'!$I$25="",EOMONTH(CA$5,0),'制度詳細'!$I$25),EOMONTH(CA$5,0)),"■",IF(AND('制度詳細'!$J$25&lt;&gt;"",'制度詳細'!$J$25&gt;=CA$5,'制度詳細'!$J$25&lt;=EOMONTH(CA$5,0)),"◆","")))</x:f>
        <x:v>■</x:v>
      </x:c>
      <x:c r="CB25" s="57" t="str">
        <x:f>IF('制度詳細'!$H$25="",IF('制度詳細'!$J$25="","",IF(AND('制度詳細'!$J$25&gt;=CB$5,'制度詳細'!$J$25&lt;=EOMONTH(CB$5,0)),"◆","")),IF(MAX('制度詳細'!$H$25,CB$5)&lt;=MIN(IF('制度詳細'!$I$25="",EOMONTH(CB$5,0),'制度詳細'!$I$25),EOMONTH(CB$5,0)),"■",IF(AND('制度詳細'!$J$25&lt;&gt;"",'制度詳細'!$J$25&gt;=CB$5,'制度詳細'!$J$25&lt;=EOMONTH(CB$5,0)),"◆","")))</x:f>
        <x:v>■</x:v>
      </x:c>
      <x:c r="CC25" s="57" t="str">
        <x:f>IF('制度詳細'!$H$25="",IF('制度詳細'!$J$25="","",IF(AND('制度詳細'!$J$25&gt;=CC$5,'制度詳細'!$J$25&lt;=EOMONTH(CC$5,0)),"◆","")),IF(MAX('制度詳細'!$H$25,CC$5)&lt;=MIN(IF('制度詳細'!$I$25="",EOMONTH(CC$5,0),'制度詳細'!$I$25),EOMONTH(CC$5,0)),"■",IF(AND('制度詳細'!$J$25&lt;&gt;"",'制度詳細'!$J$25&gt;=CC$5,'制度詳細'!$J$25&lt;=EOMONTH(CC$5,0)),"◆","")))</x:f>
        <x:v>■</x:v>
      </x:c>
      <x:c r="CD25" s="57" t="str">
        <x:f>IF('制度詳細'!$H$25="",IF('制度詳細'!$J$25="","",IF(AND('制度詳細'!$J$25&gt;=CD$5,'制度詳細'!$J$25&lt;=EOMONTH(CD$5,0)),"◆","")),IF(MAX('制度詳細'!$H$25,CD$5)&lt;=MIN(IF('制度詳細'!$I$25="",EOMONTH(CD$5,0),'制度詳細'!$I$25),EOMONTH(CD$5,0)),"■",IF(AND('制度詳細'!$J$25&lt;&gt;"",'制度詳細'!$J$25&gt;=CD$5,'制度詳細'!$J$25&lt;=EOMONTH(CD$5,0)),"◆","")))</x:f>
        <x:v>■</x:v>
      </x:c>
      <x:c r="CE25" s="57" t="str">
        <x:f>IF('制度詳細'!$H$25="",IF('制度詳細'!$J$25="","",IF(AND('制度詳細'!$J$25&gt;=CE$5,'制度詳細'!$J$25&lt;=EOMONTH(CE$5,0)),"◆","")),IF(MAX('制度詳細'!$H$25,CE$5)&lt;=MIN(IF('制度詳細'!$I$25="",EOMONTH(CE$5,0),'制度詳細'!$I$25),EOMONTH(CE$5,0)),"■",IF(AND('制度詳細'!$J$25&lt;&gt;"",'制度詳細'!$J$25&gt;=CE$5,'制度詳細'!$J$25&lt;=EOMONTH(CE$5,0)),"◆","")))</x:f>
        <x:v>■</x:v>
      </x:c>
      <x:c r="CF25" s="57" t="str">
        <x:f>IF('制度詳細'!$H$25="",IF('制度詳細'!$J$25="","",IF(AND('制度詳細'!$J$25&gt;=CF$5,'制度詳細'!$J$25&lt;=EOMONTH(CF$5,0)),"◆","")),IF(MAX('制度詳細'!$H$25,CF$5)&lt;=MIN(IF('制度詳細'!$I$25="",EOMONTH(CF$5,0),'制度詳細'!$I$25),EOMONTH(CF$5,0)),"■",IF(AND('制度詳細'!$J$25&lt;&gt;"",'制度詳細'!$J$25&gt;=CF$5,'制度詳細'!$J$25&lt;=EOMONTH(CF$5,0)),"◆","")))</x:f>
        <x:v>■</x:v>
      </x:c>
      <x:c r="CG25" s="57" t="str">
        <x:f>IF('制度詳細'!$H$25="",IF('制度詳細'!$J$25="","",IF(AND('制度詳細'!$J$25&gt;=CG$5,'制度詳細'!$J$25&lt;=EOMONTH(CG$5,0)),"◆","")),IF(MAX('制度詳細'!$H$25,CG$5)&lt;=MIN(IF('制度詳細'!$I$25="",EOMONTH(CG$5,0),'制度詳細'!$I$25),EOMONTH(CG$5,0)),"■",IF(AND('制度詳細'!$J$25&lt;&gt;"",'制度詳細'!$J$25&gt;=CG$5,'制度詳細'!$J$25&lt;=EOMONTH(CG$5,0)),"◆","")))</x:f>
        <x:v>■</x:v>
      </x:c>
      <x:c r="CH25" s="57" t="str">
        <x:f>IF('制度詳細'!$H$25="",IF('制度詳細'!$J$25="","",IF(AND('制度詳細'!$J$25&gt;=CH$5,'制度詳細'!$J$25&lt;=EOMONTH(CH$5,0)),"◆","")),IF(MAX('制度詳細'!$H$25,CH$5)&lt;=MIN(IF('制度詳細'!$I$25="",EOMONTH(CH$5,0),'制度詳細'!$I$25),EOMONTH(CH$5,0)),"■",IF(AND('制度詳細'!$J$25&lt;&gt;"",'制度詳細'!$J$25&gt;=CH$5,'制度詳細'!$J$25&lt;=EOMONTH(CH$5,0)),"◆","")))</x:f>
        <x:v>■</x:v>
      </x:c>
      <x:c r="CI25" s="57" t="str">
        <x:f>IF('制度詳細'!$H$25="",IF('制度詳細'!$J$25="","",IF(AND('制度詳細'!$J$25&gt;=CI$5,'制度詳細'!$J$25&lt;=EOMONTH(CI$5,0)),"◆","")),IF(MAX('制度詳細'!$H$25,CI$5)&lt;=MIN(IF('制度詳細'!$I$25="",EOMONTH(CI$5,0),'制度詳細'!$I$25),EOMONTH(CI$5,0)),"■",IF(AND('制度詳細'!$J$25&lt;&gt;"",'制度詳細'!$J$25&gt;=CI$5,'制度詳細'!$J$25&lt;=EOMONTH(CI$5,0)),"◆","")))</x:f>
        <x:v>■</x:v>
      </x:c>
      <x:c r="CJ25" s="57" t="str">
        <x:f>IF('制度詳細'!$H$25="",IF('制度詳細'!$J$25="","",IF(AND('制度詳細'!$J$25&gt;=CJ$5,'制度詳細'!$J$25&lt;=EOMONTH(CJ$5,0)),"◆","")),IF(MAX('制度詳細'!$H$25,CJ$5)&lt;=MIN(IF('制度詳細'!$I$25="",EOMONTH(CJ$5,0),'制度詳細'!$I$25),EOMONTH(CJ$5,0)),"■",IF(AND('制度詳細'!$J$25&lt;&gt;"",'制度詳細'!$J$25&gt;=CJ$5,'制度詳細'!$J$25&lt;=EOMONTH(CJ$5,0)),"◆","")))</x:f>
        <x:v>■</x:v>
      </x:c>
      <x:c r="CK25" s="57" t="str">
        <x:f>IF('制度詳細'!$H$25="",IF('制度詳細'!$J$25="","",IF(AND('制度詳細'!$J$25&gt;=CK$5,'制度詳細'!$J$25&lt;=EOMONTH(CK$5,0)),"◆","")),IF(MAX('制度詳細'!$H$25,CK$5)&lt;=MIN(IF('制度詳細'!$I$25="",EOMONTH(CK$5,0),'制度詳細'!$I$25),EOMONTH(CK$5,0)),"■",IF(AND('制度詳細'!$J$25&lt;&gt;"",'制度詳細'!$J$25&gt;=CK$5,'制度詳細'!$J$25&lt;=EOMONTH(CK$5,0)),"◆","")))</x:f>
        <x:v>■</x:v>
      </x:c>
      <x:c r="CL25" s="57" t="str">
        <x:f>IF('制度詳細'!$H$25="",IF('制度詳細'!$J$25="","",IF(AND('制度詳細'!$J$25&gt;=CL$5,'制度詳細'!$J$25&lt;=EOMONTH(CL$5,0)),"◆","")),IF(MAX('制度詳細'!$H$25,CL$5)&lt;=MIN(IF('制度詳細'!$I$25="",EOMONTH(CL$5,0),'制度詳細'!$I$25),EOMONTH(CL$5,0)),"■",IF(AND('制度詳細'!$J$25&lt;&gt;"",'制度詳細'!$J$25&gt;=CL$5,'制度詳細'!$J$25&lt;=EOMONTH(CL$5,0)),"◆","")))</x:f>
        <x:v>■</x:v>
      </x:c>
      <x:c r="CM25" s="57" t="str">
        <x:f>IF('制度詳細'!$H$25="",IF('制度詳細'!$J$25="","",IF(AND('制度詳細'!$J$25&gt;=CM$5,'制度詳細'!$J$25&lt;=EOMONTH(CM$5,0)),"◆","")),IF(MAX('制度詳細'!$H$25,CM$5)&lt;=MIN(IF('制度詳細'!$I$25="",EOMONTH(CM$5,0),'制度詳細'!$I$25),EOMONTH(CM$5,0)),"■",IF(AND('制度詳細'!$J$25&lt;&gt;"",'制度詳細'!$J$25&gt;=CM$5,'制度詳細'!$J$25&lt;=EOMONTH(CM$5,0)),"◆","")))</x:f>
        <x:v>■</x:v>
      </x:c>
      <x:c r="CN25" s="57" t="str">
        <x:f>IF('制度詳細'!$H$25="",IF('制度詳細'!$J$25="","",IF(AND('制度詳細'!$J$25&gt;=CN$5,'制度詳細'!$J$25&lt;=EOMONTH(CN$5,0)),"◆","")),IF(MAX('制度詳細'!$H$25,CN$5)&lt;=MIN(IF('制度詳細'!$I$25="",EOMONTH(CN$5,0),'制度詳細'!$I$25),EOMONTH(CN$5,0)),"■",IF(AND('制度詳細'!$J$25&lt;&gt;"",'制度詳細'!$J$25&gt;=CN$5,'制度詳細'!$J$25&lt;=EOMONTH(CN$5,0)),"◆","")))</x:f>
        <x:v>■</x:v>
      </x:c>
      <x:c r="CO25" s="57" t="str">
        <x:f>IF('制度詳細'!$H$25="",IF('制度詳細'!$J$25="","",IF(AND('制度詳細'!$J$25&gt;=CO$5,'制度詳細'!$J$25&lt;=EOMONTH(CO$5,0)),"◆","")),IF(MAX('制度詳細'!$H$25,CO$5)&lt;=MIN(IF('制度詳細'!$I$25="",EOMONTH(CO$5,0),'制度詳細'!$I$25),EOMONTH(CO$5,0)),"■",IF(AND('制度詳細'!$J$25&lt;&gt;"",'制度詳細'!$J$25&gt;=CO$5,'制度詳細'!$J$25&lt;=EOMONTH(CO$5,0)),"◆","")))</x:f>
        <x:v>■</x:v>
      </x:c>
      <x:c r="CP25" s="57" t="str">
        <x:f>IF('制度詳細'!$H$25="",IF('制度詳細'!$J$25="","",IF(AND('制度詳細'!$J$25&gt;=CP$5,'制度詳細'!$J$25&lt;=EOMONTH(CP$5,0)),"◆","")),IF(MAX('制度詳細'!$H$25,CP$5)&lt;=MIN(IF('制度詳細'!$I$25="",EOMONTH(CP$5,0),'制度詳細'!$I$25),EOMONTH(CP$5,0)),"■",IF(AND('制度詳細'!$J$25&lt;&gt;"",'制度詳細'!$J$25&gt;=CP$5,'制度詳細'!$J$25&lt;=EOMONTH(CP$5,0)),"◆","")))</x:f>
        <x:v>■</x:v>
      </x:c>
      <x:c r="CQ25" s="57" t="str">
        <x:f>IF('制度詳細'!$H$25="",IF('制度詳細'!$J$25="","",IF(AND('制度詳細'!$J$25&gt;=CQ$5,'制度詳細'!$J$25&lt;=EOMONTH(CQ$5,0)),"◆","")),IF(MAX('制度詳細'!$H$25,CQ$5)&lt;=MIN(IF('制度詳細'!$I$25="",EOMONTH(CQ$5,0),'制度詳細'!$I$25),EOMONTH(CQ$5,0)),"■",IF(AND('制度詳細'!$J$25&lt;&gt;"",'制度詳細'!$J$25&gt;=CQ$5,'制度詳細'!$J$25&lt;=EOMONTH(CQ$5,0)),"◆","")))</x:f>
        <x:v>■</x:v>
      </x:c>
      <x:c r="CR25" s="57" t="str">
        <x:f>IF('制度詳細'!$H$25="",IF('制度詳細'!$J$25="","",IF(AND('制度詳細'!$J$25&gt;=CR$5,'制度詳細'!$J$25&lt;=EOMONTH(CR$5,0)),"◆","")),IF(MAX('制度詳細'!$H$25,CR$5)&lt;=MIN(IF('制度詳細'!$I$25="",EOMONTH(CR$5,0),'制度詳細'!$I$25),EOMONTH(CR$5,0)),"■",IF(AND('制度詳細'!$J$25&lt;&gt;"",'制度詳細'!$J$25&gt;=CR$5,'制度詳細'!$J$25&lt;=EOMONTH(CR$5,0)),"◆","")))</x:f>
        <x:v>■</x:v>
      </x:c>
      <x:c r="CS25" s="57" t="str">
        <x:f>IF('制度詳細'!$H$25="",IF('制度詳細'!$J$25="","",IF(AND('制度詳細'!$J$25&gt;=CS$5,'制度詳細'!$J$25&lt;=EOMONTH(CS$5,0)),"◆","")),IF(MAX('制度詳細'!$H$25,CS$5)&lt;=MIN(IF('制度詳細'!$I$25="",EOMONTH(CS$5,0),'制度詳細'!$I$25),EOMONTH(CS$5,0)),"■",IF(AND('制度詳細'!$J$25&lt;&gt;"",'制度詳細'!$J$25&gt;=CS$5,'制度詳細'!$J$25&lt;=EOMONTH(CS$5,0)),"◆","")))</x:f>
        <x:v>■</x:v>
      </x:c>
      <x:c r="CT25" s="57" t="str">
        <x:f>IF('制度詳細'!$H$25="",IF('制度詳細'!$J$25="","",IF(AND('制度詳細'!$J$25&gt;=CT$5,'制度詳細'!$J$25&lt;=EOMONTH(CT$5,0)),"◆","")),IF(MAX('制度詳細'!$H$25,CT$5)&lt;=MIN(IF('制度詳細'!$I$25="",EOMONTH(CT$5,0),'制度詳細'!$I$25),EOMONTH(CT$5,0)),"■",IF(AND('制度詳細'!$J$25&lt;&gt;"",'制度詳細'!$J$25&gt;=CT$5,'制度詳細'!$J$25&lt;=EOMONTH(CT$5,0)),"◆","")))</x:f>
        <x:v>■</x:v>
      </x:c>
      <x:c r="CU25" s="57" t="str">
        <x:f>IF('制度詳細'!$H$25="",IF('制度詳細'!$J$25="","",IF(AND('制度詳細'!$J$25&gt;=CU$5,'制度詳細'!$J$25&lt;=EOMONTH(CU$5,0)),"◆","")),IF(MAX('制度詳細'!$H$25,CU$5)&lt;=MIN(IF('制度詳細'!$I$25="",EOMONTH(CU$5,0),'制度詳細'!$I$25),EOMONTH(CU$5,0)),"■",IF(AND('制度詳細'!$J$25&lt;&gt;"",'制度詳細'!$J$25&gt;=CU$5,'制度詳細'!$J$25&lt;=EOMONTH(CU$5,0)),"◆","")))</x:f>
        <x:v>■</x:v>
      </x:c>
      <x:c r="CV25" s="57" t="str">
        <x:f>IF('制度詳細'!$H$25="",IF('制度詳細'!$J$25="","",IF(AND('制度詳細'!$J$25&gt;=CV$5,'制度詳細'!$J$25&lt;=EOMONTH(CV$5,0)),"◆","")),IF(MAX('制度詳細'!$H$25,CV$5)&lt;=MIN(IF('制度詳細'!$I$25="",EOMONTH(CV$5,0),'制度詳細'!$I$25),EOMONTH(CV$5,0)),"■",IF(AND('制度詳細'!$J$25&lt;&gt;"",'制度詳細'!$J$25&gt;=CV$5,'制度詳細'!$J$25&lt;=EOMONTH(CV$5,0)),"◆","")))</x:f>
        <x:v>■</x:v>
      </x:c>
      <x:c r="CW25" s="1"/>
      <x:c r="CX25" s="1"/>
      <x:c r="CY25" s="1"/>
      <x:c r="CZ25" s="1"/>
      <x:c r="DA25" s="1"/>
      <x:c r="DB25" s="1"/>
      <x:c r="DC25" s="1"/>
      <x:c r="DD25" s="1"/>
    </x:row>
    <x:row r="26" ht="27" customHeight="1">
      <x:c r="A26" s="53" t="str">
        <x:v>MY03</x:v>
      </x:c>
      <x:c r="B26" s="53" t="str">
        <x:v>マレーシア</x:v>
      </x:c>
      <x:c r="C26" s="53" t="str">
        <x:v>CBU特別AP枠の終了</x:v>
      </x:c>
      <x:c r="D26" s="53" t="str">
        <x:v>BEV</x:v>
      </x:c>
      <x:c r="E26" s="57" t="str">
        <x:f>IF('制度詳細'!$H$26="",IF('制度詳細'!$J$26="","",IF(AND('制度詳細'!$J$26&gt;=E$5,'制度詳細'!$J$26&lt;=EOMONTH(E$5,0)),"◆","")),IF(MAX('制度詳細'!$H$26,E$5)&lt;=MIN(IF('制度詳細'!$I$26="",EOMONTH(E$5,0),'制度詳細'!$I$26),EOMONTH(E$5,0)),"■",IF(AND('制度詳細'!$J$26&lt;&gt;"",'制度詳細'!$J$26&gt;=E$5,'制度詳細'!$J$26&lt;=EOMONTH(E$5,0)),"◆","")))</x:f>
      </x:c>
      <x:c r="F26" s="57" t="str">
        <x:f>IF('制度詳細'!$H$26="",IF('制度詳細'!$J$26="","",IF(AND('制度詳細'!$J$26&gt;=F$5,'制度詳細'!$J$26&lt;=EOMONTH(F$5,0)),"◆","")),IF(MAX('制度詳細'!$H$26,F$5)&lt;=MIN(IF('制度詳細'!$I$26="",EOMONTH(F$5,0),'制度詳細'!$I$26),EOMONTH(F$5,0)),"■",IF(AND('制度詳細'!$J$26&lt;&gt;"",'制度詳細'!$J$26&gt;=F$5,'制度詳細'!$J$26&lt;=EOMONTH(F$5,0)),"◆","")))</x:f>
      </x:c>
      <x:c r="G26" s="57" t="str">
        <x:f>IF('制度詳細'!$H$26="",IF('制度詳細'!$J$26="","",IF(AND('制度詳細'!$J$26&gt;=G$5,'制度詳細'!$J$26&lt;=EOMONTH(G$5,0)),"◆","")),IF(MAX('制度詳細'!$H$26,G$5)&lt;=MIN(IF('制度詳細'!$I$26="",EOMONTH(G$5,0),'制度詳細'!$I$26),EOMONTH(G$5,0)),"■",IF(AND('制度詳細'!$J$26&lt;&gt;"",'制度詳細'!$J$26&gt;=G$5,'制度詳細'!$J$26&lt;=EOMONTH(G$5,0)),"◆","")))</x:f>
      </x:c>
      <x:c r="H26" s="57" t="str">
        <x:f>IF('制度詳細'!$H$26="",IF('制度詳細'!$J$26="","",IF(AND('制度詳細'!$J$26&gt;=H$5,'制度詳細'!$J$26&lt;=EOMONTH(H$5,0)),"◆","")),IF(MAX('制度詳細'!$H$26,H$5)&lt;=MIN(IF('制度詳細'!$I$26="",EOMONTH(H$5,0),'制度詳細'!$I$26),EOMONTH(H$5,0)),"■",IF(AND('制度詳細'!$J$26&lt;&gt;"",'制度詳細'!$J$26&gt;=H$5,'制度詳細'!$J$26&lt;=EOMONTH(H$5,0)),"◆","")))</x:f>
      </x:c>
      <x:c r="I26" s="57" t="str">
        <x:f>IF('制度詳細'!$H$26="",IF('制度詳細'!$J$26="","",IF(AND('制度詳細'!$J$26&gt;=I$5,'制度詳細'!$J$26&lt;=EOMONTH(I$5,0)),"◆","")),IF(MAX('制度詳細'!$H$26,I$5)&lt;=MIN(IF('制度詳細'!$I$26="",EOMONTH(I$5,0),'制度詳細'!$I$26),EOMONTH(I$5,0)),"■",IF(AND('制度詳細'!$J$26&lt;&gt;"",'制度詳細'!$J$26&gt;=I$5,'制度詳細'!$J$26&lt;=EOMONTH(I$5,0)),"◆","")))</x:f>
      </x:c>
      <x:c r="J26" s="57" t="str">
        <x:f>IF('制度詳細'!$H$26="",IF('制度詳細'!$J$26="","",IF(AND('制度詳細'!$J$26&gt;=J$5,'制度詳細'!$J$26&lt;=EOMONTH(J$5,0)),"◆","")),IF(MAX('制度詳細'!$H$26,J$5)&lt;=MIN(IF('制度詳細'!$I$26="",EOMONTH(J$5,0),'制度詳細'!$I$26),EOMONTH(J$5,0)),"■",IF(AND('制度詳細'!$J$26&lt;&gt;"",'制度詳細'!$J$26&gt;=J$5,'制度詳細'!$J$26&lt;=EOMONTH(J$5,0)),"◆","")))</x:f>
      </x:c>
      <x:c r="K26" s="57" t="str">
        <x:f>IF('制度詳細'!$H$26="",IF('制度詳細'!$J$26="","",IF(AND('制度詳細'!$J$26&gt;=K$5,'制度詳細'!$J$26&lt;=EOMONTH(K$5,0)),"◆","")),IF(MAX('制度詳細'!$H$26,K$5)&lt;=MIN(IF('制度詳細'!$I$26="",EOMONTH(K$5,0),'制度詳細'!$I$26),EOMONTH(K$5,0)),"■",IF(AND('制度詳細'!$J$26&lt;&gt;"",'制度詳細'!$J$26&gt;=K$5,'制度詳細'!$J$26&lt;=EOMONTH(K$5,0)),"◆","")))</x:f>
      </x:c>
      <x:c r="L26" s="57" t="str">
        <x:f>IF('制度詳細'!$H$26="",IF('制度詳細'!$J$26="","",IF(AND('制度詳細'!$J$26&gt;=L$5,'制度詳細'!$J$26&lt;=EOMONTH(L$5,0)),"◆","")),IF(MAX('制度詳細'!$H$26,L$5)&lt;=MIN(IF('制度詳細'!$I$26="",EOMONTH(L$5,0),'制度詳細'!$I$26),EOMONTH(L$5,0)),"■",IF(AND('制度詳細'!$J$26&lt;&gt;"",'制度詳細'!$J$26&gt;=L$5,'制度詳細'!$J$26&lt;=EOMONTH(L$5,0)),"◆","")))</x:f>
      </x:c>
      <x:c r="M26" s="57" t="str">
        <x:f>IF('制度詳細'!$H$26="",IF('制度詳細'!$J$26="","",IF(AND('制度詳細'!$J$26&gt;=M$5,'制度詳細'!$J$26&lt;=EOMONTH(M$5,0)),"◆","")),IF(MAX('制度詳細'!$H$26,M$5)&lt;=MIN(IF('制度詳細'!$I$26="",EOMONTH(M$5,0),'制度詳細'!$I$26),EOMONTH(M$5,0)),"■",IF(AND('制度詳細'!$J$26&lt;&gt;"",'制度詳細'!$J$26&gt;=M$5,'制度詳細'!$J$26&lt;=EOMONTH(M$5,0)),"◆","")))</x:f>
      </x:c>
      <x:c r="N26" s="57" t="str">
        <x:f>IF('制度詳細'!$H$26="",IF('制度詳細'!$J$26="","",IF(AND('制度詳細'!$J$26&gt;=N$5,'制度詳細'!$J$26&lt;=EOMONTH(N$5,0)),"◆","")),IF(MAX('制度詳細'!$H$26,N$5)&lt;=MIN(IF('制度詳細'!$I$26="",EOMONTH(N$5,0),'制度詳細'!$I$26),EOMONTH(N$5,0)),"■",IF(AND('制度詳細'!$J$26&lt;&gt;"",'制度詳細'!$J$26&gt;=N$5,'制度詳細'!$J$26&lt;=EOMONTH(N$5,0)),"◆","")))</x:f>
      </x:c>
      <x:c r="O26" s="57" t="str">
        <x:f>IF('制度詳細'!$H$26="",IF('制度詳細'!$J$26="","",IF(AND('制度詳細'!$J$26&gt;=O$5,'制度詳細'!$J$26&lt;=EOMONTH(O$5,0)),"◆","")),IF(MAX('制度詳細'!$H$26,O$5)&lt;=MIN(IF('制度詳細'!$I$26="",EOMONTH(O$5,0),'制度詳細'!$I$26),EOMONTH(O$5,0)),"■",IF(AND('制度詳細'!$J$26&lt;&gt;"",'制度詳細'!$J$26&gt;=O$5,'制度詳細'!$J$26&lt;=EOMONTH(O$5,0)),"◆","")))</x:f>
      </x:c>
      <x:c r="P26" s="57" t="str">
        <x:f>IF('制度詳細'!$H$26="",IF('制度詳細'!$J$26="","",IF(AND('制度詳細'!$J$26&gt;=P$5,'制度詳細'!$J$26&lt;=EOMONTH(P$5,0)),"◆","")),IF(MAX('制度詳細'!$H$26,P$5)&lt;=MIN(IF('制度詳細'!$I$26="",EOMONTH(P$5,0),'制度詳細'!$I$26),EOMONTH(P$5,0)),"■",IF(AND('制度詳細'!$J$26&lt;&gt;"",'制度詳細'!$J$26&gt;=P$5,'制度詳細'!$J$26&lt;=EOMONTH(P$5,0)),"◆","")))</x:f>
      </x:c>
      <x:c r="Q26" s="57" t="str">
        <x:f>IF('制度詳細'!$H$26="",IF('制度詳細'!$J$26="","",IF(AND('制度詳細'!$J$26&gt;=Q$5,'制度詳細'!$J$26&lt;=EOMONTH(Q$5,0)),"◆","")),IF(MAX('制度詳細'!$H$26,Q$5)&lt;=MIN(IF('制度詳細'!$I$26="",EOMONTH(Q$5,0),'制度詳細'!$I$26),EOMONTH(Q$5,0)),"■",IF(AND('制度詳細'!$J$26&lt;&gt;"",'制度詳細'!$J$26&gt;=Q$5,'制度詳細'!$J$26&lt;=EOMONTH(Q$5,0)),"◆","")))</x:f>
      </x:c>
      <x:c r="R26" s="57" t="str">
        <x:f>IF('制度詳細'!$H$26="",IF('制度詳細'!$J$26="","",IF(AND('制度詳細'!$J$26&gt;=R$5,'制度詳細'!$J$26&lt;=EOMONTH(R$5,0)),"◆","")),IF(MAX('制度詳細'!$H$26,R$5)&lt;=MIN(IF('制度詳細'!$I$26="",EOMONTH(R$5,0),'制度詳細'!$I$26),EOMONTH(R$5,0)),"■",IF(AND('制度詳細'!$J$26&lt;&gt;"",'制度詳細'!$J$26&gt;=R$5,'制度詳細'!$J$26&lt;=EOMONTH(R$5,0)),"◆","")))</x:f>
      </x:c>
      <x:c r="S26" s="57" t="str">
        <x:f>IF('制度詳細'!$H$26="",IF('制度詳細'!$J$26="","",IF(AND('制度詳細'!$J$26&gt;=S$5,'制度詳細'!$J$26&lt;=EOMONTH(S$5,0)),"◆","")),IF(MAX('制度詳細'!$H$26,S$5)&lt;=MIN(IF('制度詳細'!$I$26="",EOMONTH(S$5,0),'制度詳細'!$I$26),EOMONTH(S$5,0)),"■",IF(AND('制度詳細'!$J$26&lt;&gt;"",'制度詳細'!$J$26&gt;=S$5,'制度詳細'!$J$26&lt;=EOMONTH(S$5,0)),"◆","")))</x:f>
      </x:c>
      <x:c r="T26" s="57" t="str">
        <x:f>IF('制度詳細'!$H$26="",IF('制度詳細'!$J$26="","",IF(AND('制度詳細'!$J$26&gt;=T$5,'制度詳細'!$J$26&lt;=EOMONTH(T$5,0)),"◆","")),IF(MAX('制度詳細'!$H$26,T$5)&lt;=MIN(IF('制度詳細'!$I$26="",EOMONTH(T$5,0),'制度詳細'!$I$26),EOMONTH(T$5,0)),"■",IF(AND('制度詳細'!$J$26&lt;&gt;"",'制度詳細'!$J$26&gt;=T$5,'制度詳細'!$J$26&lt;=EOMONTH(T$5,0)),"◆","")))</x:f>
      </x:c>
      <x:c r="U26" s="57" t="str">
        <x:f>IF('制度詳細'!$H$26="",IF('制度詳細'!$J$26="","",IF(AND('制度詳細'!$J$26&gt;=U$5,'制度詳細'!$J$26&lt;=EOMONTH(U$5,0)),"◆","")),IF(MAX('制度詳細'!$H$26,U$5)&lt;=MIN(IF('制度詳細'!$I$26="",EOMONTH(U$5,0),'制度詳細'!$I$26),EOMONTH(U$5,0)),"■",IF(AND('制度詳細'!$J$26&lt;&gt;"",'制度詳細'!$J$26&gt;=U$5,'制度詳細'!$J$26&lt;=EOMONTH(U$5,0)),"◆","")))</x:f>
      </x:c>
      <x:c r="V26" s="57" t="str">
        <x:f>IF('制度詳細'!$H$26="",IF('制度詳細'!$J$26="","",IF(AND('制度詳細'!$J$26&gt;=V$5,'制度詳細'!$J$26&lt;=EOMONTH(V$5,0)),"◆","")),IF(MAX('制度詳細'!$H$26,V$5)&lt;=MIN(IF('制度詳細'!$I$26="",EOMONTH(V$5,0),'制度詳細'!$I$26),EOMONTH(V$5,0)),"■",IF(AND('制度詳細'!$J$26&lt;&gt;"",'制度詳細'!$J$26&gt;=V$5,'制度詳細'!$J$26&lt;=EOMONTH(V$5,0)),"◆","")))</x:f>
      </x:c>
      <x:c r="W26" s="57" t="str">
        <x:f>IF('制度詳細'!$H$26="",IF('制度詳細'!$J$26="","",IF(AND('制度詳細'!$J$26&gt;=W$5,'制度詳細'!$J$26&lt;=EOMONTH(W$5,0)),"◆","")),IF(MAX('制度詳細'!$H$26,W$5)&lt;=MIN(IF('制度詳細'!$I$26="",EOMONTH(W$5,0),'制度詳細'!$I$26),EOMONTH(W$5,0)),"■",IF(AND('制度詳細'!$J$26&lt;&gt;"",'制度詳細'!$J$26&gt;=W$5,'制度詳細'!$J$26&lt;=EOMONTH(W$5,0)),"◆","")))</x:f>
      </x:c>
      <x:c r="X26" s="57" t="str">
        <x:f>IF('制度詳細'!$H$26="",IF('制度詳細'!$J$26="","",IF(AND('制度詳細'!$J$26&gt;=X$5,'制度詳細'!$J$26&lt;=EOMONTH(X$5,0)),"◆","")),IF(MAX('制度詳細'!$H$26,X$5)&lt;=MIN(IF('制度詳細'!$I$26="",EOMONTH(X$5,0),'制度詳細'!$I$26),EOMONTH(X$5,0)),"■",IF(AND('制度詳細'!$J$26&lt;&gt;"",'制度詳細'!$J$26&gt;=X$5,'制度詳細'!$J$26&lt;=EOMONTH(X$5,0)),"◆","")))</x:f>
      </x:c>
      <x:c r="Y26" s="57" t="str">
        <x:f>IF('制度詳細'!$H$26="",IF('制度詳細'!$J$26="","",IF(AND('制度詳細'!$J$26&gt;=Y$5,'制度詳細'!$J$26&lt;=EOMONTH(Y$5,0)),"◆","")),IF(MAX('制度詳細'!$H$26,Y$5)&lt;=MIN(IF('制度詳細'!$I$26="",EOMONTH(Y$5,0),'制度詳細'!$I$26),EOMONTH(Y$5,0)),"■",IF(AND('制度詳細'!$J$26&lt;&gt;"",'制度詳細'!$J$26&gt;=Y$5,'制度詳細'!$J$26&lt;=EOMONTH(Y$5,0)),"◆","")))</x:f>
      </x:c>
      <x:c r="Z26" s="57" t="str">
        <x:f>IF('制度詳細'!$H$26="",IF('制度詳細'!$J$26="","",IF(AND('制度詳細'!$J$26&gt;=Z$5,'制度詳細'!$J$26&lt;=EOMONTH(Z$5,0)),"◆","")),IF(MAX('制度詳細'!$H$26,Z$5)&lt;=MIN(IF('制度詳細'!$I$26="",EOMONTH(Z$5,0),'制度詳細'!$I$26),EOMONTH(Z$5,0)),"■",IF(AND('制度詳細'!$J$26&lt;&gt;"",'制度詳細'!$J$26&gt;=Z$5,'制度詳細'!$J$26&lt;=EOMONTH(Z$5,0)),"◆","")))</x:f>
      </x:c>
      <x:c r="AA26" s="57" t="str">
        <x:f>IF('制度詳細'!$H$26="",IF('制度詳細'!$J$26="","",IF(AND('制度詳細'!$J$26&gt;=AA$5,'制度詳細'!$J$26&lt;=EOMONTH(AA$5,0)),"◆","")),IF(MAX('制度詳細'!$H$26,AA$5)&lt;=MIN(IF('制度詳細'!$I$26="",EOMONTH(AA$5,0),'制度詳細'!$I$26),EOMONTH(AA$5,0)),"■",IF(AND('制度詳細'!$J$26&lt;&gt;"",'制度詳細'!$J$26&gt;=AA$5,'制度詳細'!$J$26&lt;=EOMONTH(AA$5,0)),"◆","")))</x:f>
      </x:c>
      <x:c r="AB26" s="57" t="str">
        <x:f>IF('制度詳細'!$H$26="",IF('制度詳細'!$J$26="","",IF(AND('制度詳細'!$J$26&gt;=AB$5,'制度詳細'!$J$26&lt;=EOMONTH(AB$5,0)),"◆","")),IF(MAX('制度詳細'!$H$26,AB$5)&lt;=MIN(IF('制度詳細'!$I$26="",EOMONTH(AB$5,0),'制度詳細'!$I$26),EOMONTH(AB$5,0)),"■",IF(AND('制度詳細'!$J$26&lt;&gt;"",'制度詳細'!$J$26&gt;=AB$5,'制度詳細'!$J$26&lt;=EOMONTH(AB$5,0)),"◆","")))</x:f>
      </x:c>
      <x:c r="AC26" s="57" t="str">
        <x:f>IF('制度詳細'!$H$26="",IF('制度詳細'!$J$26="","",IF(AND('制度詳細'!$J$26&gt;=AC$5,'制度詳細'!$J$26&lt;=EOMONTH(AC$5,0)),"◆","")),IF(MAX('制度詳細'!$H$26,AC$5)&lt;=MIN(IF('制度詳細'!$I$26="",EOMONTH(AC$5,0),'制度詳細'!$I$26),EOMONTH(AC$5,0)),"■",IF(AND('制度詳細'!$J$26&lt;&gt;"",'制度詳細'!$J$26&gt;=AC$5,'制度詳細'!$J$26&lt;=EOMONTH(AC$5,0)),"◆","")))</x:f>
      </x:c>
      <x:c r="AD26" s="57" t="str">
        <x:f>IF('制度詳細'!$H$26="",IF('制度詳細'!$J$26="","",IF(AND('制度詳細'!$J$26&gt;=AD$5,'制度詳細'!$J$26&lt;=EOMONTH(AD$5,0)),"◆","")),IF(MAX('制度詳細'!$H$26,AD$5)&lt;=MIN(IF('制度詳細'!$I$26="",EOMONTH(AD$5,0),'制度詳細'!$I$26),EOMONTH(AD$5,0)),"■",IF(AND('制度詳細'!$J$26&lt;&gt;"",'制度詳細'!$J$26&gt;=AD$5,'制度詳細'!$J$26&lt;=EOMONTH(AD$5,0)),"◆","")))</x:f>
      </x:c>
      <x:c r="AE26" s="57" t="str">
        <x:f>IF('制度詳細'!$H$26="",IF('制度詳細'!$J$26="","",IF(AND('制度詳細'!$J$26&gt;=AE$5,'制度詳細'!$J$26&lt;=EOMONTH(AE$5,0)),"◆","")),IF(MAX('制度詳細'!$H$26,AE$5)&lt;=MIN(IF('制度詳細'!$I$26="",EOMONTH(AE$5,0),'制度詳細'!$I$26),EOMONTH(AE$5,0)),"■",IF(AND('制度詳細'!$J$26&lt;&gt;"",'制度詳細'!$J$26&gt;=AE$5,'制度詳細'!$J$26&lt;=EOMONTH(AE$5,0)),"◆","")))</x:f>
      </x:c>
      <x:c r="AF26" s="57" t="str">
        <x:f>IF('制度詳細'!$H$26="",IF('制度詳細'!$J$26="","",IF(AND('制度詳細'!$J$26&gt;=AF$5,'制度詳細'!$J$26&lt;=EOMONTH(AF$5,0)),"◆","")),IF(MAX('制度詳細'!$H$26,AF$5)&lt;=MIN(IF('制度詳細'!$I$26="",EOMONTH(AF$5,0),'制度詳細'!$I$26),EOMONTH(AF$5,0)),"■",IF(AND('制度詳細'!$J$26&lt;&gt;"",'制度詳細'!$J$26&gt;=AF$5,'制度詳細'!$J$26&lt;=EOMONTH(AF$5,0)),"◆","")))</x:f>
      </x:c>
      <x:c r="AG26" s="57" t="str">
        <x:f>IF('制度詳細'!$H$26="",IF('制度詳細'!$J$26="","",IF(AND('制度詳細'!$J$26&gt;=AG$5,'制度詳細'!$J$26&lt;=EOMONTH(AG$5,0)),"◆","")),IF(MAX('制度詳細'!$H$26,AG$5)&lt;=MIN(IF('制度詳細'!$I$26="",EOMONTH(AG$5,0),'制度詳細'!$I$26),EOMONTH(AG$5,0)),"■",IF(AND('制度詳細'!$J$26&lt;&gt;"",'制度詳細'!$J$26&gt;=AG$5,'制度詳細'!$J$26&lt;=EOMONTH(AG$5,0)),"◆","")))</x:f>
      </x:c>
      <x:c r="AH26" s="57" t="str">
        <x:f>IF('制度詳細'!$H$26="",IF('制度詳細'!$J$26="","",IF(AND('制度詳細'!$J$26&gt;=AH$5,'制度詳細'!$J$26&lt;=EOMONTH(AH$5,0)),"◆","")),IF(MAX('制度詳細'!$H$26,AH$5)&lt;=MIN(IF('制度詳細'!$I$26="",EOMONTH(AH$5,0),'制度詳細'!$I$26),EOMONTH(AH$5,0)),"■",IF(AND('制度詳細'!$J$26&lt;&gt;"",'制度詳細'!$J$26&gt;=AH$5,'制度詳細'!$J$26&lt;=EOMONTH(AH$5,0)),"◆","")))</x:f>
      </x:c>
      <x:c r="AI26" s="57" t="str">
        <x:f>IF('制度詳細'!$H$26="",IF('制度詳細'!$J$26="","",IF(AND('制度詳細'!$J$26&gt;=AI$5,'制度詳細'!$J$26&lt;=EOMONTH(AI$5,0)),"◆","")),IF(MAX('制度詳細'!$H$26,AI$5)&lt;=MIN(IF('制度詳細'!$I$26="",EOMONTH(AI$5,0),'制度詳細'!$I$26),EOMONTH(AI$5,0)),"■",IF(AND('制度詳細'!$J$26&lt;&gt;"",'制度詳細'!$J$26&gt;=AI$5,'制度詳細'!$J$26&lt;=EOMONTH(AI$5,0)),"◆","")))</x:f>
      </x:c>
      <x:c r="AJ26" s="57" t="str">
        <x:f>IF('制度詳細'!$H$26="",IF('制度詳細'!$J$26="","",IF(AND('制度詳細'!$J$26&gt;=AJ$5,'制度詳細'!$J$26&lt;=EOMONTH(AJ$5,0)),"◆","")),IF(MAX('制度詳細'!$H$26,AJ$5)&lt;=MIN(IF('制度詳細'!$I$26="",EOMONTH(AJ$5,0),'制度詳細'!$I$26),EOMONTH(AJ$5,0)),"■",IF(AND('制度詳細'!$J$26&lt;&gt;"",'制度詳細'!$J$26&gt;=AJ$5,'制度詳細'!$J$26&lt;=EOMONTH(AJ$5,0)),"◆","")))</x:f>
      </x:c>
      <x:c r="AK26" s="57" t="str">
        <x:f>IF('制度詳細'!$H$26="",IF('制度詳細'!$J$26="","",IF(AND('制度詳細'!$J$26&gt;=AK$5,'制度詳細'!$J$26&lt;=EOMONTH(AK$5,0)),"◆","")),IF(MAX('制度詳細'!$H$26,AK$5)&lt;=MIN(IF('制度詳細'!$I$26="",EOMONTH(AK$5,0),'制度詳細'!$I$26),EOMONTH(AK$5,0)),"■",IF(AND('制度詳細'!$J$26&lt;&gt;"",'制度詳細'!$J$26&gt;=AK$5,'制度詳細'!$J$26&lt;=EOMONTH(AK$5,0)),"◆","")))</x:f>
      </x:c>
      <x:c r="AL26" s="57" t="str">
        <x:f>IF('制度詳細'!$H$26="",IF('制度詳細'!$J$26="","",IF(AND('制度詳細'!$J$26&gt;=AL$5,'制度詳細'!$J$26&lt;=EOMONTH(AL$5,0)),"◆","")),IF(MAX('制度詳細'!$H$26,AL$5)&lt;=MIN(IF('制度詳細'!$I$26="",EOMONTH(AL$5,0),'制度詳細'!$I$26),EOMONTH(AL$5,0)),"■",IF(AND('制度詳細'!$J$26&lt;&gt;"",'制度詳細'!$J$26&gt;=AL$5,'制度詳細'!$J$26&lt;=EOMONTH(AL$5,0)),"◆","")))</x:f>
      </x:c>
      <x:c r="AM26" s="57" t="str">
        <x:f>IF('制度詳細'!$H$26="",IF('制度詳細'!$J$26="","",IF(AND('制度詳細'!$J$26&gt;=AM$5,'制度詳細'!$J$26&lt;=EOMONTH(AM$5,0)),"◆","")),IF(MAX('制度詳細'!$H$26,AM$5)&lt;=MIN(IF('制度詳細'!$I$26="",EOMONTH(AM$5,0),'制度詳細'!$I$26),EOMONTH(AM$5,0)),"■",IF(AND('制度詳細'!$J$26&lt;&gt;"",'制度詳細'!$J$26&gt;=AM$5,'制度詳細'!$J$26&lt;=EOMONTH(AM$5,0)),"◆","")))</x:f>
      </x:c>
      <x:c r="AN26" s="57" t="str">
        <x:f>IF('制度詳細'!$H$26="",IF('制度詳細'!$J$26="","",IF(AND('制度詳細'!$J$26&gt;=AN$5,'制度詳細'!$J$26&lt;=EOMONTH(AN$5,0)),"◆","")),IF(MAX('制度詳細'!$H$26,AN$5)&lt;=MIN(IF('制度詳細'!$I$26="",EOMONTH(AN$5,0),'制度詳細'!$I$26),EOMONTH(AN$5,0)),"■",IF(AND('制度詳細'!$J$26&lt;&gt;"",'制度詳細'!$J$26&gt;=AN$5,'制度詳細'!$J$26&lt;=EOMONTH(AN$5,0)),"◆","")))</x:f>
      </x:c>
      <x:c r="AO26" s="57" t="str">
        <x:f>IF('制度詳細'!$H$26="",IF('制度詳細'!$J$26="","",IF(AND('制度詳細'!$J$26&gt;=AO$5,'制度詳細'!$J$26&lt;=EOMONTH(AO$5,0)),"◆","")),IF(MAX('制度詳細'!$H$26,AO$5)&lt;=MIN(IF('制度詳細'!$I$26="",EOMONTH(AO$5,0),'制度詳細'!$I$26),EOMONTH(AO$5,0)),"■",IF(AND('制度詳細'!$J$26&lt;&gt;"",'制度詳細'!$J$26&gt;=AO$5,'制度詳細'!$J$26&lt;=EOMONTH(AO$5,0)),"◆","")))</x:f>
      </x:c>
      <x:c r="AP26" s="57" t="str">
        <x:f>IF('制度詳細'!$H$26="",IF('制度詳細'!$J$26="","",IF(AND('制度詳細'!$J$26&gt;=AP$5,'制度詳細'!$J$26&lt;=EOMONTH(AP$5,0)),"◆","")),IF(MAX('制度詳細'!$H$26,AP$5)&lt;=MIN(IF('制度詳細'!$I$26="",EOMONTH(AP$5,0),'制度詳細'!$I$26),EOMONTH(AP$5,0)),"■",IF(AND('制度詳細'!$J$26&lt;&gt;"",'制度詳細'!$J$26&gt;=AP$5,'制度詳細'!$J$26&lt;=EOMONTH(AP$5,0)),"◆","")))</x:f>
      </x:c>
      <x:c r="AQ26" s="57" t="str">
        <x:f>IF('制度詳細'!$H$26="",IF('制度詳細'!$J$26="","",IF(AND('制度詳細'!$J$26&gt;=AQ$5,'制度詳細'!$J$26&lt;=EOMONTH(AQ$5,0)),"◆","")),IF(MAX('制度詳細'!$H$26,AQ$5)&lt;=MIN(IF('制度詳細'!$I$26="",EOMONTH(AQ$5,0),'制度詳細'!$I$26),EOMONTH(AQ$5,0)),"■",IF(AND('制度詳細'!$J$26&lt;&gt;"",'制度詳細'!$J$26&gt;=AQ$5,'制度詳細'!$J$26&lt;=EOMONTH(AQ$5,0)),"◆","")))</x:f>
      </x:c>
      <x:c r="AR26" s="57" t="str">
        <x:f>IF('制度詳細'!$H$26="",IF('制度詳細'!$J$26="","",IF(AND('制度詳細'!$J$26&gt;=AR$5,'制度詳細'!$J$26&lt;=EOMONTH(AR$5,0)),"◆","")),IF(MAX('制度詳細'!$H$26,AR$5)&lt;=MIN(IF('制度詳細'!$I$26="",EOMONTH(AR$5,0),'制度詳細'!$I$26),EOMONTH(AR$5,0)),"■",IF(AND('制度詳細'!$J$26&lt;&gt;"",'制度詳細'!$J$26&gt;=AR$5,'制度詳細'!$J$26&lt;=EOMONTH(AR$5,0)),"◆","")))</x:f>
      </x:c>
      <x:c r="AS26" s="57" t="str">
        <x:f>IF('制度詳細'!$H$26="",IF('制度詳細'!$J$26="","",IF(AND('制度詳細'!$J$26&gt;=AS$5,'制度詳細'!$J$26&lt;=EOMONTH(AS$5,0)),"◆","")),IF(MAX('制度詳細'!$H$26,AS$5)&lt;=MIN(IF('制度詳細'!$I$26="",EOMONTH(AS$5,0),'制度詳細'!$I$26),EOMONTH(AS$5,0)),"■",IF(AND('制度詳細'!$J$26&lt;&gt;"",'制度詳細'!$J$26&gt;=AS$5,'制度詳細'!$J$26&lt;=EOMONTH(AS$5,0)),"◆","")))</x:f>
      </x:c>
      <x:c r="AT26" s="57" t="str">
        <x:f>IF('制度詳細'!$H$26="",IF('制度詳細'!$J$26="","",IF(AND('制度詳細'!$J$26&gt;=AT$5,'制度詳細'!$J$26&lt;=EOMONTH(AT$5,0)),"◆","")),IF(MAX('制度詳細'!$H$26,AT$5)&lt;=MIN(IF('制度詳細'!$I$26="",EOMONTH(AT$5,0),'制度詳細'!$I$26),EOMONTH(AT$5,0)),"■",IF(AND('制度詳細'!$J$26&lt;&gt;"",'制度詳細'!$J$26&gt;=AT$5,'制度詳細'!$J$26&lt;=EOMONTH(AT$5,0)),"◆","")))</x:f>
      </x:c>
      <x:c r="AU26" s="57" t="str">
        <x:f>IF('制度詳細'!$H$26="",IF('制度詳細'!$J$26="","",IF(AND('制度詳細'!$J$26&gt;=AU$5,'制度詳細'!$J$26&lt;=EOMONTH(AU$5,0)),"◆","")),IF(MAX('制度詳細'!$H$26,AU$5)&lt;=MIN(IF('制度詳細'!$I$26="",EOMONTH(AU$5,0),'制度詳細'!$I$26),EOMONTH(AU$5,0)),"■",IF(AND('制度詳細'!$J$26&lt;&gt;"",'制度詳細'!$J$26&gt;=AU$5,'制度詳細'!$J$26&lt;=EOMONTH(AU$5,0)),"◆","")))</x:f>
      </x:c>
      <x:c r="AV26" s="57" t="str">
        <x:f>IF('制度詳細'!$H$26="",IF('制度詳細'!$J$26="","",IF(AND('制度詳細'!$J$26&gt;=AV$5,'制度詳細'!$J$26&lt;=EOMONTH(AV$5,0)),"◆","")),IF(MAX('制度詳細'!$H$26,AV$5)&lt;=MIN(IF('制度詳細'!$I$26="",EOMONTH(AV$5,0),'制度詳細'!$I$26),EOMONTH(AV$5,0)),"■",IF(AND('制度詳細'!$J$26&lt;&gt;"",'制度詳細'!$J$26&gt;=AV$5,'制度詳細'!$J$26&lt;=EOMONTH(AV$5,0)),"◆","")))</x:f>
      </x:c>
      <x:c r="AW26" s="57" t="str">
        <x:f>IF('制度詳細'!$H$26="",IF('制度詳細'!$J$26="","",IF(AND('制度詳細'!$J$26&gt;=AW$5,'制度詳細'!$J$26&lt;=EOMONTH(AW$5,0)),"◆","")),IF(MAX('制度詳細'!$H$26,AW$5)&lt;=MIN(IF('制度詳細'!$I$26="",EOMONTH(AW$5,0),'制度詳細'!$I$26),EOMONTH(AW$5,0)),"■",IF(AND('制度詳細'!$J$26&lt;&gt;"",'制度詳細'!$J$26&gt;=AW$5,'制度詳細'!$J$26&lt;=EOMONTH(AW$5,0)),"◆","")))</x:f>
      </x:c>
      <x:c r="AX26" s="57" t="str">
        <x:f>IF('制度詳細'!$H$26="",IF('制度詳細'!$J$26="","",IF(AND('制度詳細'!$J$26&gt;=AX$5,'制度詳細'!$J$26&lt;=EOMONTH(AX$5,0)),"◆","")),IF(MAX('制度詳細'!$H$26,AX$5)&lt;=MIN(IF('制度詳細'!$I$26="",EOMONTH(AX$5,0),'制度詳細'!$I$26),EOMONTH(AX$5,0)),"■",IF(AND('制度詳細'!$J$26&lt;&gt;"",'制度詳細'!$J$26&gt;=AX$5,'制度詳細'!$J$26&lt;=EOMONTH(AX$5,0)),"◆","")))</x:f>
      </x:c>
      <x:c r="AY26" s="57" t="str">
        <x:f>IF('制度詳細'!$H$26="",IF('制度詳細'!$J$26="","",IF(AND('制度詳細'!$J$26&gt;=AY$5,'制度詳細'!$J$26&lt;=EOMONTH(AY$5,0)),"◆","")),IF(MAX('制度詳細'!$H$26,AY$5)&lt;=MIN(IF('制度詳細'!$I$26="",EOMONTH(AY$5,0),'制度詳細'!$I$26),EOMONTH(AY$5,0)),"■",IF(AND('制度詳細'!$J$26&lt;&gt;"",'制度詳細'!$J$26&gt;=AY$5,'制度詳細'!$J$26&lt;=EOMONTH(AY$5,0)),"◆","")))</x:f>
      </x:c>
      <x:c r="AZ26" s="57" t="str">
        <x:f>IF('制度詳細'!$H$26="",IF('制度詳細'!$J$26="","",IF(AND('制度詳細'!$J$26&gt;=AZ$5,'制度詳細'!$J$26&lt;=EOMONTH(AZ$5,0)),"◆","")),IF(MAX('制度詳細'!$H$26,AZ$5)&lt;=MIN(IF('制度詳細'!$I$26="",EOMONTH(AZ$5,0),'制度詳細'!$I$26),EOMONTH(AZ$5,0)),"■",IF(AND('制度詳細'!$J$26&lt;&gt;"",'制度詳細'!$J$26&gt;=AZ$5,'制度詳細'!$J$26&lt;=EOMONTH(AZ$5,0)),"◆","")))</x:f>
      </x:c>
      <x:c r="BA26" s="57" t="str">
        <x:f>IF('制度詳細'!$H$26="",IF('制度詳細'!$J$26="","",IF(AND('制度詳細'!$J$26&gt;=BA$5,'制度詳細'!$J$26&lt;=EOMONTH(BA$5,0)),"◆","")),IF(MAX('制度詳細'!$H$26,BA$5)&lt;=MIN(IF('制度詳細'!$I$26="",EOMONTH(BA$5,0),'制度詳細'!$I$26),EOMONTH(BA$5,0)),"■",IF(AND('制度詳細'!$J$26&lt;&gt;"",'制度詳細'!$J$26&gt;=BA$5,'制度詳細'!$J$26&lt;=EOMONTH(BA$5,0)),"◆","")))</x:f>
      </x:c>
      <x:c r="BB26" s="57" t="str">
        <x:f>IF('制度詳細'!$H$26="",IF('制度詳細'!$J$26="","",IF(AND('制度詳細'!$J$26&gt;=BB$5,'制度詳細'!$J$26&lt;=EOMONTH(BB$5,0)),"◆","")),IF(MAX('制度詳細'!$H$26,BB$5)&lt;=MIN(IF('制度詳細'!$I$26="",EOMONTH(BB$5,0),'制度詳細'!$I$26),EOMONTH(BB$5,0)),"■",IF(AND('制度詳細'!$J$26&lt;&gt;"",'制度詳細'!$J$26&gt;=BB$5,'制度詳細'!$J$26&lt;=EOMONTH(BB$5,0)),"◆","")))</x:f>
      </x:c>
      <x:c r="BC26" s="57" t="str">
        <x:f>IF('制度詳細'!$H$26="",IF('制度詳細'!$J$26="","",IF(AND('制度詳細'!$J$26&gt;=BC$5,'制度詳細'!$J$26&lt;=EOMONTH(BC$5,0)),"◆","")),IF(MAX('制度詳細'!$H$26,BC$5)&lt;=MIN(IF('制度詳細'!$I$26="",EOMONTH(BC$5,0),'制度詳細'!$I$26),EOMONTH(BC$5,0)),"■",IF(AND('制度詳細'!$J$26&lt;&gt;"",'制度詳細'!$J$26&gt;=BC$5,'制度詳細'!$J$26&lt;=EOMONTH(BC$5,0)),"◆","")))</x:f>
      </x:c>
      <x:c r="BD26" s="57" t="str">
        <x:f>IF('制度詳細'!$H$26="",IF('制度詳細'!$J$26="","",IF(AND('制度詳細'!$J$26&gt;=BD$5,'制度詳細'!$J$26&lt;=EOMONTH(BD$5,0)),"◆","")),IF(MAX('制度詳細'!$H$26,BD$5)&lt;=MIN(IF('制度詳細'!$I$26="",EOMONTH(BD$5,0),'制度詳細'!$I$26),EOMONTH(BD$5,0)),"■",IF(AND('制度詳細'!$J$26&lt;&gt;"",'制度詳細'!$J$26&gt;=BD$5,'制度詳細'!$J$26&lt;=EOMONTH(BD$5,0)),"◆","")))</x:f>
      </x:c>
      <x:c r="BE26" s="57" t="str">
        <x:f>IF('制度詳細'!$H$26="",IF('制度詳細'!$J$26="","",IF(AND('制度詳細'!$J$26&gt;=BE$5,'制度詳細'!$J$26&lt;=EOMONTH(BE$5,0)),"◆","")),IF(MAX('制度詳細'!$H$26,BE$5)&lt;=MIN(IF('制度詳細'!$I$26="",EOMONTH(BE$5,0),'制度詳細'!$I$26),EOMONTH(BE$5,0)),"■",IF(AND('制度詳細'!$J$26&lt;&gt;"",'制度詳細'!$J$26&gt;=BE$5,'制度詳細'!$J$26&lt;=EOMONTH(BE$5,0)),"◆","")))</x:f>
      </x:c>
      <x:c r="BF26" s="57" t="str">
        <x:f>IF('制度詳細'!$H$26="",IF('制度詳細'!$J$26="","",IF(AND('制度詳細'!$J$26&gt;=BF$5,'制度詳細'!$J$26&lt;=EOMONTH(BF$5,0)),"◆","")),IF(MAX('制度詳細'!$H$26,BF$5)&lt;=MIN(IF('制度詳細'!$I$26="",EOMONTH(BF$5,0),'制度詳細'!$I$26),EOMONTH(BF$5,0)),"■",IF(AND('制度詳細'!$J$26&lt;&gt;"",'制度詳細'!$J$26&gt;=BF$5,'制度詳細'!$J$26&lt;=EOMONTH(BF$5,0)),"◆","")))</x:f>
      </x:c>
      <x:c r="BG26" s="57" t="str">
        <x:f>IF('制度詳細'!$H$26="",IF('制度詳細'!$J$26="","",IF(AND('制度詳細'!$J$26&gt;=BG$5,'制度詳細'!$J$26&lt;=EOMONTH(BG$5,0)),"◆","")),IF(MAX('制度詳細'!$H$26,BG$5)&lt;=MIN(IF('制度詳細'!$I$26="",EOMONTH(BG$5,0),'制度詳細'!$I$26),EOMONTH(BG$5,0)),"■",IF(AND('制度詳細'!$J$26&lt;&gt;"",'制度詳細'!$J$26&gt;=BG$5,'制度詳細'!$J$26&lt;=EOMONTH(BG$5,0)),"◆","")))</x:f>
      </x:c>
      <x:c r="BH26" s="57" t="str">
        <x:f>IF('制度詳細'!$H$26="",IF('制度詳細'!$J$26="","",IF(AND('制度詳細'!$J$26&gt;=BH$5,'制度詳細'!$J$26&lt;=EOMONTH(BH$5,0)),"◆","")),IF(MAX('制度詳細'!$H$26,BH$5)&lt;=MIN(IF('制度詳細'!$I$26="",EOMONTH(BH$5,0),'制度詳細'!$I$26),EOMONTH(BH$5,0)),"■",IF(AND('制度詳細'!$J$26&lt;&gt;"",'制度詳細'!$J$26&gt;=BH$5,'制度詳細'!$J$26&lt;=EOMONTH(BH$5,0)),"◆","")))</x:f>
      </x:c>
      <x:c r="BI26" s="57" t="str">
        <x:f>IF('制度詳細'!$H$26="",IF('制度詳細'!$J$26="","",IF(AND('制度詳細'!$J$26&gt;=BI$5,'制度詳細'!$J$26&lt;=EOMONTH(BI$5,0)),"◆","")),IF(MAX('制度詳細'!$H$26,BI$5)&lt;=MIN(IF('制度詳細'!$I$26="",EOMONTH(BI$5,0),'制度詳細'!$I$26),EOMONTH(BI$5,0)),"■",IF(AND('制度詳細'!$J$26&lt;&gt;"",'制度詳細'!$J$26&gt;=BI$5,'制度詳細'!$J$26&lt;=EOMONTH(BI$5,0)),"◆","")))</x:f>
      </x:c>
      <x:c r="BJ26" s="57" t="str">
        <x:f>IF('制度詳細'!$H$26="",IF('制度詳細'!$J$26="","",IF(AND('制度詳細'!$J$26&gt;=BJ$5,'制度詳細'!$J$26&lt;=EOMONTH(BJ$5,0)),"◆","")),IF(MAX('制度詳細'!$H$26,BJ$5)&lt;=MIN(IF('制度詳細'!$I$26="",EOMONTH(BJ$5,0),'制度詳細'!$I$26),EOMONTH(BJ$5,0)),"■",IF(AND('制度詳細'!$J$26&lt;&gt;"",'制度詳細'!$J$26&gt;=BJ$5,'制度詳細'!$J$26&lt;=EOMONTH(BJ$5,0)),"◆","")))</x:f>
      </x:c>
      <x:c r="BK26" s="57" t="str">
        <x:f>IF('制度詳細'!$H$26="",IF('制度詳細'!$J$26="","",IF(AND('制度詳細'!$J$26&gt;=BK$5,'制度詳細'!$J$26&lt;=EOMONTH(BK$5,0)),"◆","")),IF(MAX('制度詳細'!$H$26,BK$5)&lt;=MIN(IF('制度詳細'!$I$26="",EOMONTH(BK$5,0),'制度詳細'!$I$26),EOMONTH(BK$5,0)),"■",IF(AND('制度詳細'!$J$26&lt;&gt;"",'制度詳細'!$J$26&gt;=BK$5,'制度詳細'!$J$26&lt;=EOMONTH(BK$5,0)),"◆","")))</x:f>
      </x:c>
      <x:c r="BL26" s="57" t="str">
        <x:f>IF('制度詳細'!$H$26="",IF('制度詳細'!$J$26="","",IF(AND('制度詳細'!$J$26&gt;=BL$5,'制度詳細'!$J$26&lt;=EOMONTH(BL$5,0)),"◆","")),IF(MAX('制度詳細'!$H$26,BL$5)&lt;=MIN(IF('制度詳細'!$I$26="",EOMONTH(BL$5,0),'制度詳細'!$I$26),EOMONTH(BL$5,0)),"■",IF(AND('制度詳細'!$J$26&lt;&gt;"",'制度詳細'!$J$26&gt;=BL$5,'制度詳細'!$J$26&lt;=EOMONTH(BL$5,0)),"◆","")))</x:f>
      </x:c>
      <x:c r="BM26" s="57" t="str">
        <x:f>IF('制度詳細'!$H$26="",IF('制度詳細'!$J$26="","",IF(AND('制度詳細'!$J$26&gt;=BM$5,'制度詳細'!$J$26&lt;=EOMONTH(BM$5,0)),"◆","")),IF(MAX('制度詳細'!$H$26,BM$5)&lt;=MIN(IF('制度詳細'!$I$26="",EOMONTH(BM$5,0),'制度詳細'!$I$26),EOMONTH(BM$5,0)),"■",IF(AND('制度詳細'!$J$26&lt;&gt;"",'制度詳細'!$J$26&gt;=BM$5,'制度詳細'!$J$26&lt;=EOMONTH(BM$5,0)),"◆","")))</x:f>
      </x:c>
      <x:c r="BN26" s="57" t="str">
        <x:f>IF('制度詳細'!$H$26="",IF('制度詳細'!$J$26="","",IF(AND('制度詳細'!$J$26&gt;=BN$5,'制度詳細'!$J$26&lt;=EOMONTH(BN$5,0)),"◆","")),IF(MAX('制度詳細'!$H$26,BN$5)&lt;=MIN(IF('制度詳細'!$I$26="",EOMONTH(BN$5,0),'制度詳細'!$I$26),EOMONTH(BN$5,0)),"■",IF(AND('制度詳細'!$J$26&lt;&gt;"",'制度詳細'!$J$26&gt;=BN$5,'制度詳細'!$J$26&lt;=EOMONTH(BN$5,0)),"◆","")))</x:f>
      </x:c>
      <x:c r="BO26" s="57" t="str">
        <x:f>IF('制度詳細'!$H$26="",IF('制度詳細'!$J$26="","",IF(AND('制度詳細'!$J$26&gt;=BO$5,'制度詳細'!$J$26&lt;=EOMONTH(BO$5,0)),"◆","")),IF(MAX('制度詳細'!$H$26,BO$5)&lt;=MIN(IF('制度詳細'!$I$26="",EOMONTH(BO$5,0),'制度詳細'!$I$26),EOMONTH(BO$5,0)),"■",IF(AND('制度詳細'!$J$26&lt;&gt;"",'制度詳細'!$J$26&gt;=BO$5,'制度詳細'!$J$26&lt;=EOMONTH(BO$5,0)),"◆","")))</x:f>
      </x:c>
      <x:c r="BP26" s="57" t="str">
        <x:f>IF('制度詳細'!$H$26="",IF('制度詳細'!$J$26="","",IF(AND('制度詳細'!$J$26&gt;=BP$5,'制度詳細'!$J$26&lt;=EOMONTH(BP$5,0)),"◆","")),IF(MAX('制度詳細'!$H$26,BP$5)&lt;=MIN(IF('制度詳細'!$I$26="",EOMONTH(BP$5,0),'制度詳細'!$I$26),EOMONTH(BP$5,0)),"■",IF(AND('制度詳細'!$J$26&lt;&gt;"",'制度詳細'!$J$26&gt;=BP$5,'制度詳細'!$J$26&lt;=EOMONTH(BP$5,0)),"◆","")))</x:f>
      </x:c>
      <x:c r="BQ26" s="57" t="str">
        <x:f>IF('制度詳細'!$H$26="",IF('制度詳細'!$J$26="","",IF(AND('制度詳細'!$J$26&gt;=BQ$5,'制度詳細'!$J$26&lt;=EOMONTH(BQ$5,0)),"◆","")),IF(MAX('制度詳細'!$H$26,BQ$5)&lt;=MIN(IF('制度詳細'!$I$26="",EOMONTH(BQ$5,0),'制度詳細'!$I$26),EOMONTH(BQ$5,0)),"■",IF(AND('制度詳細'!$J$26&lt;&gt;"",'制度詳細'!$J$26&gt;=BQ$5,'制度詳細'!$J$26&lt;=EOMONTH(BQ$5,0)),"◆","")))</x:f>
      </x:c>
      <x:c r="BR26" s="57" t="str">
        <x:f>IF('制度詳細'!$H$26="",IF('制度詳細'!$J$26="","",IF(AND('制度詳細'!$J$26&gt;=BR$5,'制度詳細'!$J$26&lt;=EOMONTH(BR$5,0)),"◆","")),IF(MAX('制度詳細'!$H$26,BR$5)&lt;=MIN(IF('制度詳細'!$I$26="",EOMONTH(BR$5,0),'制度詳細'!$I$26),EOMONTH(BR$5,0)),"■",IF(AND('制度詳細'!$J$26&lt;&gt;"",'制度詳細'!$J$26&gt;=BR$5,'制度詳細'!$J$26&lt;=EOMONTH(BR$5,0)),"◆","")))</x:f>
      </x:c>
      <x:c r="BS26" s="57" t="str">
        <x:f>IF('制度詳細'!$H$26="",IF('制度詳細'!$J$26="","",IF(AND('制度詳細'!$J$26&gt;=BS$5,'制度詳細'!$J$26&lt;=EOMONTH(BS$5,0)),"◆","")),IF(MAX('制度詳細'!$H$26,BS$5)&lt;=MIN(IF('制度詳細'!$I$26="",EOMONTH(BS$5,0),'制度詳細'!$I$26),EOMONTH(BS$5,0)),"■",IF(AND('制度詳細'!$J$26&lt;&gt;"",'制度詳細'!$J$26&gt;=BS$5,'制度詳細'!$J$26&lt;=EOMONTH(BS$5,0)),"◆","")))</x:f>
      </x:c>
      <x:c r="BT26" s="57" t="str">
        <x:f>IF('制度詳細'!$H$26="",IF('制度詳細'!$J$26="","",IF(AND('制度詳細'!$J$26&gt;=BT$5,'制度詳細'!$J$26&lt;=EOMONTH(BT$5,0)),"◆","")),IF(MAX('制度詳細'!$H$26,BT$5)&lt;=MIN(IF('制度詳細'!$I$26="",EOMONTH(BT$5,0),'制度詳細'!$I$26),EOMONTH(BT$5,0)),"■",IF(AND('制度詳細'!$J$26&lt;&gt;"",'制度詳細'!$J$26&gt;=BT$5,'制度詳細'!$J$26&lt;=EOMONTH(BT$5,0)),"◆","")))</x:f>
      </x:c>
      <x:c r="BU26" s="57" t="str">
        <x:f>IF('制度詳細'!$H$26="",IF('制度詳細'!$J$26="","",IF(AND('制度詳細'!$J$26&gt;=BU$5,'制度詳細'!$J$26&lt;=EOMONTH(BU$5,0)),"◆","")),IF(MAX('制度詳細'!$H$26,BU$5)&lt;=MIN(IF('制度詳細'!$I$26="",EOMONTH(BU$5,0),'制度詳細'!$I$26),EOMONTH(BU$5,0)),"■",IF(AND('制度詳細'!$J$26&lt;&gt;"",'制度詳細'!$J$26&gt;=BU$5,'制度詳細'!$J$26&lt;=EOMONTH(BU$5,0)),"◆","")))</x:f>
      </x:c>
      <x:c r="BV26" s="57" t="str">
        <x:f>IF('制度詳細'!$H$26="",IF('制度詳細'!$J$26="","",IF(AND('制度詳細'!$J$26&gt;=BV$5,'制度詳細'!$J$26&lt;=EOMONTH(BV$5,0)),"◆","")),IF(MAX('制度詳細'!$H$26,BV$5)&lt;=MIN(IF('制度詳細'!$I$26="",EOMONTH(BV$5,0),'制度詳細'!$I$26),EOMONTH(BV$5,0)),"■",IF(AND('制度詳細'!$J$26&lt;&gt;"",'制度詳細'!$J$26&gt;=BV$5,'制度詳細'!$J$26&lt;=EOMONTH(BV$5,0)),"◆","")))</x:f>
      </x:c>
      <x:c r="BW26" s="57" t="str">
        <x:f>IF('制度詳細'!$H$26="",IF('制度詳細'!$J$26="","",IF(AND('制度詳細'!$J$26&gt;=BW$5,'制度詳細'!$J$26&lt;=EOMONTH(BW$5,0)),"◆","")),IF(MAX('制度詳細'!$H$26,BW$5)&lt;=MIN(IF('制度詳細'!$I$26="",EOMONTH(BW$5,0),'制度詳細'!$I$26),EOMONTH(BW$5,0)),"■",IF(AND('制度詳細'!$J$26&lt;&gt;"",'制度詳細'!$J$26&gt;=BW$5,'制度詳細'!$J$26&lt;=EOMONTH(BW$5,0)),"◆","")))</x:f>
      </x:c>
      <x:c r="BX26" s="57" t="str">
        <x:f>IF('制度詳細'!$H$26="",IF('制度詳細'!$J$26="","",IF(AND('制度詳細'!$J$26&gt;=BX$5,'制度詳細'!$J$26&lt;=EOMONTH(BX$5,0)),"◆","")),IF(MAX('制度詳細'!$H$26,BX$5)&lt;=MIN(IF('制度詳細'!$I$26="",EOMONTH(BX$5,0),'制度詳細'!$I$26),EOMONTH(BX$5,0)),"■",IF(AND('制度詳細'!$J$26&lt;&gt;"",'制度詳細'!$J$26&gt;=BX$5,'制度詳細'!$J$26&lt;=EOMONTH(BX$5,0)),"◆","")))</x:f>
        <x:v>■</x:v>
      </x:c>
      <x:c r="BY26" s="57" t="str">
        <x:f>IF('制度詳細'!$H$26="",IF('制度詳細'!$J$26="","",IF(AND('制度詳細'!$J$26&gt;=BY$5,'制度詳細'!$J$26&lt;=EOMONTH(BY$5,0)),"◆","")),IF(MAX('制度詳細'!$H$26,BY$5)&lt;=MIN(IF('制度詳細'!$I$26="",EOMONTH(BY$5,0),'制度詳細'!$I$26),EOMONTH(BY$5,0)),"■",IF(AND('制度詳細'!$J$26&lt;&gt;"",'制度詳細'!$J$26&gt;=BY$5,'制度詳細'!$J$26&lt;=EOMONTH(BY$5,0)),"◆","")))</x:f>
      </x:c>
      <x:c r="BZ26" s="57" t="str">
        <x:f>IF('制度詳細'!$H$26="",IF('制度詳細'!$J$26="","",IF(AND('制度詳細'!$J$26&gt;=BZ$5,'制度詳細'!$J$26&lt;=EOMONTH(BZ$5,0)),"◆","")),IF(MAX('制度詳細'!$H$26,BZ$5)&lt;=MIN(IF('制度詳細'!$I$26="",EOMONTH(BZ$5,0),'制度詳細'!$I$26),EOMONTH(BZ$5,0)),"■",IF(AND('制度詳細'!$J$26&lt;&gt;"",'制度詳細'!$J$26&gt;=BZ$5,'制度詳細'!$J$26&lt;=EOMONTH(BZ$5,0)),"◆","")))</x:f>
      </x:c>
      <x:c r="CA26" s="57" t="str">
        <x:f>IF('制度詳細'!$H$26="",IF('制度詳細'!$J$26="","",IF(AND('制度詳細'!$J$26&gt;=CA$5,'制度詳細'!$J$26&lt;=EOMONTH(CA$5,0)),"◆","")),IF(MAX('制度詳細'!$H$26,CA$5)&lt;=MIN(IF('制度詳細'!$I$26="",EOMONTH(CA$5,0),'制度詳細'!$I$26),EOMONTH(CA$5,0)),"■",IF(AND('制度詳細'!$J$26&lt;&gt;"",'制度詳細'!$J$26&gt;=CA$5,'制度詳細'!$J$26&lt;=EOMONTH(CA$5,0)),"◆","")))</x:f>
      </x:c>
      <x:c r="CB26" s="57" t="str">
        <x:f>IF('制度詳細'!$H$26="",IF('制度詳細'!$J$26="","",IF(AND('制度詳細'!$J$26&gt;=CB$5,'制度詳細'!$J$26&lt;=EOMONTH(CB$5,0)),"◆","")),IF(MAX('制度詳細'!$H$26,CB$5)&lt;=MIN(IF('制度詳細'!$I$26="",EOMONTH(CB$5,0),'制度詳細'!$I$26),EOMONTH(CB$5,0)),"■",IF(AND('制度詳細'!$J$26&lt;&gt;"",'制度詳細'!$J$26&gt;=CB$5,'制度詳細'!$J$26&lt;=EOMONTH(CB$5,0)),"◆","")))</x:f>
      </x:c>
      <x:c r="CC26" s="57" t="str">
        <x:f>IF('制度詳細'!$H$26="",IF('制度詳細'!$J$26="","",IF(AND('制度詳細'!$J$26&gt;=CC$5,'制度詳細'!$J$26&lt;=EOMONTH(CC$5,0)),"◆","")),IF(MAX('制度詳細'!$H$26,CC$5)&lt;=MIN(IF('制度詳細'!$I$26="",EOMONTH(CC$5,0),'制度詳細'!$I$26),EOMONTH(CC$5,0)),"■",IF(AND('制度詳細'!$J$26&lt;&gt;"",'制度詳細'!$J$26&gt;=CC$5,'制度詳細'!$J$26&lt;=EOMONTH(CC$5,0)),"◆","")))</x:f>
        <x:v>◆</x:v>
      </x:c>
      <x:c r="CD26" s="57" t="str">
        <x:f>IF('制度詳細'!$H$26="",IF('制度詳細'!$J$26="","",IF(AND('制度詳細'!$J$26&gt;=CD$5,'制度詳細'!$J$26&lt;=EOMONTH(CD$5,0)),"◆","")),IF(MAX('制度詳細'!$H$26,CD$5)&lt;=MIN(IF('制度詳細'!$I$26="",EOMONTH(CD$5,0),'制度詳細'!$I$26),EOMONTH(CD$5,0)),"■",IF(AND('制度詳細'!$J$26&lt;&gt;"",'制度詳細'!$J$26&gt;=CD$5,'制度詳細'!$J$26&lt;=EOMONTH(CD$5,0)),"◆","")))</x:f>
      </x:c>
      <x:c r="CE26" s="57" t="str">
        <x:f>IF('制度詳細'!$H$26="",IF('制度詳細'!$J$26="","",IF(AND('制度詳細'!$J$26&gt;=CE$5,'制度詳細'!$J$26&lt;=EOMONTH(CE$5,0)),"◆","")),IF(MAX('制度詳細'!$H$26,CE$5)&lt;=MIN(IF('制度詳細'!$I$26="",EOMONTH(CE$5,0),'制度詳細'!$I$26),EOMONTH(CE$5,0)),"■",IF(AND('制度詳細'!$J$26&lt;&gt;"",'制度詳細'!$J$26&gt;=CE$5,'制度詳細'!$J$26&lt;=EOMONTH(CE$5,0)),"◆","")))</x:f>
      </x:c>
      <x:c r="CF26" s="57" t="str">
        <x:f>IF('制度詳細'!$H$26="",IF('制度詳細'!$J$26="","",IF(AND('制度詳細'!$J$26&gt;=CF$5,'制度詳細'!$J$26&lt;=EOMONTH(CF$5,0)),"◆","")),IF(MAX('制度詳細'!$H$26,CF$5)&lt;=MIN(IF('制度詳細'!$I$26="",EOMONTH(CF$5,0),'制度詳細'!$I$26),EOMONTH(CF$5,0)),"■",IF(AND('制度詳細'!$J$26&lt;&gt;"",'制度詳細'!$J$26&gt;=CF$5,'制度詳細'!$J$26&lt;=EOMONTH(CF$5,0)),"◆","")))</x:f>
      </x:c>
      <x:c r="CG26" s="57" t="str">
        <x:f>IF('制度詳細'!$H$26="",IF('制度詳細'!$J$26="","",IF(AND('制度詳細'!$J$26&gt;=CG$5,'制度詳細'!$J$26&lt;=EOMONTH(CG$5,0)),"◆","")),IF(MAX('制度詳細'!$H$26,CG$5)&lt;=MIN(IF('制度詳細'!$I$26="",EOMONTH(CG$5,0),'制度詳細'!$I$26),EOMONTH(CG$5,0)),"■",IF(AND('制度詳細'!$J$26&lt;&gt;"",'制度詳細'!$J$26&gt;=CG$5,'制度詳細'!$J$26&lt;=EOMONTH(CG$5,0)),"◆","")))</x:f>
      </x:c>
      <x:c r="CH26" s="57" t="str">
        <x:f>IF('制度詳細'!$H$26="",IF('制度詳細'!$J$26="","",IF(AND('制度詳細'!$J$26&gt;=CH$5,'制度詳細'!$J$26&lt;=EOMONTH(CH$5,0)),"◆","")),IF(MAX('制度詳細'!$H$26,CH$5)&lt;=MIN(IF('制度詳細'!$I$26="",EOMONTH(CH$5,0),'制度詳細'!$I$26),EOMONTH(CH$5,0)),"■",IF(AND('制度詳細'!$J$26&lt;&gt;"",'制度詳細'!$J$26&gt;=CH$5,'制度詳細'!$J$26&lt;=EOMONTH(CH$5,0)),"◆","")))</x:f>
      </x:c>
      <x:c r="CI26" s="57" t="str">
        <x:f>IF('制度詳細'!$H$26="",IF('制度詳細'!$J$26="","",IF(AND('制度詳細'!$J$26&gt;=CI$5,'制度詳細'!$J$26&lt;=EOMONTH(CI$5,0)),"◆","")),IF(MAX('制度詳細'!$H$26,CI$5)&lt;=MIN(IF('制度詳細'!$I$26="",EOMONTH(CI$5,0),'制度詳細'!$I$26),EOMONTH(CI$5,0)),"■",IF(AND('制度詳細'!$J$26&lt;&gt;"",'制度詳細'!$J$26&gt;=CI$5,'制度詳細'!$J$26&lt;=EOMONTH(CI$5,0)),"◆","")))</x:f>
      </x:c>
      <x:c r="CJ26" s="57" t="str">
        <x:f>IF('制度詳細'!$H$26="",IF('制度詳細'!$J$26="","",IF(AND('制度詳細'!$J$26&gt;=CJ$5,'制度詳細'!$J$26&lt;=EOMONTH(CJ$5,0)),"◆","")),IF(MAX('制度詳細'!$H$26,CJ$5)&lt;=MIN(IF('制度詳細'!$I$26="",EOMONTH(CJ$5,0),'制度詳細'!$I$26),EOMONTH(CJ$5,0)),"■",IF(AND('制度詳細'!$J$26&lt;&gt;"",'制度詳細'!$J$26&gt;=CJ$5,'制度詳細'!$J$26&lt;=EOMONTH(CJ$5,0)),"◆","")))</x:f>
      </x:c>
      <x:c r="CK26" s="57" t="str">
        <x:f>IF('制度詳細'!$H$26="",IF('制度詳細'!$J$26="","",IF(AND('制度詳細'!$J$26&gt;=CK$5,'制度詳細'!$J$26&lt;=EOMONTH(CK$5,0)),"◆","")),IF(MAX('制度詳細'!$H$26,CK$5)&lt;=MIN(IF('制度詳細'!$I$26="",EOMONTH(CK$5,0),'制度詳細'!$I$26),EOMONTH(CK$5,0)),"■",IF(AND('制度詳細'!$J$26&lt;&gt;"",'制度詳細'!$J$26&gt;=CK$5,'制度詳細'!$J$26&lt;=EOMONTH(CK$5,0)),"◆","")))</x:f>
      </x:c>
      <x:c r="CL26" s="57" t="str">
        <x:f>IF('制度詳細'!$H$26="",IF('制度詳細'!$J$26="","",IF(AND('制度詳細'!$J$26&gt;=CL$5,'制度詳細'!$J$26&lt;=EOMONTH(CL$5,0)),"◆","")),IF(MAX('制度詳細'!$H$26,CL$5)&lt;=MIN(IF('制度詳細'!$I$26="",EOMONTH(CL$5,0),'制度詳細'!$I$26),EOMONTH(CL$5,0)),"■",IF(AND('制度詳細'!$J$26&lt;&gt;"",'制度詳細'!$J$26&gt;=CL$5,'制度詳細'!$J$26&lt;=EOMONTH(CL$5,0)),"◆","")))</x:f>
      </x:c>
      <x:c r="CM26" s="57" t="str">
        <x:f>IF('制度詳細'!$H$26="",IF('制度詳細'!$J$26="","",IF(AND('制度詳細'!$J$26&gt;=CM$5,'制度詳細'!$J$26&lt;=EOMONTH(CM$5,0)),"◆","")),IF(MAX('制度詳細'!$H$26,CM$5)&lt;=MIN(IF('制度詳細'!$I$26="",EOMONTH(CM$5,0),'制度詳細'!$I$26),EOMONTH(CM$5,0)),"■",IF(AND('制度詳細'!$J$26&lt;&gt;"",'制度詳細'!$J$26&gt;=CM$5,'制度詳細'!$J$26&lt;=EOMONTH(CM$5,0)),"◆","")))</x:f>
      </x:c>
      <x:c r="CN26" s="57" t="str">
        <x:f>IF('制度詳細'!$H$26="",IF('制度詳細'!$J$26="","",IF(AND('制度詳細'!$J$26&gt;=CN$5,'制度詳細'!$J$26&lt;=EOMONTH(CN$5,0)),"◆","")),IF(MAX('制度詳細'!$H$26,CN$5)&lt;=MIN(IF('制度詳細'!$I$26="",EOMONTH(CN$5,0),'制度詳細'!$I$26),EOMONTH(CN$5,0)),"■",IF(AND('制度詳細'!$J$26&lt;&gt;"",'制度詳細'!$J$26&gt;=CN$5,'制度詳細'!$J$26&lt;=EOMONTH(CN$5,0)),"◆","")))</x:f>
      </x:c>
      <x:c r="CO26" s="57" t="str">
        <x:f>IF('制度詳細'!$H$26="",IF('制度詳細'!$J$26="","",IF(AND('制度詳細'!$J$26&gt;=CO$5,'制度詳細'!$J$26&lt;=EOMONTH(CO$5,0)),"◆","")),IF(MAX('制度詳細'!$H$26,CO$5)&lt;=MIN(IF('制度詳細'!$I$26="",EOMONTH(CO$5,0),'制度詳細'!$I$26),EOMONTH(CO$5,0)),"■",IF(AND('制度詳細'!$J$26&lt;&gt;"",'制度詳細'!$J$26&gt;=CO$5,'制度詳細'!$J$26&lt;=EOMONTH(CO$5,0)),"◆","")))</x:f>
      </x:c>
      <x:c r="CP26" s="57" t="str">
        <x:f>IF('制度詳細'!$H$26="",IF('制度詳細'!$J$26="","",IF(AND('制度詳細'!$J$26&gt;=CP$5,'制度詳細'!$J$26&lt;=EOMONTH(CP$5,0)),"◆","")),IF(MAX('制度詳細'!$H$26,CP$5)&lt;=MIN(IF('制度詳細'!$I$26="",EOMONTH(CP$5,0),'制度詳細'!$I$26),EOMONTH(CP$5,0)),"■",IF(AND('制度詳細'!$J$26&lt;&gt;"",'制度詳細'!$J$26&gt;=CP$5,'制度詳細'!$J$26&lt;=EOMONTH(CP$5,0)),"◆","")))</x:f>
      </x:c>
      <x:c r="CQ26" s="57" t="str">
        <x:f>IF('制度詳細'!$H$26="",IF('制度詳細'!$J$26="","",IF(AND('制度詳細'!$J$26&gt;=CQ$5,'制度詳細'!$J$26&lt;=EOMONTH(CQ$5,0)),"◆","")),IF(MAX('制度詳細'!$H$26,CQ$5)&lt;=MIN(IF('制度詳細'!$I$26="",EOMONTH(CQ$5,0),'制度詳細'!$I$26),EOMONTH(CQ$5,0)),"■",IF(AND('制度詳細'!$J$26&lt;&gt;"",'制度詳細'!$J$26&gt;=CQ$5,'制度詳細'!$J$26&lt;=EOMONTH(CQ$5,0)),"◆","")))</x:f>
      </x:c>
      <x:c r="CR26" s="57" t="str">
        <x:f>IF('制度詳細'!$H$26="",IF('制度詳細'!$J$26="","",IF(AND('制度詳細'!$J$26&gt;=CR$5,'制度詳細'!$J$26&lt;=EOMONTH(CR$5,0)),"◆","")),IF(MAX('制度詳細'!$H$26,CR$5)&lt;=MIN(IF('制度詳細'!$I$26="",EOMONTH(CR$5,0),'制度詳細'!$I$26),EOMONTH(CR$5,0)),"■",IF(AND('制度詳細'!$J$26&lt;&gt;"",'制度詳細'!$J$26&gt;=CR$5,'制度詳細'!$J$26&lt;=EOMONTH(CR$5,0)),"◆","")))</x:f>
      </x:c>
      <x:c r="CS26" s="57" t="str">
        <x:f>IF('制度詳細'!$H$26="",IF('制度詳細'!$J$26="","",IF(AND('制度詳細'!$J$26&gt;=CS$5,'制度詳細'!$J$26&lt;=EOMONTH(CS$5,0)),"◆","")),IF(MAX('制度詳細'!$H$26,CS$5)&lt;=MIN(IF('制度詳細'!$I$26="",EOMONTH(CS$5,0),'制度詳細'!$I$26),EOMONTH(CS$5,0)),"■",IF(AND('制度詳細'!$J$26&lt;&gt;"",'制度詳細'!$J$26&gt;=CS$5,'制度詳細'!$J$26&lt;=EOMONTH(CS$5,0)),"◆","")))</x:f>
      </x:c>
      <x:c r="CT26" s="57" t="str">
        <x:f>IF('制度詳細'!$H$26="",IF('制度詳細'!$J$26="","",IF(AND('制度詳細'!$J$26&gt;=CT$5,'制度詳細'!$J$26&lt;=EOMONTH(CT$5,0)),"◆","")),IF(MAX('制度詳細'!$H$26,CT$5)&lt;=MIN(IF('制度詳細'!$I$26="",EOMONTH(CT$5,0),'制度詳細'!$I$26),EOMONTH(CT$5,0)),"■",IF(AND('制度詳細'!$J$26&lt;&gt;"",'制度詳細'!$J$26&gt;=CT$5,'制度詳細'!$J$26&lt;=EOMONTH(CT$5,0)),"◆","")))</x:f>
      </x:c>
      <x:c r="CU26" s="57" t="str">
        <x:f>IF('制度詳細'!$H$26="",IF('制度詳細'!$J$26="","",IF(AND('制度詳細'!$J$26&gt;=CU$5,'制度詳細'!$J$26&lt;=EOMONTH(CU$5,0)),"◆","")),IF(MAX('制度詳細'!$H$26,CU$5)&lt;=MIN(IF('制度詳細'!$I$26="",EOMONTH(CU$5,0),'制度詳細'!$I$26),EOMONTH(CU$5,0)),"■",IF(AND('制度詳細'!$J$26&lt;&gt;"",'制度詳細'!$J$26&gt;=CU$5,'制度詳細'!$J$26&lt;=EOMONTH(CU$5,0)),"◆","")))</x:f>
      </x:c>
      <x:c r="CV26" s="57" t="str">
        <x:f>IF('制度詳細'!$H$26="",IF('制度詳細'!$J$26="","",IF(AND('制度詳細'!$J$26&gt;=CV$5,'制度詳細'!$J$26&lt;=EOMONTH(CV$5,0)),"◆","")),IF(MAX('制度詳細'!$H$26,CV$5)&lt;=MIN(IF('制度詳細'!$I$26="",EOMONTH(CV$5,0),'制度詳細'!$I$26),EOMONTH(CV$5,0)),"■",IF(AND('制度詳細'!$J$26&lt;&gt;"",'制度詳細'!$J$26&gt;=CV$5,'制度詳細'!$J$26&lt;=EOMONTH(CV$5,0)),"◆","")))</x:f>
      </x:c>
      <x:c r="CW26" s="1"/>
      <x:c r="CX26" s="1"/>
      <x:c r="CY26" s="1"/>
      <x:c r="CZ26" s="1"/>
      <x:c r="DA26" s="1"/>
      <x:c r="DB26" s="1"/>
      <x:c r="DC26" s="1"/>
      <x:c r="DD26" s="1"/>
    </x:row>
    <x:row r="27" ht="27" customHeight="1">
      <x:c r="A27" s="58" t="str">
        <x:v>MY04</x:v>
      </x:c>
      <x:c r="B27" s="58" t="str">
        <x:v>マレーシア</x:v>
      </x:c>
      <x:c r="C27" s="58" t="str">
        <x:v>新規CBU：CIF・出力の下限</x:v>
      </x:c>
      <x:c r="D27" s="58" t="str">
        <x:v>BEV</x:v>
      </x:c>
      <x:c r="E27" s="57" t="str">
        <x:f>IF('制度詳細'!$H$27="",IF('制度詳細'!$J$27="","",IF(AND('制度詳細'!$J$27&gt;=E$5,'制度詳細'!$J$27&lt;=EOMONTH(E$5,0)),"◆","")),IF(MAX('制度詳細'!$H$27,E$5)&lt;=MIN(IF('制度詳細'!$I$27="",EOMONTH(E$5,0),'制度詳細'!$I$27),EOMONTH(E$5,0)),"■",IF(AND('制度詳細'!$J$27&lt;&gt;"",'制度詳細'!$J$27&gt;=E$5,'制度詳細'!$J$27&lt;=EOMONTH(E$5,0)),"◆","")))</x:f>
      </x:c>
      <x:c r="F27" s="57" t="str">
        <x:f>IF('制度詳細'!$H$27="",IF('制度詳細'!$J$27="","",IF(AND('制度詳細'!$J$27&gt;=F$5,'制度詳細'!$J$27&lt;=EOMONTH(F$5,0)),"◆","")),IF(MAX('制度詳細'!$H$27,F$5)&lt;=MIN(IF('制度詳細'!$I$27="",EOMONTH(F$5,0),'制度詳細'!$I$27),EOMONTH(F$5,0)),"■",IF(AND('制度詳細'!$J$27&lt;&gt;"",'制度詳細'!$J$27&gt;=F$5,'制度詳細'!$J$27&lt;=EOMONTH(F$5,0)),"◆","")))</x:f>
      </x:c>
      <x:c r="G27" s="57" t="str">
        <x:f>IF('制度詳細'!$H$27="",IF('制度詳細'!$J$27="","",IF(AND('制度詳細'!$J$27&gt;=G$5,'制度詳細'!$J$27&lt;=EOMONTH(G$5,0)),"◆","")),IF(MAX('制度詳細'!$H$27,G$5)&lt;=MIN(IF('制度詳細'!$I$27="",EOMONTH(G$5,0),'制度詳細'!$I$27),EOMONTH(G$5,0)),"■",IF(AND('制度詳細'!$J$27&lt;&gt;"",'制度詳細'!$J$27&gt;=G$5,'制度詳細'!$J$27&lt;=EOMONTH(G$5,0)),"◆","")))</x:f>
      </x:c>
      <x:c r="H27" s="57" t="str">
        <x:f>IF('制度詳細'!$H$27="",IF('制度詳細'!$J$27="","",IF(AND('制度詳細'!$J$27&gt;=H$5,'制度詳細'!$J$27&lt;=EOMONTH(H$5,0)),"◆","")),IF(MAX('制度詳細'!$H$27,H$5)&lt;=MIN(IF('制度詳細'!$I$27="",EOMONTH(H$5,0),'制度詳細'!$I$27),EOMONTH(H$5,0)),"■",IF(AND('制度詳細'!$J$27&lt;&gt;"",'制度詳細'!$J$27&gt;=H$5,'制度詳細'!$J$27&lt;=EOMONTH(H$5,0)),"◆","")))</x:f>
      </x:c>
      <x:c r="I27" s="57" t="str">
        <x:f>IF('制度詳細'!$H$27="",IF('制度詳細'!$J$27="","",IF(AND('制度詳細'!$J$27&gt;=I$5,'制度詳細'!$J$27&lt;=EOMONTH(I$5,0)),"◆","")),IF(MAX('制度詳細'!$H$27,I$5)&lt;=MIN(IF('制度詳細'!$I$27="",EOMONTH(I$5,0),'制度詳細'!$I$27),EOMONTH(I$5,0)),"■",IF(AND('制度詳細'!$J$27&lt;&gt;"",'制度詳細'!$J$27&gt;=I$5,'制度詳細'!$J$27&lt;=EOMONTH(I$5,0)),"◆","")))</x:f>
      </x:c>
      <x:c r="J27" s="57" t="str">
        <x:f>IF('制度詳細'!$H$27="",IF('制度詳細'!$J$27="","",IF(AND('制度詳細'!$J$27&gt;=J$5,'制度詳細'!$J$27&lt;=EOMONTH(J$5,0)),"◆","")),IF(MAX('制度詳細'!$H$27,J$5)&lt;=MIN(IF('制度詳細'!$I$27="",EOMONTH(J$5,0),'制度詳細'!$I$27),EOMONTH(J$5,0)),"■",IF(AND('制度詳細'!$J$27&lt;&gt;"",'制度詳細'!$J$27&gt;=J$5,'制度詳細'!$J$27&lt;=EOMONTH(J$5,0)),"◆","")))</x:f>
      </x:c>
      <x:c r="K27" s="57" t="str">
        <x:f>IF('制度詳細'!$H$27="",IF('制度詳細'!$J$27="","",IF(AND('制度詳細'!$J$27&gt;=K$5,'制度詳細'!$J$27&lt;=EOMONTH(K$5,0)),"◆","")),IF(MAX('制度詳細'!$H$27,K$5)&lt;=MIN(IF('制度詳細'!$I$27="",EOMONTH(K$5,0),'制度詳細'!$I$27),EOMONTH(K$5,0)),"■",IF(AND('制度詳細'!$J$27&lt;&gt;"",'制度詳細'!$J$27&gt;=K$5,'制度詳細'!$J$27&lt;=EOMONTH(K$5,0)),"◆","")))</x:f>
      </x:c>
      <x:c r="L27" s="57" t="str">
        <x:f>IF('制度詳細'!$H$27="",IF('制度詳細'!$J$27="","",IF(AND('制度詳細'!$J$27&gt;=L$5,'制度詳細'!$J$27&lt;=EOMONTH(L$5,0)),"◆","")),IF(MAX('制度詳細'!$H$27,L$5)&lt;=MIN(IF('制度詳細'!$I$27="",EOMONTH(L$5,0),'制度詳細'!$I$27),EOMONTH(L$5,0)),"■",IF(AND('制度詳細'!$J$27&lt;&gt;"",'制度詳細'!$J$27&gt;=L$5,'制度詳細'!$J$27&lt;=EOMONTH(L$5,0)),"◆","")))</x:f>
      </x:c>
      <x:c r="M27" s="57" t="str">
        <x:f>IF('制度詳細'!$H$27="",IF('制度詳細'!$J$27="","",IF(AND('制度詳細'!$J$27&gt;=M$5,'制度詳細'!$J$27&lt;=EOMONTH(M$5,0)),"◆","")),IF(MAX('制度詳細'!$H$27,M$5)&lt;=MIN(IF('制度詳細'!$I$27="",EOMONTH(M$5,0),'制度詳細'!$I$27),EOMONTH(M$5,0)),"■",IF(AND('制度詳細'!$J$27&lt;&gt;"",'制度詳細'!$J$27&gt;=M$5,'制度詳細'!$J$27&lt;=EOMONTH(M$5,0)),"◆","")))</x:f>
      </x:c>
      <x:c r="N27" s="57" t="str">
        <x:f>IF('制度詳細'!$H$27="",IF('制度詳細'!$J$27="","",IF(AND('制度詳細'!$J$27&gt;=N$5,'制度詳細'!$J$27&lt;=EOMONTH(N$5,0)),"◆","")),IF(MAX('制度詳細'!$H$27,N$5)&lt;=MIN(IF('制度詳細'!$I$27="",EOMONTH(N$5,0),'制度詳細'!$I$27),EOMONTH(N$5,0)),"■",IF(AND('制度詳細'!$J$27&lt;&gt;"",'制度詳細'!$J$27&gt;=N$5,'制度詳細'!$J$27&lt;=EOMONTH(N$5,0)),"◆","")))</x:f>
      </x:c>
      <x:c r="O27" s="57" t="str">
        <x:f>IF('制度詳細'!$H$27="",IF('制度詳細'!$J$27="","",IF(AND('制度詳細'!$J$27&gt;=O$5,'制度詳細'!$J$27&lt;=EOMONTH(O$5,0)),"◆","")),IF(MAX('制度詳細'!$H$27,O$5)&lt;=MIN(IF('制度詳細'!$I$27="",EOMONTH(O$5,0),'制度詳細'!$I$27),EOMONTH(O$5,0)),"■",IF(AND('制度詳細'!$J$27&lt;&gt;"",'制度詳細'!$J$27&gt;=O$5,'制度詳細'!$J$27&lt;=EOMONTH(O$5,0)),"◆","")))</x:f>
      </x:c>
      <x:c r="P27" s="57" t="str">
        <x:f>IF('制度詳細'!$H$27="",IF('制度詳細'!$J$27="","",IF(AND('制度詳細'!$J$27&gt;=P$5,'制度詳細'!$J$27&lt;=EOMONTH(P$5,0)),"◆","")),IF(MAX('制度詳細'!$H$27,P$5)&lt;=MIN(IF('制度詳細'!$I$27="",EOMONTH(P$5,0),'制度詳細'!$I$27),EOMONTH(P$5,0)),"■",IF(AND('制度詳細'!$J$27&lt;&gt;"",'制度詳細'!$J$27&gt;=P$5,'制度詳細'!$J$27&lt;=EOMONTH(P$5,0)),"◆","")))</x:f>
      </x:c>
      <x:c r="Q27" s="57" t="str">
        <x:f>IF('制度詳細'!$H$27="",IF('制度詳細'!$J$27="","",IF(AND('制度詳細'!$J$27&gt;=Q$5,'制度詳細'!$J$27&lt;=EOMONTH(Q$5,0)),"◆","")),IF(MAX('制度詳細'!$H$27,Q$5)&lt;=MIN(IF('制度詳細'!$I$27="",EOMONTH(Q$5,0),'制度詳細'!$I$27),EOMONTH(Q$5,0)),"■",IF(AND('制度詳細'!$J$27&lt;&gt;"",'制度詳細'!$J$27&gt;=Q$5,'制度詳細'!$J$27&lt;=EOMONTH(Q$5,0)),"◆","")))</x:f>
      </x:c>
      <x:c r="R27" s="57" t="str">
        <x:f>IF('制度詳細'!$H$27="",IF('制度詳細'!$J$27="","",IF(AND('制度詳細'!$J$27&gt;=R$5,'制度詳細'!$J$27&lt;=EOMONTH(R$5,0)),"◆","")),IF(MAX('制度詳細'!$H$27,R$5)&lt;=MIN(IF('制度詳細'!$I$27="",EOMONTH(R$5,0),'制度詳細'!$I$27),EOMONTH(R$5,0)),"■",IF(AND('制度詳細'!$J$27&lt;&gt;"",'制度詳細'!$J$27&gt;=R$5,'制度詳細'!$J$27&lt;=EOMONTH(R$5,0)),"◆","")))</x:f>
      </x:c>
      <x:c r="S27" s="57" t="str">
        <x:f>IF('制度詳細'!$H$27="",IF('制度詳細'!$J$27="","",IF(AND('制度詳細'!$J$27&gt;=S$5,'制度詳細'!$J$27&lt;=EOMONTH(S$5,0)),"◆","")),IF(MAX('制度詳細'!$H$27,S$5)&lt;=MIN(IF('制度詳細'!$I$27="",EOMONTH(S$5,0),'制度詳細'!$I$27),EOMONTH(S$5,0)),"■",IF(AND('制度詳細'!$J$27&lt;&gt;"",'制度詳細'!$J$27&gt;=S$5,'制度詳細'!$J$27&lt;=EOMONTH(S$5,0)),"◆","")))</x:f>
      </x:c>
      <x:c r="T27" s="57" t="str">
        <x:f>IF('制度詳細'!$H$27="",IF('制度詳細'!$J$27="","",IF(AND('制度詳細'!$J$27&gt;=T$5,'制度詳細'!$J$27&lt;=EOMONTH(T$5,0)),"◆","")),IF(MAX('制度詳細'!$H$27,T$5)&lt;=MIN(IF('制度詳細'!$I$27="",EOMONTH(T$5,0),'制度詳細'!$I$27),EOMONTH(T$5,0)),"■",IF(AND('制度詳細'!$J$27&lt;&gt;"",'制度詳細'!$J$27&gt;=T$5,'制度詳細'!$J$27&lt;=EOMONTH(T$5,0)),"◆","")))</x:f>
      </x:c>
      <x:c r="U27" s="57" t="str">
        <x:f>IF('制度詳細'!$H$27="",IF('制度詳細'!$J$27="","",IF(AND('制度詳細'!$J$27&gt;=U$5,'制度詳細'!$J$27&lt;=EOMONTH(U$5,0)),"◆","")),IF(MAX('制度詳細'!$H$27,U$5)&lt;=MIN(IF('制度詳細'!$I$27="",EOMONTH(U$5,0),'制度詳細'!$I$27),EOMONTH(U$5,0)),"■",IF(AND('制度詳細'!$J$27&lt;&gt;"",'制度詳細'!$J$27&gt;=U$5,'制度詳細'!$J$27&lt;=EOMONTH(U$5,0)),"◆","")))</x:f>
      </x:c>
      <x:c r="V27" s="57" t="str">
        <x:f>IF('制度詳細'!$H$27="",IF('制度詳細'!$J$27="","",IF(AND('制度詳細'!$J$27&gt;=V$5,'制度詳細'!$J$27&lt;=EOMONTH(V$5,0)),"◆","")),IF(MAX('制度詳細'!$H$27,V$5)&lt;=MIN(IF('制度詳細'!$I$27="",EOMONTH(V$5,0),'制度詳細'!$I$27),EOMONTH(V$5,0)),"■",IF(AND('制度詳細'!$J$27&lt;&gt;"",'制度詳細'!$J$27&gt;=V$5,'制度詳細'!$J$27&lt;=EOMONTH(V$5,0)),"◆","")))</x:f>
      </x:c>
      <x:c r="W27" s="57" t="str">
        <x:f>IF('制度詳細'!$H$27="",IF('制度詳細'!$J$27="","",IF(AND('制度詳細'!$J$27&gt;=W$5,'制度詳細'!$J$27&lt;=EOMONTH(W$5,0)),"◆","")),IF(MAX('制度詳細'!$H$27,W$5)&lt;=MIN(IF('制度詳細'!$I$27="",EOMONTH(W$5,0),'制度詳細'!$I$27),EOMONTH(W$5,0)),"■",IF(AND('制度詳細'!$J$27&lt;&gt;"",'制度詳細'!$J$27&gt;=W$5,'制度詳細'!$J$27&lt;=EOMONTH(W$5,0)),"◆","")))</x:f>
      </x:c>
      <x:c r="X27" s="57" t="str">
        <x:f>IF('制度詳細'!$H$27="",IF('制度詳細'!$J$27="","",IF(AND('制度詳細'!$J$27&gt;=X$5,'制度詳細'!$J$27&lt;=EOMONTH(X$5,0)),"◆","")),IF(MAX('制度詳細'!$H$27,X$5)&lt;=MIN(IF('制度詳細'!$I$27="",EOMONTH(X$5,0),'制度詳細'!$I$27),EOMONTH(X$5,0)),"■",IF(AND('制度詳細'!$J$27&lt;&gt;"",'制度詳細'!$J$27&gt;=X$5,'制度詳細'!$J$27&lt;=EOMONTH(X$5,0)),"◆","")))</x:f>
      </x:c>
      <x:c r="Y27" s="57" t="str">
        <x:f>IF('制度詳細'!$H$27="",IF('制度詳細'!$J$27="","",IF(AND('制度詳細'!$J$27&gt;=Y$5,'制度詳細'!$J$27&lt;=EOMONTH(Y$5,0)),"◆","")),IF(MAX('制度詳細'!$H$27,Y$5)&lt;=MIN(IF('制度詳細'!$I$27="",EOMONTH(Y$5,0),'制度詳細'!$I$27),EOMONTH(Y$5,0)),"■",IF(AND('制度詳細'!$J$27&lt;&gt;"",'制度詳細'!$J$27&gt;=Y$5,'制度詳細'!$J$27&lt;=EOMONTH(Y$5,0)),"◆","")))</x:f>
      </x:c>
      <x:c r="Z27" s="57" t="str">
        <x:f>IF('制度詳細'!$H$27="",IF('制度詳細'!$J$27="","",IF(AND('制度詳細'!$J$27&gt;=Z$5,'制度詳細'!$J$27&lt;=EOMONTH(Z$5,0)),"◆","")),IF(MAX('制度詳細'!$H$27,Z$5)&lt;=MIN(IF('制度詳細'!$I$27="",EOMONTH(Z$5,0),'制度詳細'!$I$27),EOMONTH(Z$5,0)),"■",IF(AND('制度詳細'!$J$27&lt;&gt;"",'制度詳細'!$J$27&gt;=Z$5,'制度詳細'!$J$27&lt;=EOMONTH(Z$5,0)),"◆","")))</x:f>
      </x:c>
      <x:c r="AA27" s="57" t="str">
        <x:f>IF('制度詳細'!$H$27="",IF('制度詳細'!$J$27="","",IF(AND('制度詳細'!$J$27&gt;=AA$5,'制度詳細'!$J$27&lt;=EOMONTH(AA$5,0)),"◆","")),IF(MAX('制度詳細'!$H$27,AA$5)&lt;=MIN(IF('制度詳細'!$I$27="",EOMONTH(AA$5,0),'制度詳細'!$I$27),EOMONTH(AA$5,0)),"■",IF(AND('制度詳細'!$J$27&lt;&gt;"",'制度詳細'!$J$27&gt;=AA$5,'制度詳細'!$J$27&lt;=EOMONTH(AA$5,0)),"◆","")))</x:f>
      </x:c>
      <x:c r="AB27" s="57" t="str">
        <x:f>IF('制度詳細'!$H$27="",IF('制度詳細'!$J$27="","",IF(AND('制度詳細'!$J$27&gt;=AB$5,'制度詳細'!$J$27&lt;=EOMONTH(AB$5,0)),"◆","")),IF(MAX('制度詳細'!$H$27,AB$5)&lt;=MIN(IF('制度詳細'!$I$27="",EOMONTH(AB$5,0),'制度詳細'!$I$27),EOMONTH(AB$5,0)),"■",IF(AND('制度詳細'!$J$27&lt;&gt;"",'制度詳細'!$J$27&gt;=AB$5,'制度詳細'!$J$27&lt;=EOMONTH(AB$5,0)),"◆","")))</x:f>
      </x:c>
      <x:c r="AC27" s="57" t="str">
        <x:f>IF('制度詳細'!$H$27="",IF('制度詳細'!$J$27="","",IF(AND('制度詳細'!$J$27&gt;=AC$5,'制度詳細'!$J$27&lt;=EOMONTH(AC$5,0)),"◆","")),IF(MAX('制度詳細'!$H$27,AC$5)&lt;=MIN(IF('制度詳細'!$I$27="",EOMONTH(AC$5,0),'制度詳細'!$I$27),EOMONTH(AC$5,0)),"■",IF(AND('制度詳細'!$J$27&lt;&gt;"",'制度詳細'!$J$27&gt;=AC$5,'制度詳細'!$J$27&lt;=EOMONTH(AC$5,0)),"◆","")))</x:f>
      </x:c>
      <x:c r="AD27" s="57" t="str">
        <x:f>IF('制度詳細'!$H$27="",IF('制度詳細'!$J$27="","",IF(AND('制度詳細'!$J$27&gt;=AD$5,'制度詳細'!$J$27&lt;=EOMONTH(AD$5,0)),"◆","")),IF(MAX('制度詳細'!$H$27,AD$5)&lt;=MIN(IF('制度詳細'!$I$27="",EOMONTH(AD$5,0),'制度詳細'!$I$27),EOMONTH(AD$5,0)),"■",IF(AND('制度詳細'!$J$27&lt;&gt;"",'制度詳細'!$J$27&gt;=AD$5,'制度詳細'!$J$27&lt;=EOMONTH(AD$5,0)),"◆","")))</x:f>
      </x:c>
      <x:c r="AE27" s="57" t="str">
        <x:f>IF('制度詳細'!$H$27="",IF('制度詳細'!$J$27="","",IF(AND('制度詳細'!$J$27&gt;=AE$5,'制度詳細'!$J$27&lt;=EOMONTH(AE$5,0)),"◆","")),IF(MAX('制度詳細'!$H$27,AE$5)&lt;=MIN(IF('制度詳細'!$I$27="",EOMONTH(AE$5,0),'制度詳細'!$I$27),EOMONTH(AE$5,0)),"■",IF(AND('制度詳細'!$J$27&lt;&gt;"",'制度詳細'!$J$27&gt;=AE$5,'制度詳細'!$J$27&lt;=EOMONTH(AE$5,0)),"◆","")))</x:f>
      </x:c>
      <x:c r="AF27" s="57" t="str">
        <x:f>IF('制度詳細'!$H$27="",IF('制度詳細'!$J$27="","",IF(AND('制度詳細'!$J$27&gt;=AF$5,'制度詳細'!$J$27&lt;=EOMONTH(AF$5,0)),"◆","")),IF(MAX('制度詳細'!$H$27,AF$5)&lt;=MIN(IF('制度詳細'!$I$27="",EOMONTH(AF$5,0),'制度詳細'!$I$27),EOMONTH(AF$5,0)),"■",IF(AND('制度詳細'!$J$27&lt;&gt;"",'制度詳細'!$J$27&gt;=AF$5,'制度詳細'!$J$27&lt;=EOMONTH(AF$5,0)),"◆","")))</x:f>
      </x:c>
      <x:c r="AG27" s="57" t="str">
        <x:f>IF('制度詳細'!$H$27="",IF('制度詳細'!$J$27="","",IF(AND('制度詳細'!$J$27&gt;=AG$5,'制度詳細'!$J$27&lt;=EOMONTH(AG$5,0)),"◆","")),IF(MAX('制度詳細'!$H$27,AG$5)&lt;=MIN(IF('制度詳細'!$I$27="",EOMONTH(AG$5,0),'制度詳細'!$I$27),EOMONTH(AG$5,0)),"■",IF(AND('制度詳細'!$J$27&lt;&gt;"",'制度詳細'!$J$27&gt;=AG$5,'制度詳細'!$J$27&lt;=EOMONTH(AG$5,0)),"◆","")))</x:f>
      </x:c>
      <x:c r="AH27" s="57" t="str">
        <x:f>IF('制度詳細'!$H$27="",IF('制度詳細'!$J$27="","",IF(AND('制度詳細'!$J$27&gt;=AH$5,'制度詳細'!$J$27&lt;=EOMONTH(AH$5,0)),"◆","")),IF(MAX('制度詳細'!$H$27,AH$5)&lt;=MIN(IF('制度詳細'!$I$27="",EOMONTH(AH$5,0),'制度詳細'!$I$27),EOMONTH(AH$5,0)),"■",IF(AND('制度詳細'!$J$27&lt;&gt;"",'制度詳細'!$J$27&gt;=AH$5,'制度詳細'!$J$27&lt;=EOMONTH(AH$5,0)),"◆","")))</x:f>
      </x:c>
      <x:c r="AI27" s="57" t="str">
        <x:f>IF('制度詳細'!$H$27="",IF('制度詳細'!$J$27="","",IF(AND('制度詳細'!$J$27&gt;=AI$5,'制度詳細'!$J$27&lt;=EOMONTH(AI$5,0)),"◆","")),IF(MAX('制度詳細'!$H$27,AI$5)&lt;=MIN(IF('制度詳細'!$I$27="",EOMONTH(AI$5,0),'制度詳細'!$I$27),EOMONTH(AI$5,0)),"■",IF(AND('制度詳細'!$J$27&lt;&gt;"",'制度詳細'!$J$27&gt;=AI$5,'制度詳細'!$J$27&lt;=EOMONTH(AI$5,0)),"◆","")))</x:f>
      </x:c>
      <x:c r="AJ27" s="57" t="str">
        <x:f>IF('制度詳細'!$H$27="",IF('制度詳細'!$J$27="","",IF(AND('制度詳細'!$J$27&gt;=AJ$5,'制度詳細'!$J$27&lt;=EOMONTH(AJ$5,0)),"◆","")),IF(MAX('制度詳細'!$H$27,AJ$5)&lt;=MIN(IF('制度詳細'!$I$27="",EOMONTH(AJ$5,0),'制度詳細'!$I$27),EOMONTH(AJ$5,0)),"■",IF(AND('制度詳細'!$J$27&lt;&gt;"",'制度詳細'!$J$27&gt;=AJ$5,'制度詳細'!$J$27&lt;=EOMONTH(AJ$5,0)),"◆","")))</x:f>
      </x:c>
      <x:c r="AK27" s="57" t="str">
        <x:f>IF('制度詳細'!$H$27="",IF('制度詳細'!$J$27="","",IF(AND('制度詳細'!$J$27&gt;=AK$5,'制度詳細'!$J$27&lt;=EOMONTH(AK$5,0)),"◆","")),IF(MAX('制度詳細'!$H$27,AK$5)&lt;=MIN(IF('制度詳細'!$I$27="",EOMONTH(AK$5,0),'制度詳細'!$I$27),EOMONTH(AK$5,0)),"■",IF(AND('制度詳細'!$J$27&lt;&gt;"",'制度詳細'!$J$27&gt;=AK$5,'制度詳細'!$J$27&lt;=EOMONTH(AK$5,0)),"◆","")))</x:f>
      </x:c>
      <x:c r="AL27" s="57" t="str">
        <x:f>IF('制度詳細'!$H$27="",IF('制度詳細'!$J$27="","",IF(AND('制度詳細'!$J$27&gt;=AL$5,'制度詳細'!$J$27&lt;=EOMONTH(AL$5,0)),"◆","")),IF(MAX('制度詳細'!$H$27,AL$5)&lt;=MIN(IF('制度詳細'!$I$27="",EOMONTH(AL$5,0),'制度詳細'!$I$27),EOMONTH(AL$5,0)),"■",IF(AND('制度詳細'!$J$27&lt;&gt;"",'制度詳細'!$J$27&gt;=AL$5,'制度詳細'!$J$27&lt;=EOMONTH(AL$5,0)),"◆","")))</x:f>
      </x:c>
      <x:c r="AM27" s="57" t="str">
        <x:f>IF('制度詳細'!$H$27="",IF('制度詳細'!$J$27="","",IF(AND('制度詳細'!$J$27&gt;=AM$5,'制度詳細'!$J$27&lt;=EOMONTH(AM$5,0)),"◆","")),IF(MAX('制度詳細'!$H$27,AM$5)&lt;=MIN(IF('制度詳細'!$I$27="",EOMONTH(AM$5,0),'制度詳細'!$I$27),EOMONTH(AM$5,0)),"■",IF(AND('制度詳細'!$J$27&lt;&gt;"",'制度詳細'!$J$27&gt;=AM$5,'制度詳細'!$J$27&lt;=EOMONTH(AM$5,0)),"◆","")))</x:f>
      </x:c>
      <x:c r="AN27" s="57" t="str">
        <x:f>IF('制度詳細'!$H$27="",IF('制度詳細'!$J$27="","",IF(AND('制度詳細'!$J$27&gt;=AN$5,'制度詳細'!$J$27&lt;=EOMONTH(AN$5,0)),"◆","")),IF(MAX('制度詳細'!$H$27,AN$5)&lt;=MIN(IF('制度詳細'!$I$27="",EOMONTH(AN$5,0),'制度詳細'!$I$27),EOMONTH(AN$5,0)),"■",IF(AND('制度詳細'!$J$27&lt;&gt;"",'制度詳細'!$J$27&gt;=AN$5,'制度詳細'!$J$27&lt;=EOMONTH(AN$5,0)),"◆","")))</x:f>
      </x:c>
      <x:c r="AO27" s="57" t="str">
        <x:f>IF('制度詳細'!$H$27="",IF('制度詳細'!$J$27="","",IF(AND('制度詳細'!$J$27&gt;=AO$5,'制度詳細'!$J$27&lt;=EOMONTH(AO$5,0)),"◆","")),IF(MAX('制度詳細'!$H$27,AO$5)&lt;=MIN(IF('制度詳細'!$I$27="",EOMONTH(AO$5,0),'制度詳細'!$I$27),EOMONTH(AO$5,0)),"■",IF(AND('制度詳細'!$J$27&lt;&gt;"",'制度詳細'!$J$27&gt;=AO$5,'制度詳細'!$J$27&lt;=EOMONTH(AO$5,0)),"◆","")))</x:f>
      </x:c>
      <x:c r="AP27" s="57" t="str">
        <x:f>IF('制度詳細'!$H$27="",IF('制度詳細'!$J$27="","",IF(AND('制度詳細'!$J$27&gt;=AP$5,'制度詳細'!$J$27&lt;=EOMONTH(AP$5,0)),"◆","")),IF(MAX('制度詳細'!$H$27,AP$5)&lt;=MIN(IF('制度詳細'!$I$27="",EOMONTH(AP$5,0),'制度詳細'!$I$27),EOMONTH(AP$5,0)),"■",IF(AND('制度詳細'!$J$27&lt;&gt;"",'制度詳細'!$J$27&gt;=AP$5,'制度詳細'!$J$27&lt;=EOMONTH(AP$5,0)),"◆","")))</x:f>
      </x:c>
      <x:c r="AQ27" s="57" t="str">
        <x:f>IF('制度詳細'!$H$27="",IF('制度詳細'!$J$27="","",IF(AND('制度詳細'!$J$27&gt;=AQ$5,'制度詳細'!$J$27&lt;=EOMONTH(AQ$5,0)),"◆","")),IF(MAX('制度詳細'!$H$27,AQ$5)&lt;=MIN(IF('制度詳細'!$I$27="",EOMONTH(AQ$5,0),'制度詳細'!$I$27),EOMONTH(AQ$5,0)),"■",IF(AND('制度詳細'!$J$27&lt;&gt;"",'制度詳細'!$J$27&gt;=AQ$5,'制度詳細'!$J$27&lt;=EOMONTH(AQ$5,0)),"◆","")))</x:f>
      </x:c>
      <x:c r="AR27" s="57" t="str">
        <x:f>IF('制度詳細'!$H$27="",IF('制度詳細'!$J$27="","",IF(AND('制度詳細'!$J$27&gt;=AR$5,'制度詳細'!$J$27&lt;=EOMONTH(AR$5,0)),"◆","")),IF(MAX('制度詳細'!$H$27,AR$5)&lt;=MIN(IF('制度詳細'!$I$27="",EOMONTH(AR$5,0),'制度詳細'!$I$27),EOMONTH(AR$5,0)),"■",IF(AND('制度詳細'!$J$27&lt;&gt;"",'制度詳細'!$J$27&gt;=AR$5,'制度詳細'!$J$27&lt;=EOMONTH(AR$5,0)),"◆","")))</x:f>
      </x:c>
      <x:c r="AS27" s="57" t="str">
        <x:f>IF('制度詳細'!$H$27="",IF('制度詳細'!$J$27="","",IF(AND('制度詳細'!$J$27&gt;=AS$5,'制度詳細'!$J$27&lt;=EOMONTH(AS$5,0)),"◆","")),IF(MAX('制度詳細'!$H$27,AS$5)&lt;=MIN(IF('制度詳細'!$I$27="",EOMONTH(AS$5,0),'制度詳細'!$I$27),EOMONTH(AS$5,0)),"■",IF(AND('制度詳細'!$J$27&lt;&gt;"",'制度詳細'!$J$27&gt;=AS$5,'制度詳細'!$J$27&lt;=EOMONTH(AS$5,0)),"◆","")))</x:f>
      </x:c>
      <x:c r="AT27" s="57" t="str">
        <x:f>IF('制度詳細'!$H$27="",IF('制度詳細'!$J$27="","",IF(AND('制度詳細'!$J$27&gt;=AT$5,'制度詳細'!$J$27&lt;=EOMONTH(AT$5,0)),"◆","")),IF(MAX('制度詳細'!$H$27,AT$5)&lt;=MIN(IF('制度詳細'!$I$27="",EOMONTH(AT$5,0),'制度詳細'!$I$27),EOMONTH(AT$5,0)),"■",IF(AND('制度詳細'!$J$27&lt;&gt;"",'制度詳細'!$J$27&gt;=AT$5,'制度詳細'!$J$27&lt;=EOMONTH(AT$5,0)),"◆","")))</x:f>
      </x:c>
      <x:c r="AU27" s="57" t="str">
        <x:f>IF('制度詳細'!$H$27="",IF('制度詳細'!$J$27="","",IF(AND('制度詳細'!$J$27&gt;=AU$5,'制度詳細'!$J$27&lt;=EOMONTH(AU$5,0)),"◆","")),IF(MAX('制度詳細'!$H$27,AU$5)&lt;=MIN(IF('制度詳細'!$I$27="",EOMONTH(AU$5,0),'制度詳細'!$I$27),EOMONTH(AU$5,0)),"■",IF(AND('制度詳細'!$J$27&lt;&gt;"",'制度詳細'!$J$27&gt;=AU$5,'制度詳細'!$J$27&lt;=EOMONTH(AU$5,0)),"◆","")))</x:f>
      </x:c>
      <x:c r="AV27" s="57" t="str">
        <x:f>IF('制度詳細'!$H$27="",IF('制度詳細'!$J$27="","",IF(AND('制度詳細'!$J$27&gt;=AV$5,'制度詳細'!$J$27&lt;=EOMONTH(AV$5,0)),"◆","")),IF(MAX('制度詳細'!$H$27,AV$5)&lt;=MIN(IF('制度詳細'!$I$27="",EOMONTH(AV$5,0),'制度詳細'!$I$27),EOMONTH(AV$5,0)),"■",IF(AND('制度詳細'!$J$27&lt;&gt;"",'制度詳細'!$J$27&gt;=AV$5,'制度詳細'!$J$27&lt;=EOMONTH(AV$5,0)),"◆","")))</x:f>
      </x:c>
      <x:c r="AW27" s="57" t="str">
        <x:f>IF('制度詳細'!$H$27="",IF('制度詳細'!$J$27="","",IF(AND('制度詳細'!$J$27&gt;=AW$5,'制度詳細'!$J$27&lt;=EOMONTH(AW$5,0)),"◆","")),IF(MAX('制度詳細'!$H$27,AW$5)&lt;=MIN(IF('制度詳細'!$I$27="",EOMONTH(AW$5,0),'制度詳細'!$I$27),EOMONTH(AW$5,0)),"■",IF(AND('制度詳細'!$J$27&lt;&gt;"",'制度詳細'!$J$27&gt;=AW$5,'制度詳細'!$J$27&lt;=EOMONTH(AW$5,0)),"◆","")))</x:f>
      </x:c>
      <x:c r="AX27" s="57" t="str">
        <x:f>IF('制度詳細'!$H$27="",IF('制度詳細'!$J$27="","",IF(AND('制度詳細'!$J$27&gt;=AX$5,'制度詳細'!$J$27&lt;=EOMONTH(AX$5,0)),"◆","")),IF(MAX('制度詳細'!$H$27,AX$5)&lt;=MIN(IF('制度詳細'!$I$27="",EOMONTH(AX$5,0),'制度詳細'!$I$27),EOMONTH(AX$5,0)),"■",IF(AND('制度詳細'!$J$27&lt;&gt;"",'制度詳細'!$J$27&gt;=AX$5,'制度詳細'!$J$27&lt;=EOMONTH(AX$5,0)),"◆","")))</x:f>
      </x:c>
      <x:c r="AY27" s="57" t="str">
        <x:f>IF('制度詳細'!$H$27="",IF('制度詳細'!$J$27="","",IF(AND('制度詳細'!$J$27&gt;=AY$5,'制度詳細'!$J$27&lt;=EOMONTH(AY$5,0)),"◆","")),IF(MAX('制度詳細'!$H$27,AY$5)&lt;=MIN(IF('制度詳細'!$I$27="",EOMONTH(AY$5,0),'制度詳細'!$I$27),EOMONTH(AY$5,0)),"■",IF(AND('制度詳細'!$J$27&lt;&gt;"",'制度詳細'!$J$27&gt;=AY$5,'制度詳細'!$J$27&lt;=EOMONTH(AY$5,0)),"◆","")))</x:f>
      </x:c>
      <x:c r="AZ27" s="57" t="str">
        <x:f>IF('制度詳細'!$H$27="",IF('制度詳細'!$J$27="","",IF(AND('制度詳細'!$J$27&gt;=AZ$5,'制度詳細'!$J$27&lt;=EOMONTH(AZ$5,0)),"◆","")),IF(MAX('制度詳細'!$H$27,AZ$5)&lt;=MIN(IF('制度詳細'!$I$27="",EOMONTH(AZ$5,0),'制度詳細'!$I$27),EOMONTH(AZ$5,0)),"■",IF(AND('制度詳細'!$J$27&lt;&gt;"",'制度詳細'!$J$27&gt;=AZ$5,'制度詳細'!$J$27&lt;=EOMONTH(AZ$5,0)),"◆","")))</x:f>
      </x:c>
      <x:c r="BA27" s="57" t="str">
        <x:f>IF('制度詳細'!$H$27="",IF('制度詳細'!$J$27="","",IF(AND('制度詳細'!$J$27&gt;=BA$5,'制度詳細'!$J$27&lt;=EOMONTH(BA$5,0)),"◆","")),IF(MAX('制度詳細'!$H$27,BA$5)&lt;=MIN(IF('制度詳細'!$I$27="",EOMONTH(BA$5,0),'制度詳細'!$I$27),EOMONTH(BA$5,0)),"■",IF(AND('制度詳細'!$J$27&lt;&gt;"",'制度詳細'!$J$27&gt;=BA$5,'制度詳細'!$J$27&lt;=EOMONTH(BA$5,0)),"◆","")))</x:f>
      </x:c>
      <x:c r="BB27" s="57" t="str">
        <x:f>IF('制度詳細'!$H$27="",IF('制度詳細'!$J$27="","",IF(AND('制度詳細'!$J$27&gt;=BB$5,'制度詳細'!$J$27&lt;=EOMONTH(BB$5,0)),"◆","")),IF(MAX('制度詳細'!$H$27,BB$5)&lt;=MIN(IF('制度詳細'!$I$27="",EOMONTH(BB$5,0),'制度詳細'!$I$27),EOMONTH(BB$5,0)),"■",IF(AND('制度詳細'!$J$27&lt;&gt;"",'制度詳細'!$J$27&gt;=BB$5,'制度詳細'!$J$27&lt;=EOMONTH(BB$5,0)),"◆","")))</x:f>
      </x:c>
      <x:c r="BC27" s="57" t="str">
        <x:f>IF('制度詳細'!$H$27="",IF('制度詳細'!$J$27="","",IF(AND('制度詳細'!$J$27&gt;=BC$5,'制度詳細'!$J$27&lt;=EOMONTH(BC$5,0)),"◆","")),IF(MAX('制度詳細'!$H$27,BC$5)&lt;=MIN(IF('制度詳細'!$I$27="",EOMONTH(BC$5,0),'制度詳細'!$I$27),EOMONTH(BC$5,0)),"■",IF(AND('制度詳細'!$J$27&lt;&gt;"",'制度詳細'!$J$27&gt;=BC$5,'制度詳細'!$J$27&lt;=EOMONTH(BC$5,0)),"◆","")))</x:f>
      </x:c>
      <x:c r="BD27" s="57" t="str">
        <x:f>IF('制度詳細'!$H$27="",IF('制度詳細'!$J$27="","",IF(AND('制度詳細'!$J$27&gt;=BD$5,'制度詳細'!$J$27&lt;=EOMONTH(BD$5,0)),"◆","")),IF(MAX('制度詳細'!$H$27,BD$5)&lt;=MIN(IF('制度詳細'!$I$27="",EOMONTH(BD$5,0),'制度詳細'!$I$27),EOMONTH(BD$5,0)),"■",IF(AND('制度詳細'!$J$27&lt;&gt;"",'制度詳細'!$J$27&gt;=BD$5,'制度詳細'!$J$27&lt;=EOMONTH(BD$5,0)),"◆","")))</x:f>
      </x:c>
      <x:c r="BE27" s="57" t="str">
        <x:f>IF('制度詳細'!$H$27="",IF('制度詳細'!$J$27="","",IF(AND('制度詳細'!$J$27&gt;=BE$5,'制度詳細'!$J$27&lt;=EOMONTH(BE$5,0)),"◆","")),IF(MAX('制度詳細'!$H$27,BE$5)&lt;=MIN(IF('制度詳細'!$I$27="",EOMONTH(BE$5,0),'制度詳細'!$I$27),EOMONTH(BE$5,0)),"■",IF(AND('制度詳細'!$J$27&lt;&gt;"",'制度詳細'!$J$27&gt;=BE$5,'制度詳細'!$J$27&lt;=EOMONTH(BE$5,0)),"◆","")))</x:f>
      </x:c>
      <x:c r="BF27" s="57" t="str">
        <x:f>IF('制度詳細'!$H$27="",IF('制度詳細'!$J$27="","",IF(AND('制度詳細'!$J$27&gt;=BF$5,'制度詳細'!$J$27&lt;=EOMONTH(BF$5,0)),"◆","")),IF(MAX('制度詳細'!$H$27,BF$5)&lt;=MIN(IF('制度詳細'!$I$27="",EOMONTH(BF$5,0),'制度詳細'!$I$27),EOMONTH(BF$5,0)),"■",IF(AND('制度詳細'!$J$27&lt;&gt;"",'制度詳細'!$J$27&gt;=BF$5,'制度詳細'!$J$27&lt;=EOMONTH(BF$5,0)),"◆","")))</x:f>
      </x:c>
      <x:c r="BG27" s="57" t="str">
        <x:f>IF('制度詳細'!$H$27="",IF('制度詳細'!$J$27="","",IF(AND('制度詳細'!$J$27&gt;=BG$5,'制度詳細'!$J$27&lt;=EOMONTH(BG$5,0)),"◆","")),IF(MAX('制度詳細'!$H$27,BG$5)&lt;=MIN(IF('制度詳細'!$I$27="",EOMONTH(BG$5,0),'制度詳細'!$I$27),EOMONTH(BG$5,0)),"■",IF(AND('制度詳細'!$J$27&lt;&gt;"",'制度詳細'!$J$27&gt;=BG$5,'制度詳細'!$J$27&lt;=EOMONTH(BG$5,0)),"◆","")))</x:f>
      </x:c>
      <x:c r="BH27" s="57" t="str">
        <x:f>IF('制度詳細'!$H$27="",IF('制度詳細'!$J$27="","",IF(AND('制度詳細'!$J$27&gt;=BH$5,'制度詳細'!$J$27&lt;=EOMONTH(BH$5,0)),"◆","")),IF(MAX('制度詳細'!$H$27,BH$5)&lt;=MIN(IF('制度詳細'!$I$27="",EOMONTH(BH$5,0),'制度詳細'!$I$27),EOMONTH(BH$5,0)),"■",IF(AND('制度詳細'!$J$27&lt;&gt;"",'制度詳細'!$J$27&gt;=BH$5,'制度詳細'!$J$27&lt;=EOMONTH(BH$5,0)),"◆","")))</x:f>
      </x:c>
      <x:c r="BI27" s="57" t="str">
        <x:f>IF('制度詳細'!$H$27="",IF('制度詳細'!$J$27="","",IF(AND('制度詳細'!$J$27&gt;=BI$5,'制度詳細'!$J$27&lt;=EOMONTH(BI$5,0)),"◆","")),IF(MAX('制度詳細'!$H$27,BI$5)&lt;=MIN(IF('制度詳細'!$I$27="",EOMONTH(BI$5,0),'制度詳細'!$I$27),EOMONTH(BI$5,0)),"■",IF(AND('制度詳細'!$J$27&lt;&gt;"",'制度詳細'!$J$27&gt;=BI$5,'制度詳細'!$J$27&lt;=EOMONTH(BI$5,0)),"◆","")))</x:f>
      </x:c>
      <x:c r="BJ27" s="57" t="str">
        <x:f>IF('制度詳細'!$H$27="",IF('制度詳細'!$J$27="","",IF(AND('制度詳細'!$J$27&gt;=BJ$5,'制度詳細'!$J$27&lt;=EOMONTH(BJ$5,0)),"◆","")),IF(MAX('制度詳細'!$H$27,BJ$5)&lt;=MIN(IF('制度詳細'!$I$27="",EOMONTH(BJ$5,0),'制度詳細'!$I$27),EOMONTH(BJ$5,0)),"■",IF(AND('制度詳細'!$J$27&lt;&gt;"",'制度詳細'!$J$27&gt;=BJ$5,'制度詳細'!$J$27&lt;=EOMONTH(BJ$5,0)),"◆","")))</x:f>
      </x:c>
      <x:c r="BK27" s="57" t="str">
        <x:f>IF('制度詳細'!$H$27="",IF('制度詳細'!$J$27="","",IF(AND('制度詳細'!$J$27&gt;=BK$5,'制度詳細'!$J$27&lt;=EOMONTH(BK$5,0)),"◆","")),IF(MAX('制度詳細'!$H$27,BK$5)&lt;=MIN(IF('制度詳細'!$I$27="",EOMONTH(BK$5,0),'制度詳細'!$I$27),EOMONTH(BK$5,0)),"■",IF(AND('制度詳細'!$J$27&lt;&gt;"",'制度詳細'!$J$27&gt;=BK$5,'制度詳細'!$J$27&lt;=EOMONTH(BK$5,0)),"◆","")))</x:f>
      </x:c>
      <x:c r="BL27" s="57" t="str">
        <x:f>IF('制度詳細'!$H$27="",IF('制度詳細'!$J$27="","",IF(AND('制度詳細'!$J$27&gt;=BL$5,'制度詳細'!$J$27&lt;=EOMONTH(BL$5,0)),"◆","")),IF(MAX('制度詳細'!$H$27,BL$5)&lt;=MIN(IF('制度詳細'!$I$27="",EOMONTH(BL$5,0),'制度詳細'!$I$27),EOMONTH(BL$5,0)),"■",IF(AND('制度詳細'!$J$27&lt;&gt;"",'制度詳細'!$J$27&gt;=BL$5,'制度詳細'!$J$27&lt;=EOMONTH(BL$5,0)),"◆","")))</x:f>
      </x:c>
      <x:c r="BM27" s="57" t="str">
        <x:f>IF('制度詳細'!$H$27="",IF('制度詳細'!$J$27="","",IF(AND('制度詳細'!$J$27&gt;=BM$5,'制度詳細'!$J$27&lt;=EOMONTH(BM$5,0)),"◆","")),IF(MAX('制度詳細'!$H$27,BM$5)&lt;=MIN(IF('制度詳細'!$I$27="",EOMONTH(BM$5,0),'制度詳細'!$I$27),EOMONTH(BM$5,0)),"■",IF(AND('制度詳細'!$J$27&lt;&gt;"",'制度詳細'!$J$27&gt;=BM$5,'制度詳細'!$J$27&lt;=EOMONTH(BM$5,0)),"◆","")))</x:f>
      </x:c>
      <x:c r="BN27" s="57" t="str">
        <x:f>IF('制度詳細'!$H$27="",IF('制度詳細'!$J$27="","",IF(AND('制度詳細'!$J$27&gt;=BN$5,'制度詳細'!$J$27&lt;=EOMONTH(BN$5,0)),"◆","")),IF(MAX('制度詳細'!$H$27,BN$5)&lt;=MIN(IF('制度詳細'!$I$27="",EOMONTH(BN$5,0),'制度詳細'!$I$27),EOMONTH(BN$5,0)),"■",IF(AND('制度詳細'!$J$27&lt;&gt;"",'制度詳細'!$J$27&gt;=BN$5,'制度詳細'!$J$27&lt;=EOMONTH(BN$5,0)),"◆","")))</x:f>
      </x:c>
      <x:c r="BO27" s="57" t="str">
        <x:f>IF('制度詳細'!$H$27="",IF('制度詳細'!$J$27="","",IF(AND('制度詳細'!$J$27&gt;=BO$5,'制度詳細'!$J$27&lt;=EOMONTH(BO$5,0)),"◆","")),IF(MAX('制度詳細'!$H$27,BO$5)&lt;=MIN(IF('制度詳細'!$I$27="",EOMONTH(BO$5,0),'制度詳細'!$I$27),EOMONTH(BO$5,0)),"■",IF(AND('制度詳細'!$J$27&lt;&gt;"",'制度詳細'!$J$27&gt;=BO$5,'制度詳細'!$J$27&lt;=EOMONTH(BO$5,0)),"◆","")))</x:f>
      </x:c>
      <x:c r="BP27" s="57" t="str">
        <x:f>IF('制度詳細'!$H$27="",IF('制度詳細'!$J$27="","",IF(AND('制度詳細'!$J$27&gt;=BP$5,'制度詳細'!$J$27&lt;=EOMONTH(BP$5,0)),"◆","")),IF(MAX('制度詳細'!$H$27,BP$5)&lt;=MIN(IF('制度詳細'!$I$27="",EOMONTH(BP$5,0),'制度詳細'!$I$27),EOMONTH(BP$5,0)),"■",IF(AND('制度詳細'!$J$27&lt;&gt;"",'制度詳細'!$J$27&gt;=BP$5,'制度詳細'!$J$27&lt;=EOMONTH(BP$5,0)),"◆","")))</x:f>
      </x:c>
      <x:c r="BQ27" s="57" t="str">
        <x:f>IF('制度詳細'!$H$27="",IF('制度詳細'!$J$27="","",IF(AND('制度詳細'!$J$27&gt;=BQ$5,'制度詳細'!$J$27&lt;=EOMONTH(BQ$5,0)),"◆","")),IF(MAX('制度詳細'!$H$27,BQ$5)&lt;=MIN(IF('制度詳細'!$I$27="",EOMONTH(BQ$5,0),'制度詳細'!$I$27),EOMONTH(BQ$5,0)),"■",IF(AND('制度詳細'!$J$27&lt;&gt;"",'制度詳細'!$J$27&gt;=BQ$5,'制度詳細'!$J$27&lt;=EOMONTH(BQ$5,0)),"◆","")))</x:f>
      </x:c>
      <x:c r="BR27" s="57" t="str">
        <x:f>IF('制度詳細'!$H$27="",IF('制度詳細'!$J$27="","",IF(AND('制度詳細'!$J$27&gt;=BR$5,'制度詳細'!$J$27&lt;=EOMONTH(BR$5,0)),"◆","")),IF(MAX('制度詳細'!$H$27,BR$5)&lt;=MIN(IF('制度詳細'!$I$27="",EOMONTH(BR$5,0),'制度詳細'!$I$27),EOMONTH(BR$5,0)),"■",IF(AND('制度詳細'!$J$27&lt;&gt;"",'制度詳細'!$J$27&gt;=BR$5,'制度詳細'!$J$27&lt;=EOMONTH(BR$5,0)),"◆","")))</x:f>
      </x:c>
      <x:c r="BS27" s="57" t="str">
        <x:f>IF('制度詳細'!$H$27="",IF('制度詳細'!$J$27="","",IF(AND('制度詳細'!$J$27&gt;=BS$5,'制度詳細'!$J$27&lt;=EOMONTH(BS$5,0)),"◆","")),IF(MAX('制度詳細'!$H$27,BS$5)&lt;=MIN(IF('制度詳細'!$I$27="",EOMONTH(BS$5,0),'制度詳細'!$I$27),EOMONTH(BS$5,0)),"■",IF(AND('制度詳細'!$J$27&lt;&gt;"",'制度詳細'!$J$27&gt;=BS$5,'制度詳細'!$J$27&lt;=EOMONTH(BS$5,0)),"◆","")))</x:f>
      </x:c>
      <x:c r="BT27" s="57" t="str">
        <x:f>IF('制度詳細'!$H$27="",IF('制度詳細'!$J$27="","",IF(AND('制度詳細'!$J$27&gt;=BT$5,'制度詳細'!$J$27&lt;=EOMONTH(BT$5,0)),"◆","")),IF(MAX('制度詳細'!$H$27,BT$5)&lt;=MIN(IF('制度詳細'!$I$27="",EOMONTH(BT$5,0),'制度詳細'!$I$27),EOMONTH(BT$5,0)),"■",IF(AND('制度詳細'!$J$27&lt;&gt;"",'制度詳細'!$J$27&gt;=BT$5,'制度詳細'!$J$27&lt;=EOMONTH(BT$5,0)),"◆","")))</x:f>
      </x:c>
      <x:c r="BU27" s="57" t="str">
        <x:f>IF('制度詳細'!$H$27="",IF('制度詳細'!$J$27="","",IF(AND('制度詳細'!$J$27&gt;=BU$5,'制度詳細'!$J$27&lt;=EOMONTH(BU$5,0)),"◆","")),IF(MAX('制度詳細'!$H$27,BU$5)&lt;=MIN(IF('制度詳細'!$I$27="",EOMONTH(BU$5,0),'制度詳細'!$I$27),EOMONTH(BU$5,0)),"■",IF(AND('制度詳細'!$J$27&lt;&gt;"",'制度詳細'!$J$27&gt;=BU$5,'制度詳細'!$J$27&lt;=EOMONTH(BU$5,0)),"◆","")))</x:f>
      </x:c>
      <x:c r="BV27" s="57" t="str">
        <x:f>IF('制度詳細'!$H$27="",IF('制度詳細'!$J$27="","",IF(AND('制度詳細'!$J$27&gt;=BV$5,'制度詳細'!$J$27&lt;=EOMONTH(BV$5,0)),"◆","")),IF(MAX('制度詳細'!$H$27,BV$5)&lt;=MIN(IF('制度詳細'!$I$27="",EOMONTH(BV$5,0),'制度詳細'!$I$27),EOMONTH(BV$5,0)),"■",IF(AND('制度詳細'!$J$27&lt;&gt;"",'制度詳細'!$J$27&gt;=BV$5,'制度詳細'!$J$27&lt;=EOMONTH(BV$5,0)),"◆","")))</x:f>
      </x:c>
      <x:c r="BW27" s="57" t="str">
        <x:f>IF('制度詳細'!$H$27="",IF('制度詳細'!$J$27="","",IF(AND('制度詳細'!$J$27&gt;=BW$5,'制度詳細'!$J$27&lt;=EOMONTH(BW$5,0)),"◆","")),IF(MAX('制度詳細'!$H$27,BW$5)&lt;=MIN(IF('制度詳細'!$I$27="",EOMONTH(BW$5,0),'制度詳細'!$I$27),EOMONTH(BW$5,0)),"■",IF(AND('制度詳細'!$J$27&lt;&gt;"",'制度詳細'!$J$27&gt;=BW$5,'制度詳細'!$J$27&lt;=EOMONTH(BW$5,0)),"◆","")))</x:f>
      </x:c>
      <x:c r="BX27" s="57" t="str">
        <x:f>IF('制度詳細'!$H$27="",IF('制度詳細'!$J$27="","",IF(AND('制度詳細'!$J$27&gt;=BX$5,'制度詳細'!$J$27&lt;=EOMONTH(BX$5,0)),"◆","")),IF(MAX('制度詳細'!$H$27,BX$5)&lt;=MIN(IF('制度詳細'!$I$27="",EOMONTH(BX$5,0),'制度詳細'!$I$27),EOMONTH(BX$5,0)),"■",IF(AND('制度詳細'!$J$27&lt;&gt;"",'制度詳細'!$J$27&gt;=BX$5,'制度詳細'!$J$27&lt;=EOMONTH(BX$5,0)),"◆","")))</x:f>
      </x:c>
      <x:c r="BY27" s="57" t="str">
        <x:f>IF('制度詳細'!$H$27="",IF('制度詳細'!$J$27="","",IF(AND('制度詳細'!$J$27&gt;=BY$5,'制度詳細'!$J$27&lt;=EOMONTH(BY$5,0)),"◆","")),IF(MAX('制度詳細'!$H$27,BY$5)&lt;=MIN(IF('制度詳細'!$I$27="",EOMONTH(BY$5,0),'制度詳細'!$I$27),EOMONTH(BY$5,0)),"■",IF(AND('制度詳細'!$J$27&lt;&gt;"",'制度詳細'!$J$27&gt;=BY$5,'制度詳細'!$J$27&lt;=EOMONTH(BY$5,0)),"◆","")))</x:f>
      </x:c>
      <x:c r="BZ27" s="57" t="str">
        <x:f>IF('制度詳細'!$H$27="",IF('制度詳細'!$J$27="","",IF(AND('制度詳細'!$J$27&gt;=BZ$5,'制度詳細'!$J$27&lt;=EOMONTH(BZ$5,0)),"◆","")),IF(MAX('制度詳細'!$H$27,BZ$5)&lt;=MIN(IF('制度詳細'!$I$27="",EOMONTH(BZ$5,0),'制度詳細'!$I$27),EOMONTH(BZ$5,0)),"■",IF(AND('制度詳細'!$J$27&lt;&gt;"",'制度詳細'!$J$27&gt;=BZ$5,'制度詳細'!$J$27&lt;=EOMONTH(BZ$5,0)),"◆","")))</x:f>
      </x:c>
      <x:c r="CA27" s="57" t="str">
        <x:f>IF('制度詳細'!$H$27="",IF('制度詳細'!$J$27="","",IF(AND('制度詳細'!$J$27&gt;=CA$5,'制度詳細'!$J$27&lt;=EOMONTH(CA$5,0)),"◆","")),IF(MAX('制度詳細'!$H$27,CA$5)&lt;=MIN(IF('制度詳細'!$I$27="",EOMONTH(CA$5,0),'制度詳細'!$I$27),EOMONTH(CA$5,0)),"■",IF(AND('制度詳細'!$J$27&lt;&gt;"",'制度詳細'!$J$27&gt;=CA$5,'制度詳細'!$J$27&lt;=EOMONTH(CA$5,0)),"◆","")))</x:f>
      </x:c>
      <x:c r="CB27" s="57" t="str">
        <x:f>IF('制度詳細'!$H$27="",IF('制度詳細'!$J$27="","",IF(AND('制度詳細'!$J$27&gt;=CB$5,'制度詳細'!$J$27&lt;=EOMONTH(CB$5,0)),"◆","")),IF(MAX('制度詳細'!$H$27,CB$5)&lt;=MIN(IF('制度詳細'!$I$27="",EOMONTH(CB$5,0),'制度詳細'!$I$27),EOMONTH(CB$5,0)),"■",IF(AND('制度詳細'!$J$27&lt;&gt;"",'制度詳細'!$J$27&gt;=CB$5,'制度詳細'!$J$27&lt;=EOMONTH(CB$5,0)),"◆","")))</x:f>
      </x:c>
      <x:c r="CC27" s="57" t="str">
        <x:f>IF('制度詳細'!$H$27="",IF('制度詳細'!$J$27="","",IF(AND('制度詳細'!$J$27&gt;=CC$5,'制度詳細'!$J$27&lt;=EOMONTH(CC$5,0)),"◆","")),IF(MAX('制度詳細'!$H$27,CC$5)&lt;=MIN(IF('制度詳細'!$I$27="",EOMONTH(CC$5,0),'制度詳細'!$I$27),EOMONTH(CC$5,0)),"■",IF(AND('制度詳細'!$J$27&lt;&gt;"",'制度詳細'!$J$27&gt;=CC$5,'制度詳細'!$J$27&lt;=EOMONTH(CC$5,0)),"◆","")))</x:f>
        <x:v>◆</x:v>
      </x:c>
      <x:c r="CD27" s="57" t="str">
        <x:f>IF('制度詳細'!$H$27="",IF('制度詳細'!$J$27="","",IF(AND('制度詳細'!$J$27&gt;=CD$5,'制度詳細'!$J$27&lt;=EOMONTH(CD$5,0)),"◆","")),IF(MAX('制度詳細'!$H$27,CD$5)&lt;=MIN(IF('制度詳細'!$I$27="",EOMONTH(CD$5,0),'制度詳細'!$I$27),EOMONTH(CD$5,0)),"■",IF(AND('制度詳細'!$J$27&lt;&gt;"",'制度詳細'!$J$27&gt;=CD$5,'制度詳細'!$J$27&lt;=EOMONTH(CD$5,0)),"◆","")))</x:f>
      </x:c>
      <x:c r="CE27" s="57" t="str">
        <x:f>IF('制度詳細'!$H$27="",IF('制度詳細'!$J$27="","",IF(AND('制度詳細'!$J$27&gt;=CE$5,'制度詳細'!$J$27&lt;=EOMONTH(CE$5,0)),"◆","")),IF(MAX('制度詳細'!$H$27,CE$5)&lt;=MIN(IF('制度詳細'!$I$27="",EOMONTH(CE$5,0),'制度詳細'!$I$27),EOMONTH(CE$5,0)),"■",IF(AND('制度詳細'!$J$27&lt;&gt;"",'制度詳細'!$J$27&gt;=CE$5,'制度詳細'!$J$27&lt;=EOMONTH(CE$5,0)),"◆","")))</x:f>
        <x:v>■</x:v>
      </x:c>
      <x:c r="CF27" s="57" t="str">
        <x:f>IF('制度詳細'!$H$27="",IF('制度詳細'!$J$27="","",IF(AND('制度詳細'!$J$27&gt;=CF$5,'制度詳細'!$J$27&lt;=EOMONTH(CF$5,0)),"◆","")),IF(MAX('制度詳細'!$H$27,CF$5)&lt;=MIN(IF('制度詳細'!$I$27="",EOMONTH(CF$5,0),'制度詳細'!$I$27),EOMONTH(CF$5,0)),"■",IF(AND('制度詳細'!$J$27&lt;&gt;"",'制度詳細'!$J$27&gt;=CF$5,'制度詳細'!$J$27&lt;=EOMONTH(CF$5,0)),"◆","")))</x:f>
        <x:v>■</x:v>
      </x:c>
      <x:c r="CG27" s="57" t="str">
        <x:f>IF('制度詳細'!$H$27="",IF('制度詳細'!$J$27="","",IF(AND('制度詳細'!$J$27&gt;=CG$5,'制度詳細'!$J$27&lt;=EOMONTH(CG$5,0)),"◆","")),IF(MAX('制度詳細'!$H$27,CG$5)&lt;=MIN(IF('制度詳細'!$I$27="",EOMONTH(CG$5,0),'制度詳細'!$I$27),EOMONTH(CG$5,0)),"■",IF(AND('制度詳細'!$J$27&lt;&gt;"",'制度詳細'!$J$27&gt;=CG$5,'制度詳細'!$J$27&lt;=EOMONTH(CG$5,0)),"◆","")))</x:f>
        <x:v>■</x:v>
      </x:c>
      <x:c r="CH27" s="57" t="str">
        <x:f>IF('制度詳細'!$H$27="",IF('制度詳細'!$J$27="","",IF(AND('制度詳細'!$J$27&gt;=CH$5,'制度詳細'!$J$27&lt;=EOMONTH(CH$5,0)),"◆","")),IF(MAX('制度詳細'!$H$27,CH$5)&lt;=MIN(IF('制度詳細'!$I$27="",EOMONTH(CH$5,0),'制度詳細'!$I$27),EOMONTH(CH$5,0)),"■",IF(AND('制度詳細'!$J$27&lt;&gt;"",'制度詳細'!$J$27&gt;=CH$5,'制度詳細'!$J$27&lt;=EOMONTH(CH$5,0)),"◆","")))</x:f>
        <x:v>■</x:v>
      </x:c>
      <x:c r="CI27" s="57" t="str">
        <x:f>IF('制度詳細'!$H$27="",IF('制度詳細'!$J$27="","",IF(AND('制度詳細'!$J$27&gt;=CI$5,'制度詳細'!$J$27&lt;=EOMONTH(CI$5,0)),"◆","")),IF(MAX('制度詳細'!$H$27,CI$5)&lt;=MIN(IF('制度詳細'!$I$27="",EOMONTH(CI$5,0),'制度詳細'!$I$27),EOMONTH(CI$5,0)),"■",IF(AND('制度詳細'!$J$27&lt;&gt;"",'制度詳細'!$J$27&gt;=CI$5,'制度詳細'!$J$27&lt;=EOMONTH(CI$5,0)),"◆","")))</x:f>
        <x:v>■</x:v>
      </x:c>
      <x:c r="CJ27" s="57" t="str">
        <x:f>IF('制度詳細'!$H$27="",IF('制度詳細'!$J$27="","",IF(AND('制度詳細'!$J$27&gt;=CJ$5,'制度詳細'!$J$27&lt;=EOMONTH(CJ$5,0)),"◆","")),IF(MAX('制度詳細'!$H$27,CJ$5)&lt;=MIN(IF('制度詳細'!$I$27="",EOMONTH(CJ$5,0),'制度詳細'!$I$27),EOMONTH(CJ$5,0)),"■",IF(AND('制度詳細'!$J$27&lt;&gt;"",'制度詳細'!$J$27&gt;=CJ$5,'制度詳細'!$J$27&lt;=EOMONTH(CJ$5,0)),"◆","")))</x:f>
        <x:v>■</x:v>
      </x:c>
      <x:c r="CK27" s="57" t="str">
        <x:f>IF('制度詳細'!$H$27="",IF('制度詳細'!$J$27="","",IF(AND('制度詳細'!$J$27&gt;=CK$5,'制度詳細'!$J$27&lt;=EOMONTH(CK$5,0)),"◆","")),IF(MAX('制度詳細'!$H$27,CK$5)&lt;=MIN(IF('制度詳細'!$I$27="",EOMONTH(CK$5,0),'制度詳細'!$I$27),EOMONTH(CK$5,0)),"■",IF(AND('制度詳細'!$J$27&lt;&gt;"",'制度詳細'!$J$27&gt;=CK$5,'制度詳細'!$J$27&lt;=EOMONTH(CK$5,0)),"◆","")))</x:f>
        <x:v>■</x:v>
      </x:c>
      <x:c r="CL27" s="57" t="str">
        <x:f>IF('制度詳細'!$H$27="",IF('制度詳細'!$J$27="","",IF(AND('制度詳細'!$J$27&gt;=CL$5,'制度詳細'!$J$27&lt;=EOMONTH(CL$5,0)),"◆","")),IF(MAX('制度詳細'!$H$27,CL$5)&lt;=MIN(IF('制度詳細'!$I$27="",EOMONTH(CL$5,0),'制度詳細'!$I$27),EOMONTH(CL$5,0)),"■",IF(AND('制度詳細'!$J$27&lt;&gt;"",'制度詳細'!$J$27&gt;=CL$5,'制度詳細'!$J$27&lt;=EOMONTH(CL$5,0)),"◆","")))</x:f>
        <x:v>■</x:v>
      </x:c>
      <x:c r="CM27" s="57" t="str">
        <x:f>IF('制度詳細'!$H$27="",IF('制度詳細'!$J$27="","",IF(AND('制度詳細'!$J$27&gt;=CM$5,'制度詳細'!$J$27&lt;=EOMONTH(CM$5,0)),"◆","")),IF(MAX('制度詳細'!$H$27,CM$5)&lt;=MIN(IF('制度詳細'!$I$27="",EOMONTH(CM$5,0),'制度詳細'!$I$27),EOMONTH(CM$5,0)),"■",IF(AND('制度詳細'!$J$27&lt;&gt;"",'制度詳細'!$J$27&gt;=CM$5,'制度詳細'!$J$27&lt;=EOMONTH(CM$5,0)),"◆","")))</x:f>
        <x:v>■</x:v>
      </x:c>
      <x:c r="CN27" s="57" t="str">
        <x:f>IF('制度詳細'!$H$27="",IF('制度詳細'!$J$27="","",IF(AND('制度詳細'!$J$27&gt;=CN$5,'制度詳細'!$J$27&lt;=EOMONTH(CN$5,0)),"◆","")),IF(MAX('制度詳細'!$H$27,CN$5)&lt;=MIN(IF('制度詳細'!$I$27="",EOMONTH(CN$5,0),'制度詳細'!$I$27),EOMONTH(CN$5,0)),"■",IF(AND('制度詳細'!$J$27&lt;&gt;"",'制度詳細'!$J$27&gt;=CN$5,'制度詳細'!$J$27&lt;=EOMONTH(CN$5,0)),"◆","")))</x:f>
        <x:v>■</x:v>
      </x:c>
      <x:c r="CO27" s="57" t="str">
        <x:f>IF('制度詳細'!$H$27="",IF('制度詳細'!$J$27="","",IF(AND('制度詳細'!$J$27&gt;=CO$5,'制度詳細'!$J$27&lt;=EOMONTH(CO$5,0)),"◆","")),IF(MAX('制度詳細'!$H$27,CO$5)&lt;=MIN(IF('制度詳細'!$I$27="",EOMONTH(CO$5,0),'制度詳細'!$I$27),EOMONTH(CO$5,0)),"■",IF(AND('制度詳細'!$J$27&lt;&gt;"",'制度詳細'!$J$27&gt;=CO$5,'制度詳細'!$J$27&lt;=EOMONTH(CO$5,0)),"◆","")))</x:f>
        <x:v>■</x:v>
      </x:c>
      <x:c r="CP27" s="57" t="str">
        <x:f>IF('制度詳細'!$H$27="",IF('制度詳細'!$J$27="","",IF(AND('制度詳細'!$J$27&gt;=CP$5,'制度詳細'!$J$27&lt;=EOMONTH(CP$5,0)),"◆","")),IF(MAX('制度詳細'!$H$27,CP$5)&lt;=MIN(IF('制度詳細'!$I$27="",EOMONTH(CP$5,0),'制度詳細'!$I$27),EOMONTH(CP$5,0)),"■",IF(AND('制度詳細'!$J$27&lt;&gt;"",'制度詳細'!$J$27&gt;=CP$5,'制度詳細'!$J$27&lt;=EOMONTH(CP$5,0)),"◆","")))</x:f>
        <x:v>■</x:v>
      </x:c>
      <x:c r="CQ27" s="57" t="str">
        <x:f>IF('制度詳細'!$H$27="",IF('制度詳細'!$J$27="","",IF(AND('制度詳細'!$J$27&gt;=CQ$5,'制度詳細'!$J$27&lt;=EOMONTH(CQ$5,0)),"◆","")),IF(MAX('制度詳細'!$H$27,CQ$5)&lt;=MIN(IF('制度詳細'!$I$27="",EOMONTH(CQ$5,0),'制度詳細'!$I$27),EOMONTH(CQ$5,0)),"■",IF(AND('制度詳細'!$J$27&lt;&gt;"",'制度詳細'!$J$27&gt;=CQ$5,'制度詳細'!$J$27&lt;=EOMONTH(CQ$5,0)),"◆","")))</x:f>
        <x:v>■</x:v>
      </x:c>
      <x:c r="CR27" s="57" t="str">
        <x:f>IF('制度詳細'!$H$27="",IF('制度詳細'!$J$27="","",IF(AND('制度詳細'!$J$27&gt;=CR$5,'制度詳細'!$J$27&lt;=EOMONTH(CR$5,0)),"◆","")),IF(MAX('制度詳細'!$H$27,CR$5)&lt;=MIN(IF('制度詳細'!$I$27="",EOMONTH(CR$5,0),'制度詳細'!$I$27),EOMONTH(CR$5,0)),"■",IF(AND('制度詳細'!$J$27&lt;&gt;"",'制度詳細'!$J$27&gt;=CR$5,'制度詳細'!$J$27&lt;=EOMONTH(CR$5,0)),"◆","")))</x:f>
        <x:v>■</x:v>
      </x:c>
      <x:c r="CS27" s="57" t="str">
        <x:f>IF('制度詳細'!$H$27="",IF('制度詳細'!$J$27="","",IF(AND('制度詳細'!$J$27&gt;=CS$5,'制度詳細'!$J$27&lt;=EOMONTH(CS$5,0)),"◆","")),IF(MAX('制度詳細'!$H$27,CS$5)&lt;=MIN(IF('制度詳細'!$I$27="",EOMONTH(CS$5,0),'制度詳細'!$I$27),EOMONTH(CS$5,0)),"■",IF(AND('制度詳細'!$J$27&lt;&gt;"",'制度詳細'!$J$27&gt;=CS$5,'制度詳細'!$J$27&lt;=EOMONTH(CS$5,0)),"◆","")))</x:f>
        <x:v>■</x:v>
      </x:c>
      <x:c r="CT27" s="57" t="str">
        <x:f>IF('制度詳細'!$H$27="",IF('制度詳細'!$J$27="","",IF(AND('制度詳細'!$J$27&gt;=CT$5,'制度詳細'!$J$27&lt;=EOMONTH(CT$5,0)),"◆","")),IF(MAX('制度詳細'!$H$27,CT$5)&lt;=MIN(IF('制度詳細'!$I$27="",EOMONTH(CT$5,0),'制度詳細'!$I$27),EOMONTH(CT$5,0)),"■",IF(AND('制度詳細'!$J$27&lt;&gt;"",'制度詳細'!$J$27&gt;=CT$5,'制度詳細'!$J$27&lt;=EOMONTH(CT$5,0)),"◆","")))</x:f>
        <x:v>■</x:v>
      </x:c>
      <x:c r="CU27" s="57" t="str">
        <x:f>IF('制度詳細'!$H$27="",IF('制度詳細'!$J$27="","",IF(AND('制度詳細'!$J$27&gt;=CU$5,'制度詳細'!$J$27&lt;=EOMONTH(CU$5,0)),"◆","")),IF(MAX('制度詳細'!$H$27,CU$5)&lt;=MIN(IF('制度詳細'!$I$27="",EOMONTH(CU$5,0),'制度詳細'!$I$27),EOMONTH(CU$5,0)),"■",IF(AND('制度詳細'!$J$27&lt;&gt;"",'制度詳細'!$J$27&gt;=CU$5,'制度詳細'!$J$27&lt;=EOMONTH(CU$5,0)),"◆","")))</x:f>
        <x:v>■</x:v>
      </x:c>
      <x:c r="CV27" s="57" t="str">
        <x:f>IF('制度詳細'!$H$27="",IF('制度詳細'!$J$27="","",IF(AND('制度詳細'!$J$27&gt;=CV$5,'制度詳細'!$J$27&lt;=EOMONTH(CV$5,0)),"◆","")),IF(MAX('制度詳細'!$H$27,CV$5)&lt;=MIN(IF('制度詳細'!$I$27="",EOMONTH(CV$5,0),'制度詳細'!$I$27),EOMONTH(CV$5,0)),"■",IF(AND('制度詳細'!$J$27&lt;&gt;"",'制度詳細'!$J$27&gt;=CV$5,'制度詳細'!$J$27&lt;=EOMONTH(CV$5,0)),"◆","")))</x:f>
        <x:v>■</x:v>
      </x:c>
      <x:c r="CW27" s="1"/>
      <x:c r="CX27" s="1"/>
      <x:c r="CY27" s="1"/>
      <x:c r="CZ27" s="1"/>
      <x:c r="DA27" s="1"/>
      <x:c r="DB27" s="1"/>
      <x:c r="DC27" s="1"/>
      <x:c r="DD27" s="1"/>
    </x:row>
    <x:row r="28" ht="27" customHeight="1">
      <x:c r="A28" s="53" t="str">
        <x:v>MY05</x:v>
      </x:c>
      <x:c r="B28" s="53" t="str">
        <x:v>マレーシア</x:v>
      </x:c>
      <x:c r="C28" s="53" t="str">
        <x:v>AP MRA EV：CKD前の試験輸入</x:v>
      </x:c>
      <x:c r="D28" s="53" t="str">
        <x:v>BEV/FCEV/PHEV/HEV</x:v>
      </x:c>
      <x:c r="E28" s="57" t="str">
        <x:f>IF('制度詳細'!$H$28="",IF('制度詳細'!$J$28="","",IF(AND('制度詳細'!$J$28&gt;=E$5,'制度詳細'!$J$28&lt;=EOMONTH(E$5,0)),"◆","")),IF(MAX('制度詳細'!$H$28,E$5)&lt;=MIN(IF('制度詳細'!$I$28="",EOMONTH(E$5,0),'制度詳細'!$I$28),EOMONTH(E$5,0)),"■",IF(AND('制度詳細'!$J$28&lt;&gt;"",'制度詳細'!$J$28&gt;=E$5,'制度詳細'!$J$28&lt;=EOMONTH(E$5,0)),"◆","")))</x:f>
      </x:c>
      <x:c r="F28" s="57" t="str">
        <x:f>IF('制度詳細'!$H$28="",IF('制度詳細'!$J$28="","",IF(AND('制度詳細'!$J$28&gt;=F$5,'制度詳細'!$J$28&lt;=EOMONTH(F$5,0)),"◆","")),IF(MAX('制度詳細'!$H$28,F$5)&lt;=MIN(IF('制度詳細'!$I$28="",EOMONTH(F$5,0),'制度詳細'!$I$28),EOMONTH(F$5,0)),"■",IF(AND('制度詳細'!$J$28&lt;&gt;"",'制度詳細'!$J$28&gt;=F$5,'制度詳細'!$J$28&lt;=EOMONTH(F$5,0)),"◆","")))</x:f>
      </x:c>
      <x:c r="G28" s="57" t="str">
        <x:f>IF('制度詳細'!$H$28="",IF('制度詳細'!$J$28="","",IF(AND('制度詳細'!$J$28&gt;=G$5,'制度詳細'!$J$28&lt;=EOMONTH(G$5,0)),"◆","")),IF(MAX('制度詳細'!$H$28,G$5)&lt;=MIN(IF('制度詳細'!$I$28="",EOMONTH(G$5,0),'制度詳細'!$I$28),EOMONTH(G$5,0)),"■",IF(AND('制度詳細'!$J$28&lt;&gt;"",'制度詳細'!$J$28&gt;=G$5,'制度詳細'!$J$28&lt;=EOMONTH(G$5,0)),"◆","")))</x:f>
      </x:c>
      <x:c r="H28" s="57" t="str">
        <x:f>IF('制度詳細'!$H$28="",IF('制度詳細'!$J$28="","",IF(AND('制度詳細'!$J$28&gt;=H$5,'制度詳細'!$J$28&lt;=EOMONTH(H$5,0)),"◆","")),IF(MAX('制度詳細'!$H$28,H$5)&lt;=MIN(IF('制度詳細'!$I$28="",EOMONTH(H$5,0),'制度詳細'!$I$28),EOMONTH(H$5,0)),"■",IF(AND('制度詳細'!$J$28&lt;&gt;"",'制度詳細'!$J$28&gt;=H$5,'制度詳細'!$J$28&lt;=EOMONTH(H$5,0)),"◆","")))</x:f>
      </x:c>
      <x:c r="I28" s="57" t="str">
        <x:f>IF('制度詳細'!$H$28="",IF('制度詳細'!$J$28="","",IF(AND('制度詳細'!$J$28&gt;=I$5,'制度詳細'!$J$28&lt;=EOMONTH(I$5,0)),"◆","")),IF(MAX('制度詳細'!$H$28,I$5)&lt;=MIN(IF('制度詳細'!$I$28="",EOMONTH(I$5,0),'制度詳細'!$I$28),EOMONTH(I$5,0)),"■",IF(AND('制度詳細'!$J$28&lt;&gt;"",'制度詳細'!$J$28&gt;=I$5,'制度詳細'!$J$28&lt;=EOMONTH(I$5,0)),"◆","")))</x:f>
      </x:c>
      <x:c r="J28" s="57" t="str">
        <x:f>IF('制度詳細'!$H$28="",IF('制度詳細'!$J$28="","",IF(AND('制度詳細'!$J$28&gt;=J$5,'制度詳細'!$J$28&lt;=EOMONTH(J$5,0)),"◆","")),IF(MAX('制度詳細'!$H$28,J$5)&lt;=MIN(IF('制度詳細'!$I$28="",EOMONTH(J$5,0),'制度詳細'!$I$28),EOMONTH(J$5,0)),"■",IF(AND('制度詳細'!$J$28&lt;&gt;"",'制度詳細'!$J$28&gt;=J$5,'制度詳細'!$J$28&lt;=EOMONTH(J$5,0)),"◆","")))</x:f>
      </x:c>
      <x:c r="K28" s="57" t="str">
        <x:f>IF('制度詳細'!$H$28="",IF('制度詳細'!$J$28="","",IF(AND('制度詳細'!$J$28&gt;=K$5,'制度詳細'!$J$28&lt;=EOMONTH(K$5,0)),"◆","")),IF(MAX('制度詳細'!$H$28,K$5)&lt;=MIN(IF('制度詳細'!$I$28="",EOMONTH(K$5,0),'制度詳細'!$I$28),EOMONTH(K$5,0)),"■",IF(AND('制度詳細'!$J$28&lt;&gt;"",'制度詳細'!$J$28&gt;=K$5,'制度詳細'!$J$28&lt;=EOMONTH(K$5,0)),"◆","")))</x:f>
      </x:c>
      <x:c r="L28" s="57" t="str">
        <x:f>IF('制度詳細'!$H$28="",IF('制度詳細'!$J$28="","",IF(AND('制度詳細'!$J$28&gt;=L$5,'制度詳細'!$J$28&lt;=EOMONTH(L$5,0)),"◆","")),IF(MAX('制度詳細'!$H$28,L$5)&lt;=MIN(IF('制度詳細'!$I$28="",EOMONTH(L$5,0),'制度詳細'!$I$28),EOMONTH(L$5,0)),"■",IF(AND('制度詳細'!$J$28&lt;&gt;"",'制度詳細'!$J$28&gt;=L$5,'制度詳細'!$J$28&lt;=EOMONTH(L$5,0)),"◆","")))</x:f>
      </x:c>
      <x:c r="M28" s="57" t="str">
        <x:f>IF('制度詳細'!$H$28="",IF('制度詳細'!$J$28="","",IF(AND('制度詳細'!$J$28&gt;=M$5,'制度詳細'!$J$28&lt;=EOMONTH(M$5,0)),"◆","")),IF(MAX('制度詳細'!$H$28,M$5)&lt;=MIN(IF('制度詳細'!$I$28="",EOMONTH(M$5,0),'制度詳細'!$I$28),EOMONTH(M$5,0)),"■",IF(AND('制度詳細'!$J$28&lt;&gt;"",'制度詳細'!$J$28&gt;=M$5,'制度詳細'!$J$28&lt;=EOMONTH(M$5,0)),"◆","")))</x:f>
      </x:c>
      <x:c r="N28" s="57" t="str">
        <x:f>IF('制度詳細'!$H$28="",IF('制度詳細'!$J$28="","",IF(AND('制度詳細'!$J$28&gt;=N$5,'制度詳細'!$J$28&lt;=EOMONTH(N$5,0)),"◆","")),IF(MAX('制度詳細'!$H$28,N$5)&lt;=MIN(IF('制度詳細'!$I$28="",EOMONTH(N$5,0),'制度詳細'!$I$28),EOMONTH(N$5,0)),"■",IF(AND('制度詳細'!$J$28&lt;&gt;"",'制度詳細'!$J$28&gt;=N$5,'制度詳細'!$J$28&lt;=EOMONTH(N$5,0)),"◆","")))</x:f>
      </x:c>
      <x:c r="O28" s="57" t="str">
        <x:f>IF('制度詳細'!$H$28="",IF('制度詳細'!$J$28="","",IF(AND('制度詳細'!$J$28&gt;=O$5,'制度詳細'!$J$28&lt;=EOMONTH(O$5,0)),"◆","")),IF(MAX('制度詳細'!$H$28,O$5)&lt;=MIN(IF('制度詳細'!$I$28="",EOMONTH(O$5,0),'制度詳細'!$I$28),EOMONTH(O$5,0)),"■",IF(AND('制度詳細'!$J$28&lt;&gt;"",'制度詳細'!$J$28&gt;=O$5,'制度詳細'!$J$28&lt;=EOMONTH(O$5,0)),"◆","")))</x:f>
      </x:c>
      <x:c r="P28" s="57" t="str">
        <x:f>IF('制度詳細'!$H$28="",IF('制度詳細'!$J$28="","",IF(AND('制度詳細'!$J$28&gt;=P$5,'制度詳細'!$J$28&lt;=EOMONTH(P$5,0)),"◆","")),IF(MAX('制度詳細'!$H$28,P$5)&lt;=MIN(IF('制度詳細'!$I$28="",EOMONTH(P$5,0),'制度詳細'!$I$28),EOMONTH(P$5,0)),"■",IF(AND('制度詳細'!$J$28&lt;&gt;"",'制度詳細'!$J$28&gt;=P$5,'制度詳細'!$J$28&lt;=EOMONTH(P$5,0)),"◆","")))</x:f>
      </x:c>
      <x:c r="Q28" s="57" t="str">
        <x:f>IF('制度詳細'!$H$28="",IF('制度詳細'!$J$28="","",IF(AND('制度詳細'!$J$28&gt;=Q$5,'制度詳細'!$J$28&lt;=EOMONTH(Q$5,0)),"◆","")),IF(MAX('制度詳細'!$H$28,Q$5)&lt;=MIN(IF('制度詳細'!$I$28="",EOMONTH(Q$5,0),'制度詳細'!$I$28),EOMONTH(Q$5,0)),"■",IF(AND('制度詳細'!$J$28&lt;&gt;"",'制度詳細'!$J$28&gt;=Q$5,'制度詳細'!$J$28&lt;=EOMONTH(Q$5,0)),"◆","")))</x:f>
      </x:c>
      <x:c r="R28" s="57" t="str">
        <x:f>IF('制度詳細'!$H$28="",IF('制度詳細'!$J$28="","",IF(AND('制度詳細'!$J$28&gt;=R$5,'制度詳細'!$J$28&lt;=EOMONTH(R$5,0)),"◆","")),IF(MAX('制度詳細'!$H$28,R$5)&lt;=MIN(IF('制度詳細'!$I$28="",EOMONTH(R$5,0),'制度詳細'!$I$28),EOMONTH(R$5,0)),"■",IF(AND('制度詳細'!$J$28&lt;&gt;"",'制度詳細'!$J$28&gt;=R$5,'制度詳細'!$J$28&lt;=EOMONTH(R$5,0)),"◆","")))</x:f>
      </x:c>
      <x:c r="S28" s="57" t="str">
        <x:f>IF('制度詳細'!$H$28="",IF('制度詳細'!$J$28="","",IF(AND('制度詳細'!$J$28&gt;=S$5,'制度詳細'!$J$28&lt;=EOMONTH(S$5,0)),"◆","")),IF(MAX('制度詳細'!$H$28,S$5)&lt;=MIN(IF('制度詳細'!$I$28="",EOMONTH(S$5,0),'制度詳細'!$I$28),EOMONTH(S$5,0)),"■",IF(AND('制度詳細'!$J$28&lt;&gt;"",'制度詳細'!$J$28&gt;=S$5,'制度詳細'!$J$28&lt;=EOMONTH(S$5,0)),"◆","")))</x:f>
      </x:c>
      <x:c r="T28" s="57" t="str">
        <x:f>IF('制度詳細'!$H$28="",IF('制度詳細'!$J$28="","",IF(AND('制度詳細'!$J$28&gt;=T$5,'制度詳細'!$J$28&lt;=EOMONTH(T$5,0)),"◆","")),IF(MAX('制度詳細'!$H$28,T$5)&lt;=MIN(IF('制度詳細'!$I$28="",EOMONTH(T$5,0),'制度詳細'!$I$28),EOMONTH(T$5,0)),"■",IF(AND('制度詳細'!$J$28&lt;&gt;"",'制度詳細'!$J$28&gt;=T$5,'制度詳細'!$J$28&lt;=EOMONTH(T$5,0)),"◆","")))</x:f>
      </x:c>
      <x:c r="U28" s="57" t="str">
        <x:f>IF('制度詳細'!$H$28="",IF('制度詳細'!$J$28="","",IF(AND('制度詳細'!$J$28&gt;=U$5,'制度詳細'!$J$28&lt;=EOMONTH(U$5,0)),"◆","")),IF(MAX('制度詳細'!$H$28,U$5)&lt;=MIN(IF('制度詳細'!$I$28="",EOMONTH(U$5,0),'制度詳細'!$I$28),EOMONTH(U$5,0)),"■",IF(AND('制度詳細'!$J$28&lt;&gt;"",'制度詳細'!$J$28&gt;=U$5,'制度詳細'!$J$28&lt;=EOMONTH(U$5,0)),"◆","")))</x:f>
      </x:c>
      <x:c r="V28" s="57" t="str">
        <x:f>IF('制度詳細'!$H$28="",IF('制度詳細'!$J$28="","",IF(AND('制度詳細'!$J$28&gt;=V$5,'制度詳細'!$J$28&lt;=EOMONTH(V$5,0)),"◆","")),IF(MAX('制度詳細'!$H$28,V$5)&lt;=MIN(IF('制度詳細'!$I$28="",EOMONTH(V$5,0),'制度詳細'!$I$28),EOMONTH(V$5,0)),"■",IF(AND('制度詳細'!$J$28&lt;&gt;"",'制度詳細'!$J$28&gt;=V$5,'制度詳細'!$J$28&lt;=EOMONTH(V$5,0)),"◆","")))</x:f>
      </x:c>
      <x:c r="W28" s="57" t="str">
        <x:f>IF('制度詳細'!$H$28="",IF('制度詳細'!$J$28="","",IF(AND('制度詳細'!$J$28&gt;=W$5,'制度詳細'!$J$28&lt;=EOMONTH(W$5,0)),"◆","")),IF(MAX('制度詳細'!$H$28,W$5)&lt;=MIN(IF('制度詳細'!$I$28="",EOMONTH(W$5,0),'制度詳細'!$I$28),EOMONTH(W$5,0)),"■",IF(AND('制度詳細'!$J$28&lt;&gt;"",'制度詳細'!$J$28&gt;=W$5,'制度詳細'!$J$28&lt;=EOMONTH(W$5,0)),"◆","")))</x:f>
      </x:c>
      <x:c r="X28" s="57" t="str">
        <x:f>IF('制度詳細'!$H$28="",IF('制度詳細'!$J$28="","",IF(AND('制度詳細'!$J$28&gt;=X$5,'制度詳細'!$J$28&lt;=EOMONTH(X$5,0)),"◆","")),IF(MAX('制度詳細'!$H$28,X$5)&lt;=MIN(IF('制度詳細'!$I$28="",EOMONTH(X$5,0),'制度詳細'!$I$28),EOMONTH(X$5,0)),"■",IF(AND('制度詳細'!$J$28&lt;&gt;"",'制度詳細'!$J$28&gt;=X$5,'制度詳細'!$J$28&lt;=EOMONTH(X$5,0)),"◆","")))</x:f>
      </x:c>
      <x:c r="Y28" s="57" t="str">
        <x:f>IF('制度詳細'!$H$28="",IF('制度詳細'!$J$28="","",IF(AND('制度詳細'!$J$28&gt;=Y$5,'制度詳細'!$J$28&lt;=EOMONTH(Y$5,0)),"◆","")),IF(MAX('制度詳細'!$H$28,Y$5)&lt;=MIN(IF('制度詳細'!$I$28="",EOMONTH(Y$5,0),'制度詳細'!$I$28),EOMONTH(Y$5,0)),"■",IF(AND('制度詳細'!$J$28&lt;&gt;"",'制度詳細'!$J$28&gt;=Y$5,'制度詳細'!$J$28&lt;=EOMONTH(Y$5,0)),"◆","")))</x:f>
      </x:c>
      <x:c r="Z28" s="57" t="str">
        <x:f>IF('制度詳細'!$H$28="",IF('制度詳細'!$J$28="","",IF(AND('制度詳細'!$J$28&gt;=Z$5,'制度詳細'!$J$28&lt;=EOMONTH(Z$5,0)),"◆","")),IF(MAX('制度詳細'!$H$28,Z$5)&lt;=MIN(IF('制度詳細'!$I$28="",EOMONTH(Z$5,0),'制度詳細'!$I$28),EOMONTH(Z$5,0)),"■",IF(AND('制度詳細'!$J$28&lt;&gt;"",'制度詳細'!$J$28&gt;=Z$5,'制度詳細'!$J$28&lt;=EOMONTH(Z$5,0)),"◆","")))</x:f>
      </x:c>
      <x:c r="AA28" s="57" t="str">
        <x:f>IF('制度詳細'!$H$28="",IF('制度詳細'!$J$28="","",IF(AND('制度詳細'!$J$28&gt;=AA$5,'制度詳細'!$J$28&lt;=EOMONTH(AA$5,0)),"◆","")),IF(MAX('制度詳細'!$H$28,AA$5)&lt;=MIN(IF('制度詳細'!$I$28="",EOMONTH(AA$5,0),'制度詳細'!$I$28),EOMONTH(AA$5,0)),"■",IF(AND('制度詳細'!$J$28&lt;&gt;"",'制度詳細'!$J$28&gt;=AA$5,'制度詳細'!$J$28&lt;=EOMONTH(AA$5,0)),"◆","")))</x:f>
      </x:c>
      <x:c r="AB28" s="57" t="str">
        <x:f>IF('制度詳細'!$H$28="",IF('制度詳細'!$J$28="","",IF(AND('制度詳細'!$J$28&gt;=AB$5,'制度詳細'!$J$28&lt;=EOMONTH(AB$5,0)),"◆","")),IF(MAX('制度詳細'!$H$28,AB$5)&lt;=MIN(IF('制度詳細'!$I$28="",EOMONTH(AB$5,0),'制度詳細'!$I$28),EOMONTH(AB$5,0)),"■",IF(AND('制度詳細'!$J$28&lt;&gt;"",'制度詳細'!$J$28&gt;=AB$5,'制度詳細'!$J$28&lt;=EOMONTH(AB$5,0)),"◆","")))</x:f>
      </x:c>
      <x:c r="AC28" s="57" t="str">
        <x:f>IF('制度詳細'!$H$28="",IF('制度詳細'!$J$28="","",IF(AND('制度詳細'!$J$28&gt;=AC$5,'制度詳細'!$J$28&lt;=EOMONTH(AC$5,0)),"◆","")),IF(MAX('制度詳細'!$H$28,AC$5)&lt;=MIN(IF('制度詳細'!$I$28="",EOMONTH(AC$5,0),'制度詳細'!$I$28),EOMONTH(AC$5,0)),"■",IF(AND('制度詳細'!$J$28&lt;&gt;"",'制度詳細'!$J$28&gt;=AC$5,'制度詳細'!$J$28&lt;=EOMONTH(AC$5,0)),"◆","")))</x:f>
      </x:c>
      <x:c r="AD28" s="57" t="str">
        <x:f>IF('制度詳細'!$H$28="",IF('制度詳細'!$J$28="","",IF(AND('制度詳細'!$J$28&gt;=AD$5,'制度詳細'!$J$28&lt;=EOMONTH(AD$5,0)),"◆","")),IF(MAX('制度詳細'!$H$28,AD$5)&lt;=MIN(IF('制度詳細'!$I$28="",EOMONTH(AD$5,0),'制度詳細'!$I$28),EOMONTH(AD$5,0)),"■",IF(AND('制度詳細'!$J$28&lt;&gt;"",'制度詳細'!$J$28&gt;=AD$5,'制度詳細'!$J$28&lt;=EOMONTH(AD$5,0)),"◆","")))</x:f>
      </x:c>
      <x:c r="AE28" s="57" t="str">
        <x:f>IF('制度詳細'!$H$28="",IF('制度詳細'!$J$28="","",IF(AND('制度詳細'!$J$28&gt;=AE$5,'制度詳細'!$J$28&lt;=EOMONTH(AE$5,0)),"◆","")),IF(MAX('制度詳細'!$H$28,AE$5)&lt;=MIN(IF('制度詳細'!$I$28="",EOMONTH(AE$5,0),'制度詳細'!$I$28),EOMONTH(AE$5,0)),"■",IF(AND('制度詳細'!$J$28&lt;&gt;"",'制度詳細'!$J$28&gt;=AE$5,'制度詳細'!$J$28&lt;=EOMONTH(AE$5,0)),"◆","")))</x:f>
      </x:c>
      <x:c r="AF28" s="57" t="str">
        <x:f>IF('制度詳細'!$H$28="",IF('制度詳細'!$J$28="","",IF(AND('制度詳細'!$J$28&gt;=AF$5,'制度詳細'!$J$28&lt;=EOMONTH(AF$5,0)),"◆","")),IF(MAX('制度詳細'!$H$28,AF$5)&lt;=MIN(IF('制度詳細'!$I$28="",EOMONTH(AF$5,0),'制度詳細'!$I$28),EOMONTH(AF$5,0)),"■",IF(AND('制度詳細'!$J$28&lt;&gt;"",'制度詳細'!$J$28&gt;=AF$5,'制度詳細'!$J$28&lt;=EOMONTH(AF$5,0)),"◆","")))</x:f>
      </x:c>
      <x:c r="AG28" s="57" t="str">
        <x:f>IF('制度詳細'!$H$28="",IF('制度詳細'!$J$28="","",IF(AND('制度詳細'!$J$28&gt;=AG$5,'制度詳細'!$J$28&lt;=EOMONTH(AG$5,0)),"◆","")),IF(MAX('制度詳細'!$H$28,AG$5)&lt;=MIN(IF('制度詳細'!$I$28="",EOMONTH(AG$5,0),'制度詳細'!$I$28),EOMONTH(AG$5,0)),"■",IF(AND('制度詳細'!$J$28&lt;&gt;"",'制度詳細'!$J$28&gt;=AG$5,'制度詳細'!$J$28&lt;=EOMONTH(AG$5,0)),"◆","")))</x:f>
      </x:c>
      <x:c r="AH28" s="57" t="str">
        <x:f>IF('制度詳細'!$H$28="",IF('制度詳細'!$J$28="","",IF(AND('制度詳細'!$J$28&gt;=AH$5,'制度詳細'!$J$28&lt;=EOMONTH(AH$5,0)),"◆","")),IF(MAX('制度詳細'!$H$28,AH$5)&lt;=MIN(IF('制度詳細'!$I$28="",EOMONTH(AH$5,0),'制度詳細'!$I$28),EOMONTH(AH$5,0)),"■",IF(AND('制度詳細'!$J$28&lt;&gt;"",'制度詳細'!$J$28&gt;=AH$5,'制度詳細'!$J$28&lt;=EOMONTH(AH$5,0)),"◆","")))</x:f>
      </x:c>
      <x:c r="AI28" s="57" t="str">
        <x:f>IF('制度詳細'!$H$28="",IF('制度詳細'!$J$28="","",IF(AND('制度詳細'!$J$28&gt;=AI$5,'制度詳細'!$J$28&lt;=EOMONTH(AI$5,0)),"◆","")),IF(MAX('制度詳細'!$H$28,AI$5)&lt;=MIN(IF('制度詳細'!$I$28="",EOMONTH(AI$5,0),'制度詳細'!$I$28),EOMONTH(AI$5,0)),"■",IF(AND('制度詳細'!$J$28&lt;&gt;"",'制度詳細'!$J$28&gt;=AI$5,'制度詳細'!$J$28&lt;=EOMONTH(AI$5,0)),"◆","")))</x:f>
      </x:c>
      <x:c r="AJ28" s="57" t="str">
        <x:f>IF('制度詳細'!$H$28="",IF('制度詳細'!$J$28="","",IF(AND('制度詳細'!$J$28&gt;=AJ$5,'制度詳細'!$J$28&lt;=EOMONTH(AJ$5,0)),"◆","")),IF(MAX('制度詳細'!$H$28,AJ$5)&lt;=MIN(IF('制度詳細'!$I$28="",EOMONTH(AJ$5,0),'制度詳細'!$I$28),EOMONTH(AJ$5,0)),"■",IF(AND('制度詳細'!$J$28&lt;&gt;"",'制度詳細'!$J$28&gt;=AJ$5,'制度詳細'!$J$28&lt;=EOMONTH(AJ$5,0)),"◆","")))</x:f>
      </x:c>
      <x:c r="AK28" s="57" t="str">
        <x:f>IF('制度詳細'!$H$28="",IF('制度詳細'!$J$28="","",IF(AND('制度詳細'!$J$28&gt;=AK$5,'制度詳細'!$J$28&lt;=EOMONTH(AK$5,0)),"◆","")),IF(MAX('制度詳細'!$H$28,AK$5)&lt;=MIN(IF('制度詳細'!$I$28="",EOMONTH(AK$5,0),'制度詳細'!$I$28),EOMONTH(AK$5,0)),"■",IF(AND('制度詳細'!$J$28&lt;&gt;"",'制度詳細'!$J$28&gt;=AK$5,'制度詳細'!$J$28&lt;=EOMONTH(AK$5,0)),"◆","")))</x:f>
      </x:c>
      <x:c r="AL28" s="57" t="str">
        <x:f>IF('制度詳細'!$H$28="",IF('制度詳細'!$J$28="","",IF(AND('制度詳細'!$J$28&gt;=AL$5,'制度詳細'!$J$28&lt;=EOMONTH(AL$5,0)),"◆","")),IF(MAX('制度詳細'!$H$28,AL$5)&lt;=MIN(IF('制度詳細'!$I$28="",EOMONTH(AL$5,0),'制度詳細'!$I$28),EOMONTH(AL$5,0)),"■",IF(AND('制度詳細'!$J$28&lt;&gt;"",'制度詳細'!$J$28&gt;=AL$5,'制度詳細'!$J$28&lt;=EOMONTH(AL$5,0)),"◆","")))</x:f>
      </x:c>
      <x:c r="AM28" s="57" t="str">
        <x:f>IF('制度詳細'!$H$28="",IF('制度詳細'!$J$28="","",IF(AND('制度詳細'!$J$28&gt;=AM$5,'制度詳細'!$J$28&lt;=EOMONTH(AM$5,0)),"◆","")),IF(MAX('制度詳細'!$H$28,AM$5)&lt;=MIN(IF('制度詳細'!$I$28="",EOMONTH(AM$5,0),'制度詳細'!$I$28),EOMONTH(AM$5,0)),"■",IF(AND('制度詳細'!$J$28&lt;&gt;"",'制度詳細'!$J$28&gt;=AM$5,'制度詳細'!$J$28&lt;=EOMONTH(AM$5,0)),"◆","")))</x:f>
      </x:c>
      <x:c r="AN28" s="57" t="str">
        <x:f>IF('制度詳細'!$H$28="",IF('制度詳細'!$J$28="","",IF(AND('制度詳細'!$J$28&gt;=AN$5,'制度詳細'!$J$28&lt;=EOMONTH(AN$5,0)),"◆","")),IF(MAX('制度詳細'!$H$28,AN$5)&lt;=MIN(IF('制度詳細'!$I$28="",EOMONTH(AN$5,0),'制度詳細'!$I$28),EOMONTH(AN$5,0)),"■",IF(AND('制度詳細'!$J$28&lt;&gt;"",'制度詳細'!$J$28&gt;=AN$5,'制度詳細'!$J$28&lt;=EOMONTH(AN$5,0)),"◆","")))</x:f>
      </x:c>
      <x:c r="AO28" s="57" t="str">
        <x:f>IF('制度詳細'!$H$28="",IF('制度詳細'!$J$28="","",IF(AND('制度詳細'!$J$28&gt;=AO$5,'制度詳細'!$J$28&lt;=EOMONTH(AO$5,0)),"◆","")),IF(MAX('制度詳細'!$H$28,AO$5)&lt;=MIN(IF('制度詳細'!$I$28="",EOMONTH(AO$5,0),'制度詳細'!$I$28),EOMONTH(AO$5,0)),"■",IF(AND('制度詳細'!$J$28&lt;&gt;"",'制度詳細'!$J$28&gt;=AO$5,'制度詳細'!$J$28&lt;=EOMONTH(AO$5,0)),"◆","")))</x:f>
      </x:c>
      <x:c r="AP28" s="57" t="str">
        <x:f>IF('制度詳細'!$H$28="",IF('制度詳細'!$J$28="","",IF(AND('制度詳細'!$J$28&gt;=AP$5,'制度詳細'!$J$28&lt;=EOMONTH(AP$5,0)),"◆","")),IF(MAX('制度詳細'!$H$28,AP$5)&lt;=MIN(IF('制度詳細'!$I$28="",EOMONTH(AP$5,0),'制度詳細'!$I$28),EOMONTH(AP$5,0)),"■",IF(AND('制度詳細'!$J$28&lt;&gt;"",'制度詳細'!$J$28&gt;=AP$5,'制度詳細'!$J$28&lt;=EOMONTH(AP$5,0)),"◆","")))</x:f>
      </x:c>
      <x:c r="AQ28" s="57" t="str">
        <x:f>IF('制度詳細'!$H$28="",IF('制度詳細'!$J$28="","",IF(AND('制度詳細'!$J$28&gt;=AQ$5,'制度詳細'!$J$28&lt;=EOMONTH(AQ$5,0)),"◆","")),IF(MAX('制度詳細'!$H$28,AQ$5)&lt;=MIN(IF('制度詳細'!$I$28="",EOMONTH(AQ$5,0),'制度詳細'!$I$28),EOMONTH(AQ$5,0)),"■",IF(AND('制度詳細'!$J$28&lt;&gt;"",'制度詳細'!$J$28&gt;=AQ$5,'制度詳細'!$J$28&lt;=EOMONTH(AQ$5,0)),"◆","")))</x:f>
      </x:c>
      <x:c r="AR28" s="57" t="str">
        <x:f>IF('制度詳細'!$H$28="",IF('制度詳細'!$J$28="","",IF(AND('制度詳細'!$J$28&gt;=AR$5,'制度詳細'!$J$28&lt;=EOMONTH(AR$5,0)),"◆","")),IF(MAX('制度詳細'!$H$28,AR$5)&lt;=MIN(IF('制度詳細'!$I$28="",EOMONTH(AR$5,0),'制度詳細'!$I$28),EOMONTH(AR$5,0)),"■",IF(AND('制度詳細'!$J$28&lt;&gt;"",'制度詳細'!$J$28&gt;=AR$5,'制度詳細'!$J$28&lt;=EOMONTH(AR$5,0)),"◆","")))</x:f>
      </x:c>
      <x:c r="AS28" s="57" t="str">
        <x:f>IF('制度詳細'!$H$28="",IF('制度詳細'!$J$28="","",IF(AND('制度詳細'!$J$28&gt;=AS$5,'制度詳細'!$J$28&lt;=EOMONTH(AS$5,0)),"◆","")),IF(MAX('制度詳細'!$H$28,AS$5)&lt;=MIN(IF('制度詳細'!$I$28="",EOMONTH(AS$5,0),'制度詳細'!$I$28),EOMONTH(AS$5,0)),"■",IF(AND('制度詳細'!$J$28&lt;&gt;"",'制度詳細'!$J$28&gt;=AS$5,'制度詳細'!$J$28&lt;=EOMONTH(AS$5,0)),"◆","")))</x:f>
      </x:c>
      <x:c r="AT28" s="57" t="str">
        <x:f>IF('制度詳細'!$H$28="",IF('制度詳細'!$J$28="","",IF(AND('制度詳細'!$J$28&gt;=AT$5,'制度詳細'!$J$28&lt;=EOMONTH(AT$5,0)),"◆","")),IF(MAX('制度詳細'!$H$28,AT$5)&lt;=MIN(IF('制度詳細'!$I$28="",EOMONTH(AT$5,0),'制度詳細'!$I$28),EOMONTH(AT$5,0)),"■",IF(AND('制度詳細'!$J$28&lt;&gt;"",'制度詳細'!$J$28&gt;=AT$5,'制度詳細'!$J$28&lt;=EOMONTH(AT$5,0)),"◆","")))</x:f>
      </x:c>
      <x:c r="AU28" s="57" t="str">
        <x:f>IF('制度詳細'!$H$28="",IF('制度詳細'!$J$28="","",IF(AND('制度詳細'!$J$28&gt;=AU$5,'制度詳細'!$J$28&lt;=EOMONTH(AU$5,0)),"◆","")),IF(MAX('制度詳細'!$H$28,AU$5)&lt;=MIN(IF('制度詳細'!$I$28="",EOMONTH(AU$5,0),'制度詳細'!$I$28),EOMONTH(AU$5,0)),"■",IF(AND('制度詳細'!$J$28&lt;&gt;"",'制度詳細'!$J$28&gt;=AU$5,'制度詳細'!$J$28&lt;=EOMONTH(AU$5,0)),"◆","")))</x:f>
      </x:c>
      <x:c r="AV28" s="57" t="str">
        <x:f>IF('制度詳細'!$H$28="",IF('制度詳細'!$J$28="","",IF(AND('制度詳細'!$J$28&gt;=AV$5,'制度詳細'!$J$28&lt;=EOMONTH(AV$5,0)),"◆","")),IF(MAX('制度詳細'!$H$28,AV$5)&lt;=MIN(IF('制度詳細'!$I$28="",EOMONTH(AV$5,0),'制度詳細'!$I$28),EOMONTH(AV$5,0)),"■",IF(AND('制度詳細'!$J$28&lt;&gt;"",'制度詳細'!$J$28&gt;=AV$5,'制度詳細'!$J$28&lt;=EOMONTH(AV$5,0)),"◆","")))</x:f>
      </x:c>
      <x:c r="AW28" s="57" t="str">
        <x:f>IF('制度詳細'!$H$28="",IF('制度詳細'!$J$28="","",IF(AND('制度詳細'!$J$28&gt;=AW$5,'制度詳細'!$J$28&lt;=EOMONTH(AW$5,0)),"◆","")),IF(MAX('制度詳細'!$H$28,AW$5)&lt;=MIN(IF('制度詳細'!$I$28="",EOMONTH(AW$5,0),'制度詳細'!$I$28),EOMONTH(AW$5,0)),"■",IF(AND('制度詳細'!$J$28&lt;&gt;"",'制度詳細'!$J$28&gt;=AW$5,'制度詳細'!$J$28&lt;=EOMONTH(AW$5,0)),"◆","")))</x:f>
      </x:c>
      <x:c r="AX28" s="57" t="str">
        <x:f>IF('制度詳細'!$H$28="",IF('制度詳細'!$J$28="","",IF(AND('制度詳細'!$J$28&gt;=AX$5,'制度詳細'!$J$28&lt;=EOMONTH(AX$5,0)),"◆","")),IF(MAX('制度詳細'!$H$28,AX$5)&lt;=MIN(IF('制度詳細'!$I$28="",EOMONTH(AX$5,0),'制度詳細'!$I$28),EOMONTH(AX$5,0)),"■",IF(AND('制度詳細'!$J$28&lt;&gt;"",'制度詳細'!$J$28&gt;=AX$5,'制度詳細'!$J$28&lt;=EOMONTH(AX$5,0)),"◆","")))</x:f>
      </x:c>
      <x:c r="AY28" s="57" t="str">
        <x:f>IF('制度詳細'!$H$28="",IF('制度詳細'!$J$28="","",IF(AND('制度詳細'!$J$28&gt;=AY$5,'制度詳細'!$J$28&lt;=EOMONTH(AY$5,0)),"◆","")),IF(MAX('制度詳細'!$H$28,AY$5)&lt;=MIN(IF('制度詳細'!$I$28="",EOMONTH(AY$5,0),'制度詳細'!$I$28),EOMONTH(AY$5,0)),"■",IF(AND('制度詳細'!$J$28&lt;&gt;"",'制度詳細'!$J$28&gt;=AY$5,'制度詳細'!$J$28&lt;=EOMONTH(AY$5,0)),"◆","")))</x:f>
      </x:c>
      <x:c r="AZ28" s="57" t="str">
        <x:f>IF('制度詳細'!$H$28="",IF('制度詳細'!$J$28="","",IF(AND('制度詳細'!$J$28&gt;=AZ$5,'制度詳細'!$J$28&lt;=EOMONTH(AZ$5,0)),"◆","")),IF(MAX('制度詳細'!$H$28,AZ$5)&lt;=MIN(IF('制度詳細'!$I$28="",EOMONTH(AZ$5,0),'制度詳細'!$I$28),EOMONTH(AZ$5,0)),"■",IF(AND('制度詳細'!$J$28&lt;&gt;"",'制度詳細'!$J$28&gt;=AZ$5,'制度詳細'!$J$28&lt;=EOMONTH(AZ$5,0)),"◆","")))</x:f>
      </x:c>
      <x:c r="BA28" s="57" t="str">
        <x:f>IF('制度詳細'!$H$28="",IF('制度詳細'!$J$28="","",IF(AND('制度詳細'!$J$28&gt;=BA$5,'制度詳細'!$J$28&lt;=EOMONTH(BA$5,0)),"◆","")),IF(MAX('制度詳細'!$H$28,BA$5)&lt;=MIN(IF('制度詳細'!$I$28="",EOMONTH(BA$5,0),'制度詳細'!$I$28),EOMONTH(BA$5,0)),"■",IF(AND('制度詳細'!$J$28&lt;&gt;"",'制度詳細'!$J$28&gt;=BA$5,'制度詳細'!$J$28&lt;=EOMONTH(BA$5,0)),"◆","")))</x:f>
      </x:c>
      <x:c r="BB28" s="57" t="str">
        <x:f>IF('制度詳細'!$H$28="",IF('制度詳細'!$J$28="","",IF(AND('制度詳細'!$J$28&gt;=BB$5,'制度詳細'!$J$28&lt;=EOMONTH(BB$5,0)),"◆","")),IF(MAX('制度詳細'!$H$28,BB$5)&lt;=MIN(IF('制度詳細'!$I$28="",EOMONTH(BB$5,0),'制度詳細'!$I$28),EOMONTH(BB$5,0)),"■",IF(AND('制度詳細'!$J$28&lt;&gt;"",'制度詳細'!$J$28&gt;=BB$5,'制度詳細'!$J$28&lt;=EOMONTH(BB$5,0)),"◆","")))</x:f>
      </x:c>
      <x:c r="BC28" s="57" t="str">
        <x:f>IF('制度詳細'!$H$28="",IF('制度詳細'!$J$28="","",IF(AND('制度詳細'!$J$28&gt;=BC$5,'制度詳細'!$J$28&lt;=EOMONTH(BC$5,0)),"◆","")),IF(MAX('制度詳細'!$H$28,BC$5)&lt;=MIN(IF('制度詳細'!$I$28="",EOMONTH(BC$5,0),'制度詳細'!$I$28),EOMONTH(BC$5,0)),"■",IF(AND('制度詳細'!$J$28&lt;&gt;"",'制度詳細'!$J$28&gt;=BC$5,'制度詳細'!$J$28&lt;=EOMONTH(BC$5,0)),"◆","")))</x:f>
      </x:c>
      <x:c r="BD28" s="57" t="str">
        <x:f>IF('制度詳細'!$H$28="",IF('制度詳細'!$J$28="","",IF(AND('制度詳細'!$J$28&gt;=BD$5,'制度詳細'!$J$28&lt;=EOMONTH(BD$5,0)),"◆","")),IF(MAX('制度詳細'!$H$28,BD$5)&lt;=MIN(IF('制度詳細'!$I$28="",EOMONTH(BD$5,0),'制度詳細'!$I$28),EOMONTH(BD$5,0)),"■",IF(AND('制度詳細'!$J$28&lt;&gt;"",'制度詳細'!$J$28&gt;=BD$5,'制度詳細'!$J$28&lt;=EOMONTH(BD$5,0)),"◆","")))</x:f>
      </x:c>
      <x:c r="BE28" s="57" t="str">
        <x:f>IF('制度詳細'!$H$28="",IF('制度詳細'!$J$28="","",IF(AND('制度詳細'!$J$28&gt;=BE$5,'制度詳細'!$J$28&lt;=EOMONTH(BE$5,0)),"◆","")),IF(MAX('制度詳細'!$H$28,BE$5)&lt;=MIN(IF('制度詳細'!$I$28="",EOMONTH(BE$5,0),'制度詳細'!$I$28),EOMONTH(BE$5,0)),"■",IF(AND('制度詳細'!$J$28&lt;&gt;"",'制度詳細'!$J$28&gt;=BE$5,'制度詳細'!$J$28&lt;=EOMONTH(BE$5,0)),"◆","")))</x:f>
      </x:c>
      <x:c r="BF28" s="57" t="str">
        <x:f>IF('制度詳細'!$H$28="",IF('制度詳細'!$J$28="","",IF(AND('制度詳細'!$J$28&gt;=BF$5,'制度詳細'!$J$28&lt;=EOMONTH(BF$5,0)),"◆","")),IF(MAX('制度詳細'!$H$28,BF$5)&lt;=MIN(IF('制度詳細'!$I$28="",EOMONTH(BF$5,0),'制度詳細'!$I$28),EOMONTH(BF$5,0)),"■",IF(AND('制度詳細'!$J$28&lt;&gt;"",'制度詳細'!$J$28&gt;=BF$5,'制度詳細'!$J$28&lt;=EOMONTH(BF$5,0)),"◆","")))</x:f>
      </x:c>
      <x:c r="BG28" s="57" t="str">
        <x:f>IF('制度詳細'!$H$28="",IF('制度詳細'!$J$28="","",IF(AND('制度詳細'!$J$28&gt;=BG$5,'制度詳細'!$J$28&lt;=EOMONTH(BG$5,0)),"◆","")),IF(MAX('制度詳細'!$H$28,BG$5)&lt;=MIN(IF('制度詳細'!$I$28="",EOMONTH(BG$5,0),'制度詳細'!$I$28),EOMONTH(BG$5,0)),"■",IF(AND('制度詳細'!$J$28&lt;&gt;"",'制度詳細'!$J$28&gt;=BG$5,'制度詳細'!$J$28&lt;=EOMONTH(BG$5,0)),"◆","")))</x:f>
      </x:c>
      <x:c r="BH28" s="57" t="str">
        <x:f>IF('制度詳細'!$H$28="",IF('制度詳細'!$J$28="","",IF(AND('制度詳細'!$J$28&gt;=BH$5,'制度詳細'!$J$28&lt;=EOMONTH(BH$5,0)),"◆","")),IF(MAX('制度詳細'!$H$28,BH$5)&lt;=MIN(IF('制度詳細'!$I$28="",EOMONTH(BH$5,0),'制度詳細'!$I$28),EOMONTH(BH$5,0)),"■",IF(AND('制度詳細'!$J$28&lt;&gt;"",'制度詳細'!$J$28&gt;=BH$5,'制度詳細'!$J$28&lt;=EOMONTH(BH$5,0)),"◆","")))</x:f>
      </x:c>
      <x:c r="BI28" s="57" t="str">
        <x:f>IF('制度詳細'!$H$28="",IF('制度詳細'!$J$28="","",IF(AND('制度詳細'!$J$28&gt;=BI$5,'制度詳細'!$J$28&lt;=EOMONTH(BI$5,0)),"◆","")),IF(MAX('制度詳細'!$H$28,BI$5)&lt;=MIN(IF('制度詳細'!$I$28="",EOMONTH(BI$5,0),'制度詳細'!$I$28),EOMONTH(BI$5,0)),"■",IF(AND('制度詳細'!$J$28&lt;&gt;"",'制度詳細'!$J$28&gt;=BI$5,'制度詳細'!$J$28&lt;=EOMONTH(BI$5,0)),"◆","")))</x:f>
      </x:c>
      <x:c r="BJ28" s="57" t="str">
        <x:f>IF('制度詳細'!$H$28="",IF('制度詳細'!$J$28="","",IF(AND('制度詳細'!$J$28&gt;=BJ$5,'制度詳細'!$J$28&lt;=EOMONTH(BJ$5,0)),"◆","")),IF(MAX('制度詳細'!$H$28,BJ$5)&lt;=MIN(IF('制度詳細'!$I$28="",EOMONTH(BJ$5,0),'制度詳細'!$I$28),EOMONTH(BJ$5,0)),"■",IF(AND('制度詳細'!$J$28&lt;&gt;"",'制度詳細'!$J$28&gt;=BJ$5,'制度詳細'!$J$28&lt;=EOMONTH(BJ$5,0)),"◆","")))</x:f>
      </x:c>
      <x:c r="BK28" s="57" t="str">
        <x:f>IF('制度詳細'!$H$28="",IF('制度詳細'!$J$28="","",IF(AND('制度詳細'!$J$28&gt;=BK$5,'制度詳細'!$J$28&lt;=EOMONTH(BK$5,0)),"◆","")),IF(MAX('制度詳細'!$H$28,BK$5)&lt;=MIN(IF('制度詳細'!$I$28="",EOMONTH(BK$5,0),'制度詳細'!$I$28),EOMONTH(BK$5,0)),"■",IF(AND('制度詳細'!$J$28&lt;&gt;"",'制度詳細'!$J$28&gt;=BK$5,'制度詳細'!$J$28&lt;=EOMONTH(BK$5,0)),"◆","")))</x:f>
      </x:c>
      <x:c r="BL28" s="57" t="str">
        <x:f>IF('制度詳細'!$H$28="",IF('制度詳細'!$J$28="","",IF(AND('制度詳細'!$J$28&gt;=BL$5,'制度詳細'!$J$28&lt;=EOMONTH(BL$5,0)),"◆","")),IF(MAX('制度詳細'!$H$28,BL$5)&lt;=MIN(IF('制度詳細'!$I$28="",EOMONTH(BL$5,0),'制度詳細'!$I$28),EOMONTH(BL$5,0)),"■",IF(AND('制度詳細'!$J$28&lt;&gt;"",'制度詳細'!$J$28&gt;=BL$5,'制度詳細'!$J$28&lt;=EOMONTH(BL$5,0)),"◆","")))</x:f>
      </x:c>
      <x:c r="BM28" s="57" t="str">
        <x:f>IF('制度詳細'!$H$28="",IF('制度詳細'!$J$28="","",IF(AND('制度詳細'!$J$28&gt;=BM$5,'制度詳細'!$J$28&lt;=EOMONTH(BM$5,0)),"◆","")),IF(MAX('制度詳細'!$H$28,BM$5)&lt;=MIN(IF('制度詳細'!$I$28="",EOMONTH(BM$5,0),'制度詳細'!$I$28),EOMONTH(BM$5,0)),"■",IF(AND('制度詳細'!$J$28&lt;&gt;"",'制度詳細'!$J$28&gt;=BM$5,'制度詳細'!$J$28&lt;=EOMONTH(BM$5,0)),"◆","")))</x:f>
      </x:c>
      <x:c r="BN28" s="57" t="str">
        <x:f>IF('制度詳細'!$H$28="",IF('制度詳細'!$J$28="","",IF(AND('制度詳細'!$J$28&gt;=BN$5,'制度詳細'!$J$28&lt;=EOMONTH(BN$5,0)),"◆","")),IF(MAX('制度詳細'!$H$28,BN$5)&lt;=MIN(IF('制度詳細'!$I$28="",EOMONTH(BN$5,0),'制度詳細'!$I$28),EOMONTH(BN$5,0)),"■",IF(AND('制度詳細'!$J$28&lt;&gt;"",'制度詳細'!$J$28&gt;=BN$5,'制度詳細'!$J$28&lt;=EOMONTH(BN$5,0)),"◆","")))</x:f>
      </x:c>
      <x:c r="BO28" s="57" t="str">
        <x:f>IF('制度詳細'!$H$28="",IF('制度詳細'!$J$28="","",IF(AND('制度詳細'!$J$28&gt;=BO$5,'制度詳細'!$J$28&lt;=EOMONTH(BO$5,0)),"◆","")),IF(MAX('制度詳細'!$H$28,BO$5)&lt;=MIN(IF('制度詳細'!$I$28="",EOMONTH(BO$5,0),'制度詳細'!$I$28),EOMONTH(BO$5,0)),"■",IF(AND('制度詳細'!$J$28&lt;&gt;"",'制度詳細'!$J$28&gt;=BO$5,'制度詳細'!$J$28&lt;=EOMONTH(BO$5,0)),"◆","")))</x:f>
      </x:c>
      <x:c r="BP28" s="57" t="str">
        <x:f>IF('制度詳細'!$H$28="",IF('制度詳細'!$J$28="","",IF(AND('制度詳細'!$J$28&gt;=BP$5,'制度詳細'!$J$28&lt;=EOMONTH(BP$5,0)),"◆","")),IF(MAX('制度詳細'!$H$28,BP$5)&lt;=MIN(IF('制度詳細'!$I$28="",EOMONTH(BP$5,0),'制度詳細'!$I$28),EOMONTH(BP$5,0)),"■",IF(AND('制度詳細'!$J$28&lt;&gt;"",'制度詳細'!$J$28&gt;=BP$5,'制度詳細'!$J$28&lt;=EOMONTH(BP$5,0)),"◆","")))</x:f>
      </x:c>
      <x:c r="BQ28" s="57" t="str">
        <x:f>IF('制度詳細'!$H$28="",IF('制度詳細'!$J$28="","",IF(AND('制度詳細'!$J$28&gt;=BQ$5,'制度詳細'!$J$28&lt;=EOMONTH(BQ$5,0)),"◆","")),IF(MAX('制度詳細'!$H$28,BQ$5)&lt;=MIN(IF('制度詳細'!$I$28="",EOMONTH(BQ$5,0),'制度詳細'!$I$28),EOMONTH(BQ$5,0)),"■",IF(AND('制度詳細'!$J$28&lt;&gt;"",'制度詳細'!$J$28&gt;=BQ$5,'制度詳細'!$J$28&lt;=EOMONTH(BQ$5,0)),"◆","")))</x:f>
      </x:c>
      <x:c r="BR28" s="57" t="str">
        <x:f>IF('制度詳細'!$H$28="",IF('制度詳細'!$J$28="","",IF(AND('制度詳細'!$J$28&gt;=BR$5,'制度詳細'!$J$28&lt;=EOMONTH(BR$5,0)),"◆","")),IF(MAX('制度詳細'!$H$28,BR$5)&lt;=MIN(IF('制度詳細'!$I$28="",EOMONTH(BR$5,0),'制度詳細'!$I$28),EOMONTH(BR$5,0)),"■",IF(AND('制度詳細'!$J$28&lt;&gt;"",'制度詳細'!$J$28&gt;=BR$5,'制度詳細'!$J$28&lt;=EOMONTH(BR$5,0)),"◆","")))</x:f>
      </x:c>
      <x:c r="BS28" s="57" t="str">
        <x:f>IF('制度詳細'!$H$28="",IF('制度詳細'!$J$28="","",IF(AND('制度詳細'!$J$28&gt;=BS$5,'制度詳細'!$J$28&lt;=EOMONTH(BS$5,0)),"◆","")),IF(MAX('制度詳細'!$H$28,BS$5)&lt;=MIN(IF('制度詳細'!$I$28="",EOMONTH(BS$5,0),'制度詳細'!$I$28),EOMONTH(BS$5,0)),"■",IF(AND('制度詳細'!$J$28&lt;&gt;"",'制度詳細'!$J$28&gt;=BS$5,'制度詳細'!$J$28&lt;=EOMONTH(BS$5,0)),"◆","")))</x:f>
      </x:c>
      <x:c r="BT28" s="57" t="str">
        <x:f>IF('制度詳細'!$H$28="",IF('制度詳細'!$J$28="","",IF(AND('制度詳細'!$J$28&gt;=BT$5,'制度詳細'!$J$28&lt;=EOMONTH(BT$5,0)),"◆","")),IF(MAX('制度詳細'!$H$28,BT$5)&lt;=MIN(IF('制度詳細'!$I$28="",EOMONTH(BT$5,0),'制度詳細'!$I$28),EOMONTH(BT$5,0)),"■",IF(AND('制度詳細'!$J$28&lt;&gt;"",'制度詳細'!$J$28&gt;=BT$5,'制度詳細'!$J$28&lt;=EOMONTH(BT$5,0)),"◆","")))</x:f>
      </x:c>
      <x:c r="BU28" s="57" t="str">
        <x:f>IF('制度詳細'!$H$28="",IF('制度詳細'!$J$28="","",IF(AND('制度詳細'!$J$28&gt;=BU$5,'制度詳細'!$J$28&lt;=EOMONTH(BU$5,0)),"◆","")),IF(MAX('制度詳細'!$H$28,BU$5)&lt;=MIN(IF('制度詳細'!$I$28="",EOMONTH(BU$5,0),'制度詳細'!$I$28),EOMONTH(BU$5,0)),"■",IF(AND('制度詳細'!$J$28&lt;&gt;"",'制度詳細'!$J$28&gt;=BU$5,'制度詳細'!$J$28&lt;=EOMONTH(BU$5,0)),"◆","")))</x:f>
      </x:c>
      <x:c r="BV28" s="57" t="str">
        <x:f>IF('制度詳細'!$H$28="",IF('制度詳細'!$J$28="","",IF(AND('制度詳細'!$J$28&gt;=BV$5,'制度詳細'!$J$28&lt;=EOMONTH(BV$5,0)),"◆","")),IF(MAX('制度詳細'!$H$28,BV$5)&lt;=MIN(IF('制度詳細'!$I$28="",EOMONTH(BV$5,0),'制度詳細'!$I$28),EOMONTH(BV$5,0)),"■",IF(AND('制度詳細'!$J$28&lt;&gt;"",'制度詳細'!$J$28&gt;=BV$5,'制度詳細'!$J$28&lt;=EOMONTH(BV$5,0)),"◆","")))</x:f>
      </x:c>
      <x:c r="BW28" s="57" t="str">
        <x:f>IF('制度詳細'!$H$28="",IF('制度詳細'!$J$28="","",IF(AND('制度詳細'!$J$28&gt;=BW$5,'制度詳細'!$J$28&lt;=EOMONTH(BW$5,0)),"◆","")),IF(MAX('制度詳細'!$H$28,BW$5)&lt;=MIN(IF('制度詳細'!$I$28="",EOMONTH(BW$5,0),'制度詳細'!$I$28),EOMONTH(BW$5,0)),"■",IF(AND('制度詳細'!$J$28&lt;&gt;"",'制度詳細'!$J$28&gt;=BW$5,'制度詳細'!$J$28&lt;=EOMONTH(BW$5,0)),"◆","")))</x:f>
      </x:c>
      <x:c r="BX28" s="57" t="str">
        <x:f>IF('制度詳細'!$H$28="",IF('制度詳細'!$J$28="","",IF(AND('制度詳細'!$J$28&gt;=BX$5,'制度詳細'!$J$28&lt;=EOMONTH(BX$5,0)),"◆","")),IF(MAX('制度詳細'!$H$28,BX$5)&lt;=MIN(IF('制度詳細'!$I$28="",EOMONTH(BX$5,0),'制度詳細'!$I$28),EOMONTH(BX$5,0)),"■",IF(AND('制度詳細'!$J$28&lt;&gt;"",'制度詳細'!$J$28&gt;=BX$5,'制度詳細'!$J$28&lt;=EOMONTH(BX$5,0)),"◆","")))</x:f>
      </x:c>
      <x:c r="BY28" s="57" t="str">
        <x:f>IF('制度詳細'!$H$28="",IF('制度詳細'!$J$28="","",IF(AND('制度詳細'!$J$28&gt;=BY$5,'制度詳細'!$J$28&lt;=EOMONTH(BY$5,0)),"◆","")),IF(MAX('制度詳細'!$H$28,BY$5)&lt;=MIN(IF('制度詳細'!$I$28="",EOMONTH(BY$5,0),'制度詳細'!$I$28),EOMONTH(BY$5,0)),"■",IF(AND('制度詳細'!$J$28&lt;&gt;"",'制度詳細'!$J$28&gt;=BY$5,'制度詳細'!$J$28&lt;=EOMONTH(BY$5,0)),"◆","")))</x:f>
        <x:v>■</x:v>
      </x:c>
      <x:c r="BZ28" s="57" t="str">
        <x:f>IF('制度詳細'!$H$28="",IF('制度詳細'!$J$28="","",IF(AND('制度詳細'!$J$28&gt;=BZ$5,'制度詳細'!$J$28&lt;=EOMONTH(BZ$5,0)),"◆","")),IF(MAX('制度詳細'!$H$28,BZ$5)&lt;=MIN(IF('制度詳細'!$I$28="",EOMONTH(BZ$5,0),'制度詳細'!$I$28),EOMONTH(BZ$5,0)),"■",IF(AND('制度詳細'!$J$28&lt;&gt;"",'制度詳細'!$J$28&gt;=BZ$5,'制度詳細'!$J$28&lt;=EOMONTH(BZ$5,0)),"◆","")))</x:f>
        <x:v>■</x:v>
      </x:c>
      <x:c r="CA28" s="57" t="str">
        <x:f>IF('制度詳細'!$H$28="",IF('制度詳細'!$J$28="","",IF(AND('制度詳細'!$J$28&gt;=CA$5,'制度詳細'!$J$28&lt;=EOMONTH(CA$5,0)),"◆","")),IF(MAX('制度詳細'!$H$28,CA$5)&lt;=MIN(IF('制度詳細'!$I$28="",EOMONTH(CA$5,0),'制度詳細'!$I$28),EOMONTH(CA$5,0)),"■",IF(AND('制度詳細'!$J$28&lt;&gt;"",'制度詳細'!$J$28&gt;=CA$5,'制度詳細'!$J$28&lt;=EOMONTH(CA$5,0)),"◆","")))</x:f>
        <x:v>■</x:v>
      </x:c>
      <x:c r="CB28" s="57" t="str">
        <x:f>IF('制度詳細'!$H$28="",IF('制度詳細'!$J$28="","",IF(AND('制度詳細'!$J$28&gt;=CB$5,'制度詳細'!$J$28&lt;=EOMONTH(CB$5,0)),"◆","")),IF(MAX('制度詳細'!$H$28,CB$5)&lt;=MIN(IF('制度詳細'!$I$28="",EOMONTH(CB$5,0),'制度詳細'!$I$28),EOMONTH(CB$5,0)),"■",IF(AND('制度詳細'!$J$28&lt;&gt;"",'制度詳細'!$J$28&gt;=CB$5,'制度詳細'!$J$28&lt;=EOMONTH(CB$5,0)),"◆","")))</x:f>
        <x:v>■</x:v>
      </x:c>
      <x:c r="CC28" s="57" t="str">
        <x:f>IF('制度詳細'!$H$28="",IF('制度詳細'!$J$28="","",IF(AND('制度詳細'!$J$28&gt;=CC$5,'制度詳細'!$J$28&lt;=EOMONTH(CC$5,0)),"◆","")),IF(MAX('制度詳細'!$H$28,CC$5)&lt;=MIN(IF('制度詳細'!$I$28="",EOMONTH(CC$5,0),'制度詳細'!$I$28),EOMONTH(CC$5,0)),"■",IF(AND('制度詳細'!$J$28&lt;&gt;"",'制度詳細'!$J$28&gt;=CC$5,'制度詳細'!$J$28&lt;=EOMONTH(CC$5,0)),"◆","")))</x:f>
        <x:v>■</x:v>
      </x:c>
      <x:c r="CD28" s="57" t="str">
        <x:f>IF('制度詳細'!$H$28="",IF('制度詳細'!$J$28="","",IF(AND('制度詳細'!$J$28&gt;=CD$5,'制度詳細'!$J$28&lt;=EOMONTH(CD$5,0)),"◆","")),IF(MAX('制度詳細'!$H$28,CD$5)&lt;=MIN(IF('制度詳細'!$I$28="",EOMONTH(CD$5,0),'制度詳細'!$I$28),EOMONTH(CD$5,0)),"■",IF(AND('制度詳細'!$J$28&lt;&gt;"",'制度詳細'!$J$28&gt;=CD$5,'制度詳細'!$J$28&lt;=EOMONTH(CD$5,0)),"◆","")))</x:f>
        <x:v>■</x:v>
      </x:c>
      <x:c r="CE28" s="57" t="str">
        <x:f>IF('制度詳細'!$H$28="",IF('制度詳細'!$J$28="","",IF(AND('制度詳細'!$J$28&gt;=CE$5,'制度詳細'!$J$28&lt;=EOMONTH(CE$5,0)),"◆","")),IF(MAX('制度詳細'!$H$28,CE$5)&lt;=MIN(IF('制度詳細'!$I$28="",EOMONTH(CE$5,0),'制度詳細'!$I$28),EOMONTH(CE$5,0)),"■",IF(AND('制度詳細'!$J$28&lt;&gt;"",'制度詳細'!$J$28&gt;=CE$5,'制度詳細'!$J$28&lt;=EOMONTH(CE$5,0)),"◆","")))</x:f>
        <x:v>■</x:v>
      </x:c>
      <x:c r="CF28" s="57" t="str">
        <x:f>IF('制度詳細'!$H$28="",IF('制度詳細'!$J$28="","",IF(AND('制度詳細'!$J$28&gt;=CF$5,'制度詳細'!$J$28&lt;=EOMONTH(CF$5,0)),"◆","")),IF(MAX('制度詳細'!$H$28,CF$5)&lt;=MIN(IF('制度詳細'!$I$28="",EOMONTH(CF$5,0),'制度詳細'!$I$28),EOMONTH(CF$5,0)),"■",IF(AND('制度詳細'!$J$28&lt;&gt;"",'制度詳細'!$J$28&gt;=CF$5,'制度詳細'!$J$28&lt;=EOMONTH(CF$5,0)),"◆","")))</x:f>
        <x:v>■</x:v>
      </x:c>
      <x:c r="CG28" s="57" t="str">
        <x:f>IF('制度詳細'!$H$28="",IF('制度詳細'!$J$28="","",IF(AND('制度詳細'!$J$28&gt;=CG$5,'制度詳細'!$J$28&lt;=EOMONTH(CG$5,0)),"◆","")),IF(MAX('制度詳細'!$H$28,CG$5)&lt;=MIN(IF('制度詳細'!$I$28="",EOMONTH(CG$5,0),'制度詳細'!$I$28),EOMONTH(CG$5,0)),"■",IF(AND('制度詳細'!$J$28&lt;&gt;"",'制度詳細'!$J$28&gt;=CG$5,'制度詳細'!$J$28&lt;=EOMONTH(CG$5,0)),"◆","")))</x:f>
        <x:v>■</x:v>
      </x:c>
      <x:c r="CH28" s="57" t="str">
        <x:f>IF('制度詳細'!$H$28="",IF('制度詳細'!$J$28="","",IF(AND('制度詳細'!$J$28&gt;=CH$5,'制度詳細'!$J$28&lt;=EOMONTH(CH$5,0)),"◆","")),IF(MAX('制度詳細'!$H$28,CH$5)&lt;=MIN(IF('制度詳細'!$I$28="",EOMONTH(CH$5,0),'制度詳細'!$I$28),EOMONTH(CH$5,0)),"■",IF(AND('制度詳細'!$J$28&lt;&gt;"",'制度詳細'!$J$28&gt;=CH$5,'制度詳細'!$J$28&lt;=EOMONTH(CH$5,0)),"◆","")))</x:f>
        <x:v>■</x:v>
      </x:c>
      <x:c r="CI28" s="57" t="str">
        <x:f>IF('制度詳細'!$H$28="",IF('制度詳細'!$J$28="","",IF(AND('制度詳細'!$J$28&gt;=CI$5,'制度詳細'!$J$28&lt;=EOMONTH(CI$5,0)),"◆","")),IF(MAX('制度詳細'!$H$28,CI$5)&lt;=MIN(IF('制度詳細'!$I$28="",EOMONTH(CI$5,0),'制度詳細'!$I$28),EOMONTH(CI$5,0)),"■",IF(AND('制度詳細'!$J$28&lt;&gt;"",'制度詳細'!$J$28&gt;=CI$5,'制度詳細'!$J$28&lt;=EOMONTH(CI$5,0)),"◆","")))</x:f>
        <x:v>■</x:v>
      </x:c>
      <x:c r="CJ28" s="57" t="str">
        <x:f>IF('制度詳細'!$H$28="",IF('制度詳細'!$J$28="","",IF(AND('制度詳細'!$J$28&gt;=CJ$5,'制度詳細'!$J$28&lt;=EOMONTH(CJ$5,0)),"◆","")),IF(MAX('制度詳細'!$H$28,CJ$5)&lt;=MIN(IF('制度詳細'!$I$28="",EOMONTH(CJ$5,0),'制度詳細'!$I$28),EOMONTH(CJ$5,0)),"■",IF(AND('制度詳細'!$J$28&lt;&gt;"",'制度詳細'!$J$28&gt;=CJ$5,'制度詳細'!$J$28&lt;=EOMONTH(CJ$5,0)),"◆","")))</x:f>
        <x:v>■</x:v>
      </x:c>
      <x:c r="CK28" s="57" t="str">
        <x:f>IF('制度詳細'!$H$28="",IF('制度詳細'!$J$28="","",IF(AND('制度詳細'!$J$28&gt;=CK$5,'制度詳細'!$J$28&lt;=EOMONTH(CK$5,0)),"◆","")),IF(MAX('制度詳細'!$H$28,CK$5)&lt;=MIN(IF('制度詳細'!$I$28="",EOMONTH(CK$5,0),'制度詳細'!$I$28),EOMONTH(CK$5,0)),"■",IF(AND('制度詳細'!$J$28&lt;&gt;"",'制度詳細'!$J$28&gt;=CK$5,'制度詳細'!$J$28&lt;=EOMONTH(CK$5,0)),"◆","")))</x:f>
        <x:v>■</x:v>
      </x:c>
      <x:c r="CL28" s="57" t="str">
        <x:f>IF('制度詳細'!$H$28="",IF('制度詳細'!$J$28="","",IF(AND('制度詳細'!$J$28&gt;=CL$5,'制度詳細'!$J$28&lt;=EOMONTH(CL$5,0)),"◆","")),IF(MAX('制度詳細'!$H$28,CL$5)&lt;=MIN(IF('制度詳細'!$I$28="",EOMONTH(CL$5,0),'制度詳細'!$I$28),EOMONTH(CL$5,0)),"■",IF(AND('制度詳細'!$J$28&lt;&gt;"",'制度詳細'!$J$28&gt;=CL$5,'制度詳細'!$J$28&lt;=EOMONTH(CL$5,0)),"◆","")))</x:f>
        <x:v>■</x:v>
      </x:c>
      <x:c r="CM28" s="57" t="str">
        <x:f>IF('制度詳細'!$H$28="",IF('制度詳細'!$J$28="","",IF(AND('制度詳細'!$J$28&gt;=CM$5,'制度詳細'!$J$28&lt;=EOMONTH(CM$5,0)),"◆","")),IF(MAX('制度詳細'!$H$28,CM$5)&lt;=MIN(IF('制度詳細'!$I$28="",EOMONTH(CM$5,0),'制度詳細'!$I$28),EOMONTH(CM$5,0)),"■",IF(AND('制度詳細'!$J$28&lt;&gt;"",'制度詳細'!$J$28&gt;=CM$5,'制度詳細'!$J$28&lt;=EOMONTH(CM$5,0)),"◆","")))</x:f>
        <x:v>■</x:v>
      </x:c>
      <x:c r="CN28" s="57" t="str">
        <x:f>IF('制度詳細'!$H$28="",IF('制度詳細'!$J$28="","",IF(AND('制度詳細'!$J$28&gt;=CN$5,'制度詳細'!$J$28&lt;=EOMONTH(CN$5,0)),"◆","")),IF(MAX('制度詳細'!$H$28,CN$5)&lt;=MIN(IF('制度詳細'!$I$28="",EOMONTH(CN$5,0),'制度詳細'!$I$28),EOMONTH(CN$5,0)),"■",IF(AND('制度詳細'!$J$28&lt;&gt;"",'制度詳細'!$J$28&gt;=CN$5,'制度詳細'!$J$28&lt;=EOMONTH(CN$5,0)),"◆","")))</x:f>
        <x:v>■</x:v>
      </x:c>
      <x:c r="CO28" s="57" t="str">
        <x:f>IF('制度詳細'!$H$28="",IF('制度詳細'!$J$28="","",IF(AND('制度詳細'!$J$28&gt;=CO$5,'制度詳細'!$J$28&lt;=EOMONTH(CO$5,0)),"◆","")),IF(MAX('制度詳細'!$H$28,CO$5)&lt;=MIN(IF('制度詳細'!$I$28="",EOMONTH(CO$5,0),'制度詳細'!$I$28),EOMONTH(CO$5,0)),"■",IF(AND('制度詳細'!$J$28&lt;&gt;"",'制度詳細'!$J$28&gt;=CO$5,'制度詳細'!$J$28&lt;=EOMONTH(CO$5,0)),"◆","")))</x:f>
        <x:v>■</x:v>
      </x:c>
      <x:c r="CP28" s="57" t="str">
        <x:f>IF('制度詳細'!$H$28="",IF('制度詳細'!$J$28="","",IF(AND('制度詳細'!$J$28&gt;=CP$5,'制度詳細'!$J$28&lt;=EOMONTH(CP$5,0)),"◆","")),IF(MAX('制度詳細'!$H$28,CP$5)&lt;=MIN(IF('制度詳細'!$I$28="",EOMONTH(CP$5,0),'制度詳細'!$I$28),EOMONTH(CP$5,0)),"■",IF(AND('制度詳細'!$J$28&lt;&gt;"",'制度詳細'!$J$28&gt;=CP$5,'制度詳細'!$J$28&lt;=EOMONTH(CP$5,0)),"◆","")))</x:f>
        <x:v>■</x:v>
      </x:c>
      <x:c r="CQ28" s="57" t="str">
        <x:f>IF('制度詳細'!$H$28="",IF('制度詳細'!$J$28="","",IF(AND('制度詳細'!$J$28&gt;=CQ$5,'制度詳細'!$J$28&lt;=EOMONTH(CQ$5,0)),"◆","")),IF(MAX('制度詳細'!$H$28,CQ$5)&lt;=MIN(IF('制度詳細'!$I$28="",EOMONTH(CQ$5,0),'制度詳細'!$I$28),EOMONTH(CQ$5,0)),"■",IF(AND('制度詳細'!$J$28&lt;&gt;"",'制度詳細'!$J$28&gt;=CQ$5,'制度詳細'!$J$28&lt;=EOMONTH(CQ$5,0)),"◆","")))</x:f>
        <x:v>■</x:v>
      </x:c>
      <x:c r="CR28" s="57" t="str">
        <x:f>IF('制度詳細'!$H$28="",IF('制度詳細'!$J$28="","",IF(AND('制度詳細'!$J$28&gt;=CR$5,'制度詳細'!$J$28&lt;=EOMONTH(CR$5,0)),"◆","")),IF(MAX('制度詳細'!$H$28,CR$5)&lt;=MIN(IF('制度詳細'!$I$28="",EOMONTH(CR$5,0),'制度詳細'!$I$28),EOMONTH(CR$5,0)),"■",IF(AND('制度詳細'!$J$28&lt;&gt;"",'制度詳細'!$J$28&gt;=CR$5,'制度詳細'!$J$28&lt;=EOMONTH(CR$5,0)),"◆","")))</x:f>
        <x:v>■</x:v>
      </x:c>
      <x:c r="CS28" s="57" t="str">
        <x:f>IF('制度詳細'!$H$28="",IF('制度詳細'!$J$28="","",IF(AND('制度詳細'!$J$28&gt;=CS$5,'制度詳細'!$J$28&lt;=EOMONTH(CS$5,0)),"◆","")),IF(MAX('制度詳細'!$H$28,CS$5)&lt;=MIN(IF('制度詳細'!$I$28="",EOMONTH(CS$5,0),'制度詳細'!$I$28),EOMONTH(CS$5,0)),"■",IF(AND('制度詳細'!$J$28&lt;&gt;"",'制度詳細'!$J$28&gt;=CS$5,'制度詳細'!$J$28&lt;=EOMONTH(CS$5,0)),"◆","")))</x:f>
        <x:v>■</x:v>
      </x:c>
      <x:c r="CT28" s="57" t="str">
        <x:f>IF('制度詳細'!$H$28="",IF('制度詳細'!$J$28="","",IF(AND('制度詳細'!$J$28&gt;=CT$5,'制度詳細'!$J$28&lt;=EOMONTH(CT$5,0)),"◆","")),IF(MAX('制度詳細'!$H$28,CT$5)&lt;=MIN(IF('制度詳細'!$I$28="",EOMONTH(CT$5,0),'制度詳細'!$I$28),EOMONTH(CT$5,0)),"■",IF(AND('制度詳細'!$J$28&lt;&gt;"",'制度詳細'!$J$28&gt;=CT$5,'制度詳細'!$J$28&lt;=EOMONTH(CT$5,0)),"◆","")))</x:f>
        <x:v>■</x:v>
      </x:c>
      <x:c r="CU28" s="57" t="str">
        <x:f>IF('制度詳細'!$H$28="",IF('制度詳細'!$J$28="","",IF(AND('制度詳細'!$J$28&gt;=CU$5,'制度詳細'!$J$28&lt;=EOMONTH(CU$5,0)),"◆","")),IF(MAX('制度詳細'!$H$28,CU$5)&lt;=MIN(IF('制度詳細'!$I$28="",EOMONTH(CU$5,0),'制度詳細'!$I$28),EOMONTH(CU$5,0)),"■",IF(AND('制度詳細'!$J$28&lt;&gt;"",'制度詳細'!$J$28&gt;=CU$5,'制度詳細'!$J$28&lt;=EOMONTH(CU$5,0)),"◆","")))</x:f>
        <x:v>■</x:v>
      </x:c>
      <x:c r="CV28" s="57" t="str">
        <x:f>IF('制度詳細'!$H$28="",IF('制度詳細'!$J$28="","",IF(AND('制度詳細'!$J$28&gt;=CV$5,'制度詳細'!$J$28&lt;=EOMONTH(CV$5,0)),"◆","")),IF(MAX('制度詳細'!$H$28,CV$5)&lt;=MIN(IF('制度詳細'!$I$28="",EOMONTH(CV$5,0),'制度詳細'!$I$28),EOMONTH(CV$5,0)),"■",IF(AND('制度詳細'!$J$28&lt;&gt;"",'制度詳細'!$J$28&gt;=CV$5,'制度詳細'!$J$28&lt;=EOMONTH(CV$5,0)),"◆","")))</x:f>
        <x:v>■</x:v>
      </x:c>
      <x:c r="CW28" s="1"/>
      <x:c r="CX28" s="1"/>
      <x:c r="CY28" s="1"/>
      <x:c r="CZ28" s="1"/>
      <x:c r="DA28" s="1"/>
      <x:c r="DB28" s="1"/>
      <x:c r="DC28" s="1"/>
      <x:c r="DD28" s="1"/>
    </x:row>
    <x:row r="29" ht="27" customHeight="1">
      <x:c r="A29" s="58" t="str">
        <x:v>VN01</x:v>
      </x:c>
      <x:c r="B29" s="58" t="str">
        <x:v>ベトナム</x:v>
      </x:c>
      <x:c r="C29" s="58" t="str">
        <x:v>BEV：登録料0%当初期間</x:v>
      </x:c>
      <x:c r="D29" s="58" t="str">
        <x:v>BEV</x:v>
      </x:c>
      <x:c r="E29" s="57" t="str">
        <x:f>IF('制度詳細'!$H$29="",IF('制度詳細'!$J$29="","",IF(AND('制度詳細'!$J$29&gt;=E$5,'制度詳細'!$J$29&lt;=EOMONTH(E$5,0)),"◆","")),IF(MAX('制度詳細'!$H$29,E$5)&lt;=MIN(IF('制度詳細'!$I$29="",EOMONTH(E$5,0),'制度詳細'!$I$29),EOMONTH(E$5,0)),"■",IF(AND('制度詳細'!$J$29&lt;&gt;"",'制度詳細'!$J$29&gt;=E$5,'制度詳細'!$J$29&lt;=EOMONTH(E$5,0)),"◆","")))</x:f>
      </x:c>
      <x:c r="F29" s="57" t="str">
        <x:f>IF('制度詳細'!$H$29="",IF('制度詳細'!$J$29="","",IF(AND('制度詳細'!$J$29&gt;=F$5,'制度詳細'!$J$29&lt;=EOMONTH(F$5,0)),"◆","")),IF(MAX('制度詳細'!$H$29,F$5)&lt;=MIN(IF('制度詳細'!$I$29="",EOMONTH(F$5,0),'制度詳細'!$I$29),EOMONTH(F$5,0)),"■",IF(AND('制度詳細'!$J$29&lt;&gt;"",'制度詳細'!$J$29&gt;=F$5,'制度詳細'!$J$29&lt;=EOMONTH(F$5,0)),"◆","")))</x:f>
      </x:c>
      <x:c r="G29" s="57" t="str">
        <x:f>IF('制度詳細'!$H$29="",IF('制度詳細'!$J$29="","",IF(AND('制度詳細'!$J$29&gt;=G$5,'制度詳細'!$J$29&lt;=EOMONTH(G$5,0)),"◆","")),IF(MAX('制度詳細'!$H$29,G$5)&lt;=MIN(IF('制度詳細'!$I$29="",EOMONTH(G$5,0),'制度詳細'!$I$29),EOMONTH(G$5,0)),"■",IF(AND('制度詳細'!$J$29&lt;&gt;"",'制度詳細'!$J$29&gt;=G$5,'制度詳細'!$J$29&lt;=EOMONTH(G$5,0)),"◆","")))</x:f>
      </x:c>
      <x:c r="H29" s="57" t="str">
        <x:f>IF('制度詳細'!$H$29="",IF('制度詳細'!$J$29="","",IF(AND('制度詳細'!$J$29&gt;=H$5,'制度詳細'!$J$29&lt;=EOMONTH(H$5,0)),"◆","")),IF(MAX('制度詳細'!$H$29,H$5)&lt;=MIN(IF('制度詳細'!$I$29="",EOMONTH(H$5,0),'制度詳細'!$I$29),EOMONTH(H$5,0)),"■",IF(AND('制度詳細'!$J$29&lt;&gt;"",'制度詳細'!$J$29&gt;=H$5,'制度詳細'!$J$29&lt;=EOMONTH(H$5,0)),"◆","")))</x:f>
      </x:c>
      <x:c r="I29" s="57" t="str">
        <x:f>IF('制度詳細'!$H$29="",IF('制度詳細'!$J$29="","",IF(AND('制度詳細'!$J$29&gt;=I$5,'制度詳細'!$J$29&lt;=EOMONTH(I$5,0)),"◆","")),IF(MAX('制度詳細'!$H$29,I$5)&lt;=MIN(IF('制度詳細'!$I$29="",EOMONTH(I$5,0),'制度詳細'!$I$29),EOMONTH(I$5,0)),"■",IF(AND('制度詳細'!$J$29&lt;&gt;"",'制度詳細'!$J$29&gt;=I$5,'制度詳細'!$J$29&lt;=EOMONTH(I$5,0)),"◆","")))</x:f>
      </x:c>
      <x:c r="J29" s="57" t="str">
        <x:f>IF('制度詳細'!$H$29="",IF('制度詳細'!$J$29="","",IF(AND('制度詳細'!$J$29&gt;=J$5,'制度詳細'!$J$29&lt;=EOMONTH(J$5,0)),"◆","")),IF(MAX('制度詳細'!$H$29,J$5)&lt;=MIN(IF('制度詳細'!$I$29="",EOMONTH(J$5,0),'制度詳細'!$I$29),EOMONTH(J$5,0)),"■",IF(AND('制度詳細'!$J$29&lt;&gt;"",'制度詳細'!$J$29&gt;=J$5,'制度詳細'!$J$29&lt;=EOMONTH(J$5,0)),"◆","")))</x:f>
      </x:c>
      <x:c r="K29" s="57" t="str">
        <x:f>IF('制度詳細'!$H$29="",IF('制度詳細'!$J$29="","",IF(AND('制度詳細'!$J$29&gt;=K$5,'制度詳細'!$J$29&lt;=EOMONTH(K$5,0)),"◆","")),IF(MAX('制度詳細'!$H$29,K$5)&lt;=MIN(IF('制度詳細'!$I$29="",EOMONTH(K$5,0),'制度詳細'!$I$29),EOMONTH(K$5,0)),"■",IF(AND('制度詳細'!$J$29&lt;&gt;"",'制度詳細'!$J$29&gt;=K$5,'制度詳細'!$J$29&lt;=EOMONTH(K$5,0)),"◆","")))</x:f>
      </x:c>
      <x:c r="L29" s="57" t="str">
        <x:f>IF('制度詳細'!$H$29="",IF('制度詳細'!$J$29="","",IF(AND('制度詳細'!$J$29&gt;=L$5,'制度詳細'!$J$29&lt;=EOMONTH(L$5,0)),"◆","")),IF(MAX('制度詳細'!$H$29,L$5)&lt;=MIN(IF('制度詳細'!$I$29="",EOMONTH(L$5,0),'制度詳細'!$I$29),EOMONTH(L$5,0)),"■",IF(AND('制度詳細'!$J$29&lt;&gt;"",'制度詳細'!$J$29&gt;=L$5,'制度詳細'!$J$29&lt;=EOMONTH(L$5,0)),"◆","")))</x:f>
      </x:c>
      <x:c r="M29" s="57" t="str">
        <x:f>IF('制度詳細'!$H$29="",IF('制度詳細'!$J$29="","",IF(AND('制度詳細'!$J$29&gt;=M$5,'制度詳細'!$J$29&lt;=EOMONTH(M$5,0)),"◆","")),IF(MAX('制度詳細'!$H$29,M$5)&lt;=MIN(IF('制度詳細'!$I$29="",EOMONTH(M$5,0),'制度詳細'!$I$29),EOMONTH(M$5,0)),"■",IF(AND('制度詳細'!$J$29&lt;&gt;"",'制度詳細'!$J$29&gt;=M$5,'制度詳細'!$J$29&lt;=EOMONTH(M$5,0)),"◆","")))</x:f>
      </x:c>
      <x:c r="N29" s="57" t="str">
        <x:f>IF('制度詳細'!$H$29="",IF('制度詳細'!$J$29="","",IF(AND('制度詳細'!$J$29&gt;=N$5,'制度詳細'!$J$29&lt;=EOMONTH(N$5,0)),"◆","")),IF(MAX('制度詳細'!$H$29,N$5)&lt;=MIN(IF('制度詳細'!$I$29="",EOMONTH(N$5,0),'制度詳細'!$I$29),EOMONTH(N$5,0)),"■",IF(AND('制度詳細'!$J$29&lt;&gt;"",'制度詳細'!$J$29&gt;=N$5,'制度詳細'!$J$29&lt;=EOMONTH(N$5,0)),"◆","")))</x:f>
      </x:c>
      <x:c r="O29" s="57" t="str">
        <x:f>IF('制度詳細'!$H$29="",IF('制度詳細'!$J$29="","",IF(AND('制度詳細'!$J$29&gt;=O$5,'制度詳細'!$J$29&lt;=EOMONTH(O$5,0)),"◆","")),IF(MAX('制度詳細'!$H$29,O$5)&lt;=MIN(IF('制度詳細'!$I$29="",EOMONTH(O$5,0),'制度詳細'!$I$29),EOMONTH(O$5,0)),"■",IF(AND('制度詳細'!$J$29&lt;&gt;"",'制度詳細'!$J$29&gt;=O$5,'制度詳細'!$J$29&lt;=EOMONTH(O$5,0)),"◆","")))</x:f>
      </x:c>
      <x:c r="P29" s="57" t="str">
        <x:f>IF('制度詳細'!$H$29="",IF('制度詳細'!$J$29="","",IF(AND('制度詳細'!$J$29&gt;=P$5,'制度詳細'!$J$29&lt;=EOMONTH(P$5,0)),"◆","")),IF(MAX('制度詳細'!$H$29,P$5)&lt;=MIN(IF('制度詳細'!$I$29="",EOMONTH(P$5,0),'制度詳細'!$I$29),EOMONTH(P$5,0)),"■",IF(AND('制度詳細'!$J$29&lt;&gt;"",'制度詳細'!$J$29&gt;=P$5,'制度詳細'!$J$29&lt;=EOMONTH(P$5,0)),"◆","")))</x:f>
      </x:c>
      <x:c r="Q29" s="57" t="str">
        <x:f>IF('制度詳細'!$H$29="",IF('制度詳細'!$J$29="","",IF(AND('制度詳細'!$J$29&gt;=Q$5,'制度詳細'!$J$29&lt;=EOMONTH(Q$5,0)),"◆","")),IF(MAX('制度詳細'!$H$29,Q$5)&lt;=MIN(IF('制度詳細'!$I$29="",EOMONTH(Q$5,0),'制度詳細'!$I$29),EOMONTH(Q$5,0)),"■",IF(AND('制度詳細'!$J$29&lt;&gt;"",'制度詳細'!$J$29&gt;=Q$5,'制度詳細'!$J$29&lt;=EOMONTH(Q$5,0)),"◆","")))</x:f>
      </x:c>
      <x:c r="R29" s="57" t="str">
        <x:f>IF('制度詳細'!$H$29="",IF('制度詳細'!$J$29="","",IF(AND('制度詳細'!$J$29&gt;=R$5,'制度詳細'!$J$29&lt;=EOMONTH(R$5,0)),"◆","")),IF(MAX('制度詳細'!$H$29,R$5)&lt;=MIN(IF('制度詳細'!$I$29="",EOMONTH(R$5,0),'制度詳細'!$I$29),EOMONTH(R$5,0)),"■",IF(AND('制度詳細'!$J$29&lt;&gt;"",'制度詳細'!$J$29&gt;=R$5,'制度詳細'!$J$29&lt;=EOMONTH(R$5,0)),"◆","")))</x:f>
      </x:c>
      <x:c r="S29" s="57" t="str">
        <x:f>IF('制度詳細'!$H$29="",IF('制度詳細'!$J$29="","",IF(AND('制度詳細'!$J$29&gt;=S$5,'制度詳細'!$J$29&lt;=EOMONTH(S$5,0)),"◆","")),IF(MAX('制度詳細'!$H$29,S$5)&lt;=MIN(IF('制度詳細'!$I$29="",EOMONTH(S$5,0),'制度詳細'!$I$29),EOMONTH(S$5,0)),"■",IF(AND('制度詳細'!$J$29&lt;&gt;"",'制度詳細'!$J$29&gt;=S$5,'制度詳細'!$J$29&lt;=EOMONTH(S$5,0)),"◆","")))</x:f>
      </x:c>
      <x:c r="T29" s="57" t="str">
        <x:f>IF('制度詳細'!$H$29="",IF('制度詳細'!$J$29="","",IF(AND('制度詳細'!$J$29&gt;=T$5,'制度詳細'!$J$29&lt;=EOMONTH(T$5,0)),"◆","")),IF(MAX('制度詳細'!$H$29,T$5)&lt;=MIN(IF('制度詳細'!$I$29="",EOMONTH(T$5,0),'制度詳細'!$I$29),EOMONTH(T$5,0)),"■",IF(AND('制度詳細'!$J$29&lt;&gt;"",'制度詳細'!$J$29&gt;=T$5,'制度詳細'!$J$29&lt;=EOMONTH(T$5,0)),"◆","")))</x:f>
      </x:c>
      <x:c r="U29" s="57" t="str">
        <x:f>IF('制度詳細'!$H$29="",IF('制度詳細'!$J$29="","",IF(AND('制度詳細'!$J$29&gt;=U$5,'制度詳細'!$J$29&lt;=EOMONTH(U$5,0)),"◆","")),IF(MAX('制度詳細'!$H$29,U$5)&lt;=MIN(IF('制度詳細'!$I$29="",EOMONTH(U$5,0),'制度詳細'!$I$29),EOMONTH(U$5,0)),"■",IF(AND('制度詳細'!$J$29&lt;&gt;"",'制度詳細'!$J$29&gt;=U$5,'制度詳細'!$J$29&lt;=EOMONTH(U$5,0)),"◆","")))</x:f>
      </x:c>
      <x:c r="V29" s="57" t="str">
        <x:f>IF('制度詳細'!$H$29="",IF('制度詳細'!$J$29="","",IF(AND('制度詳細'!$J$29&gt;=V$5,'制度詳細'!$J$29&lt;=EOMONTH(V$5,0)),"◆","")),IF(MAX('制度詳細'!$H$29,V$5)&lt;=MIN(IF('制度詳細'!$I$29="",EOMONTH(V$5,0),'制度詳細'!$I$29),EOMONTH(V$5,0)),"■",IF(AND('制度詳細'!$J$29&lt;&gt;"",'制度詳細'!$J$29&gt;=V$5,'制度詳細'!$J$29&lt;=EOMONTH(V$5,0)),"◆","")))</x:f>
      </x:c>
      <x:c r="W29" s="57" t="str">
        <x:f>IF('制度詳細'!$H$29="",IF('制度詳細'!$J$29="","",IF(AND('制度詳細'!$J$29&gt;=W$5,'制度詳細'!$J$29&lt;=EOMONTH(W$5,0)),"◆","")),IF(MAX('制度詳細'!$H$29,W$5)&lt;=MIN(IF('制度詳細'!$I$29="",EOMONTH(W$5,0),'制度詳細'!$I$29),EOMONTH(W$5,0)),"■",IF(AND('制度詳細'!$J$29&lt;&gt;"",'制度詳細'!$J$29&gt;=W$5,'制度詳細'!$J$29&lt;=EOMONTH(W$5,0)),"◆","")))</x:f>
      </x:c>
      <x:c r="X29" s="57" t="str">
        <x:f>IF('制度詳細'!$H$29="",IF('制度詳細'!$J$29="","",IF(AND('制度詳細'!$J$29&gt;=X$5,'制度詳細'!$J$29&lt;=EOMONTH(X$5,0)),"◆","")),IF(MAX('制度詳細'!$H$29,X$5)&lt;=MIN(IF('制度詳細'!$I$29="",EOMONTH(X$5,0),'制度詳細'!$I$29),EOMONTH(X$5,0)),"■",IF(AND('制度詳細'!$J$29&lt;&gt;"",'制度詳細'!$J$29&gt;=X$5,'制度詳細'!$J$29&lt;=EOMONTH(X$5,0)),"◆","")))</x:f>
      </x:c>
      <x:c r="Y29" s="57" t="str">
        <x:f>IF('制度詳細'!$H$29="",IF('制度詳細'!$J$29="","",IF(AND('制度詳細'!$J$29&gt;=Y$5,'制度詳細'!$J$29&lt;=EOMONTH(Y$5,0)),"◆","")),IF(MAX('制度詳細'!$H$29,Y$5)&lt;=MIN(IF('制度詳細'!$I$29="",EOMONTH(Y$5,0),'制度詳細'!$I$29),EOMONTH(Y$5,0)),"■",IF(AND('制度詳細'!$J$29&lt;&gt;"",'制度詳細'!$J$29&gt;=Y$5,'制度詳細'!$J$29&lt;=EOMONTH(Y$5,0)),"◆","")))</x:f>
      </x:c>
      <x:c r="Z29" s="57" t="str">
        <x:f>IF('制度詳細'!$H$29="",IF('制度詳細'!$J$29="","",IF(AND('制度詳細'!$J$29&gt;=Z$5,'制度詳細'!$J$29&lt;=EOMONTH(Z$5,0)),"◆","")),IF(MAX('制度詳細'!$H$29,Z$5)&lt;=MIN(IF('制度詳細'!$I$29="",EOMONTH(Z$5,0),'制度詳細'!$I$29),EOMONTH(Z$5,0)),"■",IF(AND('制度詳細'!$J$29&lt;&gt;"",'制度詳細'!$J$29&gt;=Z$5,'制度詳細'!$J$29&lt;=EOMONTH(Z$5,0)),"◆","")))</x:f>
      </x:c>
      <x:c r="AA29" s="57" t="str">
        <x:f>IF('制度詳細'!$H$29="",IF('制度詳細'!$J$29="","",IF(AND('制度詳細'!$J$29&gt;=AA$5,'制度詳細'!$J$29&lt;=EOMONTH(AA$5,0)),"◆","")),IF(MAX('制度詳細'!$H$29,AA$5)&lt;=MIN(IF('制度詳細'!$I$29="",EOMONTH(AA$5,0),'制度詳細'!$I$29),EOMONTH(AA$5,0)),"■",IF(AND('制度詳細'!$J$29&lt;&gt;"",'制度詳細'!$J$29&gt;=AA$5,'制度詳細'!$J$29&lt;=EOMONTH(AA$5,0)),"◆","")))</x:f>
      </x:c>
      <x:c r="AB29" s="57" t="str">
        <x:f>IF('制度詳細'!$H$29="",IF('制度詳細'!$J$29="","",IF(AND('制度詳細'!$J$29&gt;=AB$5,'制度詳細'!$J$29&lt;=EOMONTH(AB$5,0)),"◆","")),IF(MAX('制度詳細'!$H$29,AB$5)&lt;=MIN(IF('制度詳細'!$I$29="",EOMONTH(AB$5,0),'制度詳細'!$I$29),EOMONTH(AB$5,0)),"■",IF(AND('制度詳細'!$J$29&lt;&gt;"",'制度詳細'!$J$29&gt;=AB$5,'制度詳細'!$J$29&lt;=EOMONTH(AB$5,0)),"◆","")))</x:f>
      </x:c>
      <x:c r="AC29" s="57" t="str">
        <x:f>IF('制度詳細'!$H$29="",IF('制度詳細'!$J$29="","",IF(AND('制度詳細'!$J$29&gt;=AC$5,'制度詳細'!$J$29&lt;=EOMONTH(AC$5,0)),"◆","")),IF(MAX('制度詳細'!$H$29,AC$5)&lt;=MIN(IF('制度詳細'!$I$29="",EOMONTH(AC$5,0),'制度詳細'!$I$29),EOMONTH(AC$5,0)),"■",IF(AND('制度詳細'!$J$29&lt;&gt;"",'制度詳細'!$J$29&gt;=AC$5,'制度詳細'!$J$29&lt;=EOMONTH(AC$5,0)),"◆","")))</x:f>
      </x:c>
      <x:c r="AD29" s="57" t="str">
        <x:f>IF('制度詳細'!$H$29="",IF('制度詳細'!$J$29="","",IF(AND('制度詳細'!$J$29&gt;=AD$5,'制度詳細'!$J$29&lt;=EOMONTH(AD$5,0)),"◆","")),IF(MAX('制度詳細'!$H$29,AD$5)&lt;=MIN(IF('制度詳細'!$I$29="",EOMONTH(AD$5,0),'制度詳細'!$I$29),EOMONTH(AD$5,0)),"■",IF(AND('制度詳細'!$J$29&lt;&gt;"",'制度詳細'!$J$29&gt;=AD$5,'制度詳細'!$J$29&lt;=EOMONTH(AD$5,0)),"◆","")))</x:f>
      </x:c>
      <x:c r="AE29" s="57" t="str">
        <x:f>IF('制度詳細'!$H$29="",IF('制度詳細'!$J$29="","",IF(AND('制度詳細'!$J$29&gt;=AE$5,'制度詳細'!$J$29&lt;=EOMONTH(AE$5,0)),"◆","")),IF(MAX('制度詳細'!$H$29,AE$5)&lt;=MIN(IF('制度詳細'!$I$29="",EOMONTH(AE$5,0),'制度詳細'!$I$29),EOMONTH(AE$5,0)),"■",IF(AND('制度詳細'!$J$29&lt;&gt;"",'制度詳細'!$J$29&gt;=AE$5,'制度詳細'!$J$29&lt;=EOMONTH(AE$5,0)),"◆","")))</x:f>
        <x:v>■</x:v>
      </x:c>
      <x:c r="AF29" s="57" t="str">
        <x:f>IF('制度詳細'!$H$29="",IF('制度詳細'!$J$29="","",IF(AND('制度詳細'!$J$29&gt;=AF$5,'制度詳細'!$J$29&lt;=EOMONTH(AF$5,0)),"◆","")),IF(MAX('制度詳細'!$H$29,AF$5)&lt;=MIN(IF('制度詳細'!$I$29="",EOMONTH(AF$5,0),'制度詳細'!$I$29),EOMONTH(AF$5,0)),"■",IF(AND('制度詳細'!$J$29&lt;&gt;"",'制度詳細'!$J$29&gt;=AF$5,'制度詳細'!$J$29&lt;=EOMONTH(AF$5,0)),"◆","")))</x:f>
        <x:v>■</x:v>
      </x:c>
      <x:c r="AG29" s="57" t="str">
        <x:f>IF('制度詳細'!$H$29="",IF('制度詳細'!$J$29="","",IF(AND('制度詳細'!$J$29&gt;=AG$5,'制度詳細'!$J$29&lt;=EOMONTH(AG$5,0)),"◆","")),IF(MAX('制度詳細'!$H$29,AG$5)&lt;=MIN(IF('制度詳細'!$I$29="",EOMONTH(AG$5,0),'制度詳細'!$I$29),EOMONTH(AG$5,0)),"■",IF(AND('制度詳細'!$J$29&lt;&gt;"",'制度詳細'!$J$29&gt;=AG$5,'制度詳細'!$J$29&lt;=EOMONTH(AG$5,0)),"◆","")))</x:f>
        <x:v>■</x:v>
      </x:c>
      <x:c r="AH29" s="57" t="str">
        <x:f>IF('制度詳細'!$H$29="",IF('制度詳細'!$J$29="","",IF(AND('制度詳細'!$J$29&gt;=AH$5,'制度詳細'!$J$29&lt;=EOMONTH(AH$5,0)),"◆","")),IF(MAX('制度詳細'!$H$29,AH$5)&lt;=MIN(IF('制度詳細'!$I$29="",EOMONTH(AH$5,0),'制度詳細'!$I$29),EOMONTH(AH$5,0)),"■",IF(AND('制度詳細'!$J$29&lt;&gt;"",'制度詳細'!$J$29&gt;=AH$5,'制度詳細'!$J$29&lt;=EOMONTH(AH$5,0)),"◆","")))</x:f>
        <x:v>■</x:v>
      </x:c>
      <x:c r="AI29" s="57" t="str">
        <x:f>IF('制度詳細'!$H$29="",IF('制度詳細'!$J$29="","",IF(AND('制度詳細'!$J$29&gt;=AI$5,'制度詳細'!$J$29&lt;=EOMONTH(AI$5,0)),"◆","")),IF(MAX('制度詳細'!$H$29,AI$5)&lt;=MIN(IF('制度詳細'!$I$29="",EOMONTH(AI$5,0),'制度詳細'!$I$29),EOMONTH(AI$5,0)),"■",IF(AND('制度詳細'!$J$29&lt;&gt;"",'制度詳細'!$J$29&gt;=AI$5,'制度詳細'!$J$29&lt;=EOMONTH(AI$5,0)),"◆","")))</x:f>
        <x:v>■</x:v>
      </x:c>
      <x:c r="AJ29" s="57" t="str">
        <x:f>IF('制度詳細'!$H$29="",IF('制度詳細'!$J$29="","",IF(AND('制度詳細'!$J$29&gt;=AJ$5,'制度詳細'!$J$29&lt;=EOMONTH(AJ$5,0)),"◆","")),IF(MAX('制度詳細'!$H$29,AJ$5)&lt;=MIN(IF('制度詳細'!$I$29="",EOMONTH(AJ$5,0),'制度詳細'!$I$29),EOMONTH(AJ$5,0)),"■",IF(AND('制度詳細'!$J$29&lt;&gt;"",'制度詳細'!$J$29&gt;=AJ$5,'制度詳細'!$J$29&lt;=EOMONTH(AJ$5,0)),"◆","")))</x:f>
        <x:v>■</x:v>
      </x:c>
      <x:c r="AK29" s="57" t="str">
        <x:f>IF('制度詳細'!$H$29="",IF('制度詳細'!$J$29="","",IF(AND('制度詳細'!$J$29&gt;=AK$5,'制度詳細'!$J$29&lt;=EOMONTH(AK$5,0)),"◆","")),IF(MAX('制度詳細'!$H$29,AK$5)&lt;=MIN(IF('制度詳細'!$I$29="",EOMONTH(AK$5,0),'制度詳細'!$I$29),EOMONTH(AK$5,0)),"■",IF(AND('制度詳細'!$J$29&lt;&gt;"",'制度詳細'!$J$29&gt;=AK$5,'制度詳細'!$J$29&lt;=EOMONTH(AK$5,0)),"◆","")))</x:f>
        <x:v>■</x:v>
      </x:c>
      <x:c r="AL29" s="57" t="str">
        <x:f>IF('制度詳細'!$H$29="",IF('制度詳細'!$J$29="","",IF(AND('制度詳細'!$J$29&gt;=AL$5,'制度詳細'!$J$29&lt;=EOMONTH(AL$5,0)),"◆","")),IF(MAX('制度詳細'!$H$29,AL$5)&lt;=MIN(IF('制度詳細'!$I$29="",EOMONTH(AL$5,0),'制度詳細'!$I$29),EOMONTH(AL$5,0)),"■",IF(AND('制度詳細'!$J$29&lt;&gt;"",'制度詳細'!$J$29&gt;=AL$5,'制度詳細'!$J$29&lt;=EOMONTH(AL$5,0)),"◆","")))</x:f>
        <x:v>■</x:v>
      </x:c>
      <x:c r="AM29" s="57" t="str">
        <x:f>IF('制度詳細'!$H$29="",IF('制度詳細'!$J$29="","",IF(AND('制度詳細'!$J$29&gt;=AM$5,'制度詳細'!$J$29&lt;=EOMONTH(AM$5,0)),"◆","")),IF(MAX('制度詳細'!$H$29,AM$5)&lt;=MIN(IF('制度詳細'!$I$29="",EOMONTH(AM$5,0),'制度詳細'!$I$29),EOMONTH(AM$5,0)),"■",IF(AND('制度詳細'!$J$29&lt;&gt;"",'制度詳細'!$J$29&gt;=AM$5,'制度詳細'!$J$29&lt;=EOMONTH(AM$5,0)),"◆","")))</x:f>
        <x:v>■</x:v>
      </x:c>
      <x:c r="AN29" s="57" t="str">
        <x:f>IF('制度詳細'!$H$29="",IF('制度詳細'!$J$29="","",IF(AND('制度詳細'!$J$29&gt;=AN$5,'制度詳細'!$J$29&lt;=EOMONTH(AN$5,0)),"◆","")),IF(MAX('制度詳細'!$H$29,AN$5)&lt;=MIN(IF('制度詳細'!$I$29="",EOMONTH(AN$5,0),'制度詳細'!$I$29),EOMONTH(AN$5,0)),"■",IF(AND('制度詳細'!$J$29&lt;&gt;"",'制度詳細'!$J$29&gt;=AN$5,'制度詳細'!$J$29&lt;=EOMONTH(AN$5,0)),"◆","")))</x:f>
        <x:v>■</x:v>
      </x:c>
      <x:c r="AO29" s="57" t="str">
        <x:f>IF('制度詳細'!$H$29="",IF('制度詳細'!$J$29="","",IF(AND('制度詳細'!$J$29&gt;=AO$5,'制度詳細'!$J$29&lt;=EOMONTH(AO$5,0)),"◆","")),IF(MAX('制度詳細'!$H$29,AO$5)&lt;=MIN(IF('制度詳細'!$I$29="",EOMONTH(AO$5,0),'制度詳細'!$I$29),EOMONTH(AO$5,0)),"■",IF(AND('制度詳細'!$J$29&lt;&gt;"",'制度詳細'!$J$29&gt;=AO$5,'制度詳細'!$J$29&lt;=EOMONTH(AO$5,0)),"◆","")))</x:f>
        <x:v>■</x:v>
      </x:c>
      <x:c r="AP29" s="57" t="str">
        <x:f>IF('制度詳細'!$H$29="",IF('制度詳細'!$J$29="","",IF(AND('制度詳細'!$J$29&gt;=AP$5,'制度詳細'!$J$29&lt;=EOMONTH(AP$5,0)),"◆","")),IF(MAX('制度詳細'!$H$29,AP$5)&lt;=MIN(IF('制度詳細'!$I$29="",EOMONTH(AP$5,0),'制度詳細'!$I$29),EOMONTH(AP$5,0)),"■",IF(AND('制度詳細'!$J$29&lt;&gt;"",'制度詳細'!$J$29&gt;=AP$5,'制度詳細'!$J$29&lt;=EOMONTH(AP$5,0)),"◆","")))</x:f>
        <x:v>■</x:v>
      </x:c>
      <x:c r="AQ29" s="57" t="str">
        <x:f>IF('制度詳細'!$H$29="",IF('制度詳細'!$J$29="","",IF(AND('制度詳細'!$J$29&gt;=AQ$5,'制度詳細'!$J$29&lt;=EOMONTH(AQ$5,0)),"◆","")),IF(MAX('制度詳細'!$H$29,AQ$5)&lt;=MIN(IF('制度詳細'!$I$29="",EOMONTH(AQ$5,0),'制度詳細'!$I$29),EOMONTH(AQ$5,0)),"■",IF(AND('制度詳細'!$J$29&lt;&gt;"",'制度詳細'!$J$29&gt;=AQ$5,'制度詳細'!$J$29&lt;=EOMONTH(AQ$5,0)),"◆","")))</x:f>
        <x:v>■</x:v>
      </x:c>
      <x:c r="AR29" s="57" t="str">
        <x:f>IF('制度詳細'!$H$29="",IF('制度詳細'!$J$29="","",IF(AND('制度詳細'!$J$29&gt;=AR$5,'制度詳細'!$J$29&lt;=EOMONTH(AR$5,0)),"◆","")),IF(MAX('制度詳細'!$H$29,AR$5)&lt;=MIN(IF('制度詳細'!$I$29="",EOMONTH(AR$5,0),'制度詳細'!$I$29),EOMONTH(AR$5,0)),"■",IF(AND('制度詳細'!$J$29&lt;&gt;"",'制度詳細'!$J$29&gt;=AR$5,'制度詳細'!$J$29&lt;=EOMONTH(AR$5,0)),"◆","")))</x:f>
        <x:v>■</x:v>
      </x:c>
      <x:c r="AS29" s="57" t="str">
        <x:f>IF('制度詳細'!$H$29="",IF('制度詳細'!$J$29="","",IF(AND('制度詳細'!$J$29&gt;=AS$5,'制度詳細'!$J$29&lt;=EOMONTH(AS$5,0)),"◆","")),IF(MAX('制度詳細'!$H$29,AS$5)&lt;=MIN(IF('制度詳細'!$I$29="",EOMONTH(AS$5,0),'制度詳細'!$I$29),EOMONTH(AS$5,0)),"■",IF(AND('制度詳細'!$J$29&lt;&gt;"",'制度詳細'!$J$29&gt;=AS$5,'制度詳細'!$J$29&lt;=EOMONTH(AS$5,0)),"◆","")))</x:f>
        <x:v>■</x:v>
      </x:c>
      <x:c r="AT29" s="57" t="str">
        <x:f>IF('制度詳細'!$H$29="",IF('制度詳細'!$J$29="","",IF(AND('制度詳細'!$J$29&gt;=AT$5,'制度詳細'!$J$29&lt;=EOMONTH(AT$5,0)),"◆","")),IF(MAX('制度詳細'!$H$29,AT$5)&lt;=MIN(IF('制度詳細'!$I$29="",EOMONTH(AT$5,0),'制度詳細'!$I$29),EOMONTH(AT$5,0)),"■",IF(AND('制度詳細'!$J$29&lt;&gt;"",'制度詳細'!$J$29&gt;=AT$5,'制度詳細'!$J$29&lt;=EOMONTH(AT$5,0)),"◆","")))</x:f>
        <x:v>■</x:v>
      </x:c>
      <x:c r="AU29" s="57" t="str">
        <x:f>IF('制度詳細'!$H$29="",IF('制度詳細'!$J$29="","",IF(AND('制度詳細'!$J$29&gt;=AU$5,'制度詳細'!$J$29&lt;=EOMONTH(AU$5,0)),"◆","")),IF(MAX('制度詳細'!$H$29,AU$5)&lt;=MIN(IF('制度詳細'!$I$29="",EOMONTH(AU$5,0),'制度詳細'!$I$29),EOMONTH(AU$5,0)),"■",IF(AND('制度詳細'!$J$29&lt;&gt;"",'制度詳細'!$J$29&gt;=AU$5,'制度詳細'!$J$29&lt;=EOMONTH(AU$5,0)),"◆","")))</x:f>
        <x:v>■</x:v>
      </x:c>
      <x:c r="AV29" s="57" t="str">
        <x:f>IF('制度詳細'!$H$29="",IF('制度詳細'!$J$29="","",IF(AND('制度詳細'!$J$29&gt;=AV$5,'制度詳細'!$J$29&lt;=EOMONTH(AV$5,0)),"◆","")),IF(MAX('制度詳細'!$H$29,AV$5)&lt;=MIN(IF('制度詳細'!$I$29="",EOMONTH(AV$5,0),'制度詳細'!$I$29),EOMONTH(AV$5,0)),"■",IF(AND('制度詳細'!$J$29&lt;&gt;"",'制度詳細'!$J$29&gt;=AV$5,'制度詳細'!$J$29&lt;=EOMONTH(AV$5,0)),"◆","")))</x:f>
        <x:v>■</x:v>
      </x:c>
      <x:c r="AW29" s="57" t="str">
        <x:f>IF('制度詳細'!$H$29="",IF('制度詳細'!$J$29="","",IF(AND('制度詳細'!$J$29&gt;=AW$5,'制度詳細'!$J$29&lt;=EOMONTH(AW$5,0)),"◆","")),IF(MAX('制度詳細'!$H$29,AW$5)&lt;=MIN(IF('制度詳細'!$I$29="",EOMONTH(AW$5,0),'制度詳細'!$I$29),EOMONTH(AW$5,0)),"■",IF(AND('制度詳細'!$J$29&lt;&gt;"",'制度詳細'!$J$29&gt;=AW$5,'制度詳細'!$J$29&lt;=EOMONTH(AW$5,0)),"◆","")))</x:f>
        <x:v>■</x:v>
      </x:c>
      <x:c r="AX29" s="57" t="str">
        <x:f>IF('制度詳細'!$H$29="",IF('制度詳細'!$J$29="","",IF(AND('制度詳細'!$J$29&gt;=AX$5,'制度詳細'!$J$29&lt;=EOMONTH(AX$5,0)),"◆","")),IF(MAX('制度詳細'!$H$29,AX$5)&lt;=MIN(IF('制度詳細'!$I$29="",EOMONTH(AX$5,0),'制度詳細'!$I$29),EOMONTH(AX$5,0)),"■",IF(AND('制度詳細'!$J$29&lt;&gt;"",'制度詳細'!$J$29&gt;=AX$5,'制度詳細'!$J$29&lt;=EOMONTH(AX$5,0)),"◆","")))</x:f>
        <x:v>■</x:v>
      </x:c>
      <x:c r="AY29" s="57" t="str">
        <x:f>IF('制度詳細'!$H$29="",IF('制度詳細'!$J$29="","",IF(AND('制度詳細'!$J$29&gt;=AY$5,'制度詳細'!$J$29&lt;=EOMONTH(AY$5,0)),"◆","")),IF(MAX('制度詳細'!$H$29,AY$5)&lt;=MIN(IF('制度詳細'!$I$29="",EOMONTH(AY$5,0),'制度詳細'!$I$29),EOMONTH(AY$5,0)),"■",IF(AND('制度詳細'!$J$29&lt;&gt;"",'制度詳細'!$J$29&gt;=AY$5,'制度詳細'!$J$29&lt;=EOMONTH(AY$5,0)),"◆","")))</x:f>
        <x:v>■</x:v>
      </x:c>
      <x:c r="AZ29" s="57" t="str">
        <x:f>IF('制度詳細'!$H$29="",IF('制度詳細'!$J$29="","",IF(AND('制度詳細'!$J$29&gt;=AZ$5,'制度詳細'!$J$29&lt;=EOMONTH(AZ$5,0)),"◆","")),IF(MAX('制度詳細'!$H$29,AZ$5)&lt;=MIN(IF('制度詳細'!$I$29="",EOMONTH(AZ$5,0),'制度詳細'!$I$29),EOMONTH(AZ$5,0)),"■",IF(AND('制度詳細'!$J$29&lt;&gt;"",'制度詳細'!$J$29&gt;=AZ$5,'制度詳細'!$J$29&lt;=EOMONTH(AZ$5,0)),"◆","")))</x:f>
        <x:v>■</x:v>
      </x:c>
      <x:c r="BA29" s="57" t="str">
        <x:f>IF('制度詳細'!$H$29="",IF('制度詳細'!$J$29="","",IF(AND('制度詳細'!$J$29&gt;=BA$5,'制度詳細'!$J$29&lt;=EOMONTH(BA$5,0)),"◆","")),IF(MAX('制度詳細'!$H$29,BA$5)&lt;=MIN(IF('制度詳細'!$I$29="",EOMONTH(BA$5,0),'制度詳細'!$I$29),EOMONTH(BA$5,0)),"■",IF(AND('制度詳細'!$J$29&lt;&gt;"",'制度詳細'!$J$29&gt;=BA$5,'制度詳細'!$J$29&lt;=EOMONTH(BA$5,0)),"◆","")))</x:f>
        <x:v>■</x:v>
      </x:c>
      <x:c r="BB29" s="57" t="str">
        <x:f>IF('制度詳細'!$H$29="",IF('制度詳細'!$J$29="","",IF(AND('制度詳細'!$J$29&gt;=BB$5,'制度詳細'!$J$29&lt;=EOMONTH(BB$5,0)),"◆","")),IF(MAX('制度詳細'!$H$29,BB$5)&lt;=MIN(IF('制度詳細'!$I$29="",EOMONTH(BB$5,0),'制度詳細'!$I$29),EOMONTH(BB$5,0)),"■",IF(AND('制度詳細'!$J$29&lt;&gt;"",'制度詳細'!$J$29&gt;=BB$5,'制度詳細'!$J$29&lt;=EOMONTH(BB$5,0)),"◆","")))</x:f>
        <x:v>■</x:v>
      </x:c>
      <x:c r="BC29" s="57" t="str">
        <x:f>IF('制度詳細'!$H$29="",IF('制度詳細'!$J$29="","",IF(AND('制度詳細'!$J$29&gt;=BC$5,'制度詳細'!$J$29&lt;=EOMONTH(BC$5,0)),"◆","")),IF(MAX('制度詳細'!$H$29,BC$5)&lt;=MIN(IF('制度詳細'!$I$29="",EOMONTH(BC$5,0),'制度詳細'!$I$29),EOMONTH(BC$5,0)),"■",IF(AND('制度詳細'!$J$29&lt;&gt;"",'制度詳細'!$J$29&gt;=BC$5,'制度詳細'!$J$29&lt;=EOMONTH(BC$5,0)),"◆","")))</x:f>
        <x:v>■</x:v>
      </x:c>
      <x:c r="BD29" s="57" t="str">
        <x:f>IF('制度詳細'!$H$29="",IF('制度詳細'!$J$29="","",IF(AND('制度詳細'!$J$29&gt;=BD$5,'制度詳細'!$J$29&lt;=EOMONTH(BD$5,0)),"◆","")),IF(MAX('制度詳細'!$H$29,BD$5)&lt;=MIN(IF('制度詳細'!$I$29="",EOMONTH(BD$5,0),'制度詳細'!$I$29),EOMONTH(BD$5,0)),"■",IF(AND('制度詳細'!$J$29&lt;&gt;"",'制度詳細'!$J$29&gt;=BD$5,'制度詳細'!$J$29&lt;=EOMONTH(BD$5,0)),"◆","")))</x:f>
        <x:v>■</x:v>
      </x:c>
      <x:c r="BE29" s="57" t="str">
        <x:f>IF('制度詳細'!$H$29="",IF('制度詳細'!$J$29="","",IF(AND('制度詳細'!$J$29&gt;=BE$5,'制度詳細'!$J$29&lt;=EOMONTH(BE$5,0)),"◆","")),IF(MAX('制度詳細'!$H$29,BE$5)&lt;=MIN(IF('制度詳細'!$I$29="",EOMONTH(BE$5,0),'制度詳細'!$I$29),EOMONTH(BE$5,0)),"■",IF(AND('制度詳細'!$J$29&lt;&gt;"",'制度詳細'!$J$29&gt;=BE$5,'制度詳細'!$J$29&lt;=EOMONTH(BE$5,0)),"◆","")))</x:f>
        <x:v>■</x:v>
      </x:c>
      <x:c r="BF29" s="57" t="str">
        <x:f>IF('制度詳細'!$H$29="",IF('制度詳細'!$J$29="","",IF(AND('制度詳細'!$J$29&gt;=BF$5,'制度詳細'!$J$29&lt;=EOMONTH(BF$5,0)),"◆","")),IF(MAX('制度詳細'!$H$29,BF$5)&lt;=MIN(IF('制度詳細'!$I$29="",EOMONTH(BF$5,0),'制度詳細'!$I$29),EOMONTH(BF$5,0)),"■",IF(AND('制度詳細'!$J$29&lt;&gt;"",'制度詳細'!$J$29&gt;=BF$5,'制度詳細'!$J$29&lt;=EOMONTH(BF$5,0)),"◆","")))</x:f>
        <x:v>■</x:v>
      </x:c>
      <x:c r="BG29" s="57" t="str">
        <x:f>IF('制度詳細'!$H$29="",IF('制度詳細'!$J$29="","",IF(AND('制度詳細'!$J$29&gt;=BG$5,'制度詳細'!$J$29&lt;=EOMONTH(BG$5,0)),"◆","")),IF(MAX('制度詳細'!$H$29,BG$5)&lt;=MIN(IF('制度詳細'!$I$29="",EOMONTH(BG$5,0),'制度詳細'!$I$29),EOMONTH(BG$5,0)),"■",IF(AND('制度詳細'!$J$29&lt;&gt;"",'制度詳細'!$J$29&gt;=BG$5,'制度詳細'!$J$29&lt;=EOMONTH(BG$5,0)),"◆","")))</x:f>
        <x:v>■</x:v>
      </x:c>
      <x:c r="BH29" s="57" t="str">
        <x:f>IF('制度詳細'!$H$29="",IF('制度詳細'!$J$29="","",IF(AND('制度詳細'!$J$29&gt;=BH$5,'制度詳細'!$J$29&lt;=EOMONTH(BH$5,0)),"◆","")),IF(MAX('制度詳細'!$H$29,BH$5)&lt;=MIN(IF('制度詳細'!$I$29="",EOMONTH(BH$5,0),'制度詳細'!$I$29),EOMONTH(BH$5,0)),"■",IF(AND('制度詳細'!$J$29&lt;&gt;"",'制度詳細'!$J$29&gt;=BH$5,'制度詳細'!$J$29&lt;=EOMONTH(BH$5,0)),"◆","")))</x:f>
        <x:v>■</x:v>
      </x:c>
      <x:c r="BI29" s="57" t="str">
        <x:f>IF('制度詳細'!$H$29="",IF('制度詳細'!$J$29="","",IF(AND('制度詳細'!$J$29&gt;=BI$5,'制度詳細'!$J$29&lt;=EOMONTH(BI$5,0)),"◆","")),IF(MAX('制度詳細'!$H$29,BI$5)&lt;=MIN(IF('制度詳細'!$I$29="",EOMONTH(BI$5,0),'制度詳細'!$I$29),EOMONTH(BI$5,0)),"■",IF(AND('制度詳細'!$J$29&lt;&gt;"",'制度詳細'!$J$29&gt;=BI$5,'制度詳細'!$J$29&lt;=EOMONTH(BI$5,0)),"◆","")))</x:f>
        <x:v>■</x:v>
      </x:c>
      <x:c r="BJ29" s="57" t="str">
        <x:f>IF('制度詳細'!$H$29="",IF('制度詳細'!$J$29="","",IF(AND('制度詳細'!$J$29&gt;=BJ$5,'制度詳細'!$J$29&lt;=EOMONTH(BJ$5,0)),"◆","")),IF(MAX('制度詳細'!$H$29,BJ$5)&lt;=MIN(IF('制度詳細'!$I$29="",EOMONTH(BJ$5,0),'制度詳細'!$I$29),EOMONTH(BJ$5,0)),"■",IF(AND('制度詳細'!$J$29&lt;&gt;"",'制度詳細'!$J$29&gt;=BJ$5,'制度詳細'!$J$29&lt;=EOMONTH(BJ$5,0)),"◆","")))</x:f>
        <x:v>■</x:v>
      </x:c>
      <x:c r="BK29" s="57" t="str">
        <x:f>IF('制度詳細'!$H$29="",IF('制度詳細'!$J$29="","",IF(AND('制度詳細'!$J$29&gt;=BK$5,'制度詳細'!$J$29&lt;=EOMONTH(BK$5,0)),"◆","")),IF(MAX('制度詳細'!$H$29,BK$5)&lt;=MIN(IF('制度詳細'!$I$29="",EOMONTH(BK$5,0),'制度詳細'!$I$29),EOMONTH(BK$5,0)),"■",IF(AND('制度詳細'!$J$29&lt;&gt;"",'制度詳細'!$J$29&gt;=BK$5,'制度詳細'!$J$29&lt;=EOMONTH(BK$5,0)),"◆","")))</x:f>
        <x:v>■</x:v>
      </x:c>
      <x:c r="BL29" s="57" t="str">
        <x:f>IF('制度詳細'!$H$29="",IF('制度詳細'!$J$29="","",IF(AND('制度詳細'!$J$29&gt;=BL$5,'制度詳細'!$J$29&lt;=EOMONTH(BL$5,0)),"◆","")),IF(MAX('制度詳細'!$H$29,BL$5)&lt;=MIN(IF('制度詳細'!$I$29="",EOMONTH(BL$5,0),'制度詳細'!$I$29),EOMONTH(BL$5,0)),"■",IF(AND('制度詳細'!$J$29&lt;&gt;"",'制度詳細'!$J$29&gt;=BL$5,'制度詳細'!$J$29&lt;=EOMONTH(BL$5,0)),"◆","")))</x:f>
        <x:v>■</x:v>
      </x:c>
      <x:c r="BM29" s="57" t="str">
        <x:f>IF('制度詳細'!$H$29="",IF('制度詳細'!$J$29="","",IF(AND('制度詳細'!$J$29&gt;=BM$5,'制度詳細'!$J$29&lt;=EOMONTH(BM$5,0)),"◆","")),IF(MAX('制度詳細'!$H$29,BM$5)&lt;=MIN(IF('制度詳細'!$I$29="",EOMONTH(BM$5,0),'制度詳細'!$I$29),EOMONTH(BM$5,0)),"■",IF(AND('制度詳細'!$J$29&lt;&gt;"",'制度詳細'!$J$29&gt;=BM$5,'制度詳細'!$J$29&lt;=EOMONTH(BM$5,0)),"◆","")))</x:f>
        <x:v>■</x:v>
      </x:c>
      <x:c r="BN29" s="57" t="str">
        <x:f>IF('制度詳細'!$H$29="",IF('制度詳細'!$J$29="","",IF(AND('制度詳細'!$J$29&gt;=BN$5,'制度詳細'!$J$29&lt;=EOMONTH(BN$5,0)),"◆","")),IF(MAX('制度詳細'!$H$29,BN$5)&lt;=MIN(IF('制度詳細'!$I$29="",EOMONTH(BN$5,0),'制度詳細'!$I$29),EOMONTH(BN$5,0)),"■",IF(AND('制度詳細'!$J$29&lt;&gt;"",'制度詳細'!$J$29&gt;=BN$5,'制度詳細'!$J$29&lt;=EOMONTH(BN$5,0)),"◆","")))</x:f>
        <x:v>■</x:v>
      </x:c>
      <x:c r="BO29" s="57" t="str">
        <x:f>IF('制度詳細'!$H$29="",IF('制度詳細'!$J$29="","",IF(AND('制度詳細'!$J$29&gt;=BO$5,'制度詳細'!$J$29&lt;=EOMONTH(BO$5,0)),"◆","")),IF(MAX('制度詳細'!$H$29,BO$5)&lt;=MIN(IF('制度詳細'!$I$29="",EOMONTH(BO$5,0),'制度詳細'!$I$29),EOMONTH(BO$5,0)),"■",IF(AND('制度詳細'!$J$29&lt;&gt;"",'制度詳細'!$J$29&gt;=BO$5,'制度詳細'!$J$29&lt;=EOMONTH(BO$5,0)),"◆","")))</x:f>
      </x:c>
      <x:c r="BP29" s="57" t="str">
        <x:f>IF('制度詳細'!$H$29="",IF('制度詳細'!$J$29="","",IF(AND('制度詳細'!$J$29&gt;=BP$5,'制度詳細'!$J$29&lt;=EOMONTH(BP$5,0)),"◆","")),IF(MAX('制度詳細'!$H$29,BP$5)&lt;=MIN(IF('制度詳細'!$I$29="",EOMONTH(BP$5,0),'制度詳細'!$I$29),EOMONTH(BP$5,0)),"■",IF(AND('制度詳細'!$J$29&lt;&gt;"",'制度詳細'!$J$29&gt;=BP$5,'制度詳細'!$J$29&lt;=EOMONTH(BP$5,0)),"◆","")))</x:f>
      </x:c>
      <x:c r="BQ29" s="57" t="str">
        <x:f>IF('制度詳細'!$H$29="",IF('制度詳細'!$J$29="","",IF(AND('制度詳細'!$J$29&gt;=BQ$5,'制度詳細'!$J$29&lt;=EOMONTH(BQ$5,0)),"◆","")),IF(MAX('制度詳細'!$H$29,BQ$5)&lt;=MIN(IF('制度詳細'!$I$29="",EOMONTH(BQ$5,0),'制度詳細'!$I$29),EOMONTH(BQ$5,0)),"■",IF(AND('制度詳細'!$J$29&lt;&gt;"",'制度詳細'!$J$29&gt;=BQ$5,'制度詳細'!$J$29&lt;=EOMONTH(BQ$5,0)),"◆","")))</x:f>
      </x:c>
      <x:c r="BR29" s="57" t="str">
        <x:f>IF('制度詳細'!$H$29="",IF('制度詳細'!$J$29="","",IF(AND('制度詳細'!$J$29&gt;=BR$5,'制度詳細'!$J$29&lt;=EOMONTH(BR$5,0)),"◆","")),IF(MAX('制度詳細'!$H$29,BR$5)&lt;=MIN(IF('制度詳細'!$I$29="",EOMONTH(BR$5,0),'制度詳細'!$I$29),EOMONTH(BR$5,0)),"■",IF(AND('制度詳細'!$J$29&lt;&gt;"",'制度詳細'!$J$29&gt;=BR$5,'制度詳細'!$J$29&lt;=EOMONTH(BR$5,0)),"◆","")))</x:f>
      </x:c>
      <x:c r="BS29" s="57" t="str">
        <x:f>IF('制度詳細'!$H$29="",IF('制度詳細'!$J$29="","",IF(AND('制度詳細'!$J$29&gt;=BS$5,'制度詳細'!$J$29&lt;=EOMONTH(BS$5,0)),"◆","")),IF(MAX('制度詳細'!$H$29,BS$5)&lt;=MIN(IF('制度詳細'!$I$29="",EOMONTH(BS$5,0),'制度詳細'!$I$29),EOMONTH(BS$5,0)),"■",IF(AND('制度詳細'!$J$29&lt;&gt;"",'制度詳細'!$J$29&gt;=BS$5,'制度詳細'!$J$29&lt;=EOMONTH(BS$5,0)),"◆","")))</x:f>
      </x:c>
      <x:c r="BT29" s="57" t="str">
        <x:f>IF('制度詳細'!$H$29="",IF('制度詳細'!$J$29="","",IF(AND('制度詳細'!$J$29&gt;=BT$5,'制度詳細'!$J$29&lt;=EOMONTH(BT$5,0)),"◆","")),IF(MAX('制度詳細'!$H$29,BT$5)&lt;=MIN(IF('制度詳細'!$I$29="",EOMONTH(BT$5,0),'制度詳細'!$I$29),EOMONTH(BT$5,0)),"■",IF(AND('制度詳細'!$J$29&lt;&gt;"",'制度詳細'!$J$29&gt;=BT$5,'制度詳細'!$J$29&lt;=EOMONTH(BT$5,0)),"◆","")))</x:f>
      </x:c>
      <x:c r="BU29" s="57" t="str">
        <x:f>IF('制度詳細'!$H$29="",IF('制度詳細'!$J$29="","",IF(AND('制度詳細'!$J$29&gt;=BU$5,'制度詳細'!$J$29&lt;=EOMONTH(BU$5,0)),"◆","")),IF(MAX('制度詳細'!$H$29,BU$5)&lt;=MIN(IF('制度詳細'!$I$29="",EOMONTH(BU$5,0),'制度詳細'!$I$29),EOMONTH(BU$5,0)),"■",IF(AND('制度詳細'!$J$29&lt;&gt;"",'制度詳細'!$J$29&gt;=BU$5,'制度詳細'!$J$29&lt;=EOMONTH(BU$5,0)),"◆","")))</x:f>
      </x:c>
      <x:c r="BV29" s="57" t="str">
        <x:f>IF('制度詳細'!$H$29="",IF('制度詳細'!$J$29="","",IF(AND('制度詳細'!$J$29&gt;=BV$5,'制度詳細'!$J$29&lt;=EOMONTH(BV$5,0)),"◆","")),IF(MAX('制度詳細'!$H$29,BV$5)&lt;=MIN(IF('制度詳細'!$I$29="",EOMONTH(BV$5,0),'制度詳細'!$I$29),EOMONTH(BV$5,0)),"■",IF(AND('制度詳細'!$J$29&lt;&gt;"",'制度詳細'!$J$29&gt;=BV$5,'制度詳細'!$J$29&lt;=EOMONTH(BV$5,0)),"◆","")))</x:f>
      </x:c>
      <x:c r="BW29" s="57" t="str">
        <x:f>IF('制度詳細'!$H$29="",IF('制度詳細'!$J$29="","",IF(AND('制度詳細'!$J$29&gt;=BW$5,'制度詳細'!$J$29&lt;=EOMONTH(BW$5,0)),"◆","")),IF(MAX('制度詳細'!$H$29,BW$5)&lt;=MIN(IF('制度詳細'!$I$29="",EOMONTH(BW$5,0),'制度詳細'!$I$29),EOMONTH(BW$5,0)),"■",IF(AND('制度詳細'!$J$29&lt;&gt;"",'制度詳細'!$J$29&gt;=BW$5,'制度詳細'!$J$29&lt;=EOMONTH(BW$5,0)),"◆","")))</x:f>
      </x:c>
      <x:c r="BX29" s="57" t="str">
        <x:f>IF('制度詳細'!$H$29="",IF('制度詳細'!$J$29="","",IF(AND('制度詳細'!$J$29&gt;=BX$5,'制度詳細'!$J$29&lt;=EOMONTH(BX$5,0)),"◆","")),IF(MAX('制度詳細'!$H$29,BX$5)&lt;=MIN(IF('制度詳細'!$I$29="",EOMONTH(BX$5,0),'制度詳細'!$I$29),EOMONTH(BX$5,0)),"■",IF(AND('制度詳細'!$J$29&lt;&gt;"",'制度詳細'!$J$29&gt;=BX$5,'制度詳細'!$J$29&lt;=EOMONTH(BX$5,0)),"◆","")))</x:f>
      </x:c>
      <x:c r="BY29" s="57" t="str">
        <x:f>IF('制度詳細'!$H$29="",IF('制度詳細'!$J$29="","",IF(AND('制度詳細'!$J$29&gt;=BY$5,'制度詳細'!$J$29&lt;=EOMONTH(BY$5,0)),"◆","")),IF(MAX('制度詳細'!$H$29,BY$5)&lt;=MIN(IF('制度詳細'!$I$29="",EOMONTH(BY$5,0),'制度詳細'!$I$29),EOMONTH(BY$5,0)),"■",IF(AND('制度詳細'!$J$29&lt;&gt;"",'制度詳細'!$J$29&gt;=BY$5,'制度詳細'!$J$29&lt;=EOMONTH(BY$5,0)),"◆","")))</x:f>
      </x:c>
      <x:c r="BZ29" s="57" t="str">
        <x:f>IF('制度詳細'!$H$29="",IF('制度詳細'!$J$29="","",IF(AND('制度詳細'!$J$29&gt;=BZ$5,'制度詳細'!$J$29&lt;=EOMONTH(BZ$5,0)),"◆","")),IF(MAX('制度詳細'!$H$29,BZ$5)&lt;=MIN(IF('制度詳細'!$I$29="",EOMONTH(BZ$5,0),'制度詳細'!$I$29),EOMONTH(BZ$5,0)),"■",IF(AND('制度詳細'!$J$29&lt;&gt;"",'制度詳細'!$J$29&gt;=BZ$5,'制度詳細'!$J$29&lt;=EOMONTH(BZ$5,0)),"◆","")))</x:f>
      </x:c>
      <x:c r="CA29" s="57" t="str">
        <x:f>IF('制度詳細'!$H$29="",IF('制度詳細'!$J$29="","",IF(AND('制度詳細'!$J$29&gt;=CA$5,'制度詳細'!$J$29&lt;=EOMONTH(CA$5,0)),"◆","")),IF(MAX('制度詳細'!$H$29,CA$5)&lt;=MIN(IF('制度詳細'!$I$29="",EOMONTH(CA$5,0),'制度詳細'!$I$29),EOMONTH(CA$5,0)),"■",IF(AND('制度詳細'!$J$29&lt;&gt;"",'制度詳細'!$J$29&gt;=CA$5,'制度詳細'!$J$29&lt;=EOMONTH(CA$5,0)),"◆","")))</x:f>
      </x:c>
      <x:c r="CB29" s="57" t="str">
        <x:f>IF('制度詳細'!$H$29="",IF('制度詳細'!$J$29="","",IF(AND('制度詳細'!$J$29&gt;=CB$5,'制度詳細'!$J$29&lt;=EOMONTH(CB$5,0)),"◆","")),IF(MAX('制度詳細'!$H$29,CB$5)&lt;=MIN(IF('制度詳細'!$I$29="",EOMONTH(CB$5,0),'制度詳細'!$I$29),EOMONTH(CB$5,0)),"■",IF(AND('制度詳細'!$J$29&lt;&gt;"",'制度詳細'!$J$29&gt;=CB$5,'制度詳細'!$J$29&lt;=EOMONTH(CB$5,0)),"◆","")))</x:f>
      </x:c>
      <x:c r="CC29" s="57" t="str">
        <x:f>IF('制度詳細'!$H$29="",IF('制度詳細'!$J$29="","",IF(AND('制度詳細'!$J$29&gt;=CC$5,'制度詳細'!$J$29&lt;=EOMONTH(CC$5,0)),"◆","")),IF(MAX('制度詳細'!$H$29,CC$5)&lt;=MIN(IF('制度詳細'!$I$29="",EOMONTH(CC$5,0),'制度詳細'!$I$29),EOMONTH(CC$5,0)),"■",IF(AND('制度詳細'!$J$29&lt;&gt;"",'制度詳細'!$J$29&gt;=CC$5,'制度詳細'!$J$29&lt;=EOMONTH(CC$5,0)),"◆","")))</x:f>
      </x:c>
      <x:c r="CD29" s="57" t="str">
        <x:f>IF('制度詳細'!$H$29="",IF('制度詳細'!$J$29="","",IF(AND('制度詳細'!$J$29&gt;=CD$5,'制度詳細'!$J$29&lt;=EOMONTH(CD$5,0)),"◆","")),IF(MAX('制度詳細'!$H$29,CD$5)&lt;=MIN(IF('制度詳細'!$I$29="",EOMONTH(CD$5,0),'制度詳細'!$I$29),EOMONTH(CD$5,0)),"■",IF(AND('制度詳細'!$J$29&lt;&gt;"",'制度詳細'!$J$29&gt;=CD$5,'制度詳細'!$J$29&lt;=EOMONTH(CD$5,0)),"◆","")))</x:f>
      </x:c>
      <x:c r="CE29" s="57" t="str">
        <x:f>IF('制度詳細'!$H$29="",IF('制度詳細'!$J$29="","",IF(AND('制度詳細'!$J$29&gt;=CE$5,'制度詳細'!$J$29&lt;=EOMONTH(CE$5,0)),"◆","")),IF(MAX('制度詳細'!$H$29,CE$5)&lt;=MIN(IF('制度詳細'!$I$29="",EOMONTH(CE$5,0),'制度詳細'!$I$29),EOMONTH(CE$5,0)),"■",IF(AND('制度詳細'!$J$29&lt;&gt;"",'制度詳細'!$J$29&gt;=CE$5,'制度詳細'!$J$29&lt;=EOMONTH(CE$5,0)),"◆","")))</x:f>
      </x:c>
      <x:c r="CF29" s="57" t="str">
        <x:f>IF('制度詳細'!$H$29="",IF('制度詳細'!$J$29="","",IF(AND('制度詳細'!$J$29&gt;=CF$5,'制度詳細'!$J$29&lt;=EOMONTH(CF$5,0)),"◆","")),IF(MAX('制度詳細'!$H$29,CF$5)&lt;=MIN(IF('制度詳細'!$I$29="",EOMONTH(CF$5,0),'制度詳細'!$I$29),EOMONTH(CF$5,0)),"■",IF(AND('制度詳細'!$J$29&lt;&gt;"",'制度詳細'!$J$29&gt;=CF$5,'制度詳細'!$J$29&lt;=EOMONTH(CF$5,0)),"◆","")))</x:f>
      </x:c>
      <x:c r="CG29" s="57" t="str">
        <x:f>IF('制度詳細'!$H$29="",IF('制度詳細'!$J$29="","",IF(AND('制度詳細'!$J$29&gt;=CG$5,'制度詳細'!$J$29&lt;=EOMONTH(CG$5,0)),"◆","")),IF(MAX('制度詳細'!$H$29,CG$5)&lt;=MIN(IF('制度詳細'!$I$29="",EOMONTH(CG$5,0),'制度詳細'!$I$29),EOMONTH(CG$5,0)),"■",IF(AND('制度詳細'!$J$29&lt;&gt;"",'制度詳細'!$J$29&gt;=CG$5,'制度詳細'!$J$29&lt;=EOMONTH(CG$5,0)),"◆","")))</x:f>
      </x:c>
      <x:c r="CH29" s="57" t="str">
        <x:f>IF('制度詳細'!$H$29="",IF('制度詳細'!$J$29="","",IF(AND('制度詳細'!$J$29&gt;=CH$5,'制度詳細'!$J$29&lt;=EOMONTH(CH$5,0)),"◆","")),IF(MAX('制度詳細'!$H$29,CH$5)&lt;=MIN(IF('制度詳細'!$I$29="",EOMONTH(CH$5,0),'制度詳細'!$I$29),EOMONTH(CH$5,0)),"■",IF(AND('制度詳細'!$J$29&lt;&gt;"",'制度詳細'!$J$29&gt;=CH$5,'制度詳細'!$J$29&lt;=EOMONTH(CH$5,0)),"◆","")))</x:f>
      </x:c>
      <x:c r="CI29" s="57" t="str">
        <x:f>IF('制度詳細'!$H$29="",IF('制度詳細'!$J$29="","",IF(AND('制度詳細'!$J$29&gt;=CI$5,'制度詳細'!$J$29&lt;=EOMONTH(CI$5,0)),"◆","")),IF(MAX('制度詳細'!$H$29,CI$5)&lt;=MIN(IF('制度詳細'!$I$29="",EOMONTH(CI$5,0),'制度詳細'!$I$29),EOMONTH(CI$5,0)),"■",IF(AND('制度詳細'!$J$29&lt;&gt;"",'制度詳細'!$J$29&gt;=CI$5,'制度詳細'!$J$29&lt;=EOMONTH(CI$5,0)),"◆","")))</x:f>
      </x:c>
      <x:c r="CJ29" s="57" t="str">
        <x:f>IF('制度詳細'!$H$29="",IF('制度詳細'!$J$29="","",IF(AND('制度詳細'!$J$29&gt;=CJ$5,'制度詳細'!$J$29&lt;=EOMONTH(CJ$5,0)),"◆","")),IF(MAX('制度詳細'!$H$29,CJ$5)&lt;=MIN(IF('制度詳細'!$I$29="",EOMONTH(CJ$5,0),'制度詳細'!$I$29),EOMONTH(CJ$5,0)),"■",IF(AND('制度詳細'!$J$29&lt;&gt;"",'制度詳細'!$J$29&gt;=CJ$5,'制度詳細'!$J$29&lt;=EOMONTH(CJ$5,0)),"◆","")))</x:f>
      </x:c>
      <x:c r="CK29" s="57" t="str">
        <x:f>IF('制度詳細'!$H$29="",IF('制度詳細'!$J$29="","",IF(AND('制度詳細'!$J$29&gt;=CK$5,'制度詳細'!$J$29&lt;=EOMONTH(CK$5,0)),"◆","")),IF(MAX('制度詳細'!$H$29,CK$5)&lt;=MIN(IF('制度詳細'!$I$29="",EOMONTH(CK$5,0),'制度詳細'!$I$29),EOMONTH(CK$5,0)),"■",IF(AND('制度詳細'!$J$29&lt;&gt;"",'制度詳細'!$J$29&gt;=CK$5,'制度詳細'!$J$29&lt;=EOMONTH(CK$5,0)),"◆","")))</x:f>
      </x:c>
      <x:c r="CL29" s="57" t="str">
        <x:f>IF('制度詳細'!$H$29="",IF('制度詳細'!$J$29="","",IF(AND('制度詳細'!$J$29&gt;=CL$5,'制度詳細'!$J$29&lt;=EOMONTH(CL$5,0)),"◆","")),IF(MAX('制度詳細'!$H$29,CL$5)&lt;=MIN(IF('制度詳細'!$I$29="",EOMONTH(CL$5,0),'制度詳細'!$I$29),EOMONTH(CL$5,0)),"■",IF(AND('制度詳細'!$J$29&lt;&gt;"",'制度詳細'!$J$29&gt;=CL$5,'制度詳細'!$J$29&lt;=EOMONTH(CL$5,0)),"◆","")))</x:f>
      </x:c>
      <x:c r="CM29" s="57" t="str">
        <x:f>IF('制度詳細'!$H$29="",IF('制度詳細'!$J$29="","",IF(AND('制度詳細'!$J$29&gt;=CM$5,'制度詳細'!$J$29&lt;=EOMONTH(CM$5,0)),"◆","")),IF(MAX('制度詳細'!$H$29,CM$5)&lt;=MIN(IF('制度詳細'!$I$29="",EOMONTH(CM$5,0),'制度詳細'!$I$29),EOMONTH(CM$5,0)),"■",IF(AND('制度詳細'!$J$29&lt;&gt;"",'制度詳細'!$J$29&gt;=CM$5,'制度詳細'!$J$29&lt;=EOMONTH(CM$5,0)),"◆","")))</x:f>
      </x:c>
      <x:c r="CN29" s="57" t="str">
        <x:f>IF('制度詳細'!$H$29="",IF('制度詳細'!$J$29="","",IF(AND('制度詳細'!$J$29&gt;=CN$5,'制度詳細'!$J$29&lt;=EOMONTH(CN$5,0)),"◆","")),IF(MAX('制度詳細'!$H$29,CN$5)&lt;=MIN(IF('制度詳細'!$I$29="",EOMONTH(CN$5,0),'制度詳細'!$I$29),EOMONTH(CN$5,0)),"■",IF(AND('制度詳細'!$J$29&lt;&gt;"",'制度詳細'!$J$29&gt;=CN$5,'制度詳細'!$J$29&lt;=EOMONTH(CN$5,0)),"◆","")))</x:f>
      </x:c>
      <x:c r="CO29" s="57" t="str">
        <x:f>IF('制度詳細'!$H$29="",IF('制度詳細'!$J$29="","",IF(AND('制度詳細'!$J$29&gt;=CO$5,'制度詳細'!$J$29&lt;=EOMONTH(CO$5,0)),"◆","")),IF(MAX('制度詳細'!$H$29,CO$5)&lt;=MIN(IF('制度詳細'!$I$29="",EOMONTH(CO$5,0),'制度詳細'!$I$29),EOMONTH(CO$5,0)),"■",IF(AND('制度詳細'!$J$29&lt;&gt;"",'制度詳細'!$J$29&gt;=CO$5,'制度詳細'!$J$29&lt;=EOMONTH(CO$5,0)),"◆","")))</x:f>
      </x:c>
      <x:c r="CP29" s="57" t="str">
        <x:f>IF('制度詳細'!$H$29="",IF('制度詳細'!$J$29="","",IF(AND('制度詳細'!$J$29&gt;=CP$5,'制度詳細'!$J$29&lt;=EOMONTH(CP$5,0)),"◆","")),IF(MAX('制度詳細'!$H$29,CP$5)&lt;=MIN(IF('制度詳細'!$I$29="",EOMONTH(CP$5,0),'制度詳細'!$I$29),EOMONTH(CP$5,0)),"■",IF(AND('制度詳細'!$J$29&lt;&gt;"",'制度詳細'!$J$29&gt;=CP$5,'制度詳細'!$J$29&lt;=EOMONTH(CP$5,0)),"◆","")))</x:f>
      </x:c>
      <x:c r="CQ29" s="57" t="str">
        <x:f>IF('制度詳細'!$H$29="",IF('制度詳細'!$J$29="","",IF(AND('制度詳細'!$J$29&gt;=CQ$5,'制度詳細'!$J$29&lt;=EOMONTH(CQ$5,0)),"◆","")),IF(MAX('制度詳細'!$H$29,CQ$5)&lt;=MIN(IF('制度詳細'!$I$29="",EOMONTH(CQ$5,0),'制度詳細'!$I$29),EOMONTH(CQ$5,0)),"■",IF(AND('制度詳細'!$J$29&lt;&gt;"",'制度詳細'!$J$29&gt;=CQ$5,'制度詳細'!$J$29&lt;=EOMONTH(CQ$5,0)),"◆","")))</x:f>
      </x:c>
      <x:c r="CR29" s="57" t="str">
        <x:f>IF('制度詳細'!$H$29="",IF('制度詳細'!$J$29="","",IF(AND('制度詳細'!$J$29&gt;=CR$5,'制度詳細'!$J$29&lt;=EOMONTH(CR$5,0)),"◆","")),IF(MAX('制度詳細'!$H$29,CR$5)&lt;=MIN(IF('制度詳細'!$I$29="",EOMONTH(CR$5,0),'制度詳細'!$I$29),EOMONTH(CR$5,0)),"■",IF(AND('制度詳細'!$J$29&lt;&gt;"",'制度詳細'!$J$29&gt;=CR$5,'制度詳細'!$J$29&lt;=EOMONTH(CR$5,0)),"◆","")))</x:f>
      </x:c>
      <x:c r="CS29" s="57" t="str">
        <x:f>IF('制度詳細'!$H$29="",IF('制度詳細'!$J$29="","",IF(AND('制度詳細'!$J$29&gt;=CS$5,'制度詳細'!$J$29&lt;=EOMONTH(CS$5,0)),"◆","")),IF(MAX('制度詳細'!$H$29,CS$5)&lt;=MIN(IF('制度詳細'!$I$29="",EOMONTH(CS$5,0),'制度詳細'!$I$29),EOMONTH(CS$5,0)),"■",IF(AND('制度詳細'!$J$29&lt;&gt;"",'制度詳細'!$J$29&gt;=CS$5,'制度詳細'!$J$29&lt;=EOMONTH(CS$5,0)),"◆","")))</x:f>
      </x:c>
      <x:c r="CT29" s="57" t="str">
        <x:f>IF('制度詳細'!$H$29="",IF('制度詳細'!$J$29="","",IF(AND('制度詳細'!$J$29&gt;=CT$5,'制度詳細'!$J$29&lt;=EOMONTH(CT$5,0)),"◆","")),IF(MAX('制度詳細'!$H$29,CT$5)&lt;=MIN(IF('制度詳細'!$I$29="",EOMONTH(CT$5,0),'制度詳細'!$I$29),EOMONTH(CT$5,0)),"■",IF(AND('制度詳細'!$J$29&lt;&gt;"",'制度詳細'!$J$29&gt;=CT$5,'制度詳細'!$J$29&lt;=EOMONTH(CT$5,0)),"◆","")))</x:f>
      </x:c>
      <x:c r="CU29" s="57" t="str">
        <x:f>IF('制度詳細'!$H$29="",IF('制度詳細'!$J$29="","",IF(AND('制度詳細'!$J$29&gt;=CU$5,'制度詳細'!$J$29&lt;=EOMONTH(CU$5,0)),"◆","")),IF(MAX('制度詳細'!$H$29,CU$5)&lt;=MIN(IF('制度詳細'!$I$29="",EOMONTH(CU$5,0),'制度詳細'!$I$29),EOMONTH(CU$5,0)),"■",IF(AND('制度詳細'!$J$29&lt;&gt;"",'制度詳細'!$J$29&gt;=CU$5,'制度詳細'!$J$29&lt;=EOMONTH(CU$5,0)),"◆","")))</x:f>
      </x:c>
      <x:c r="CV29" s="57" t="str">
        <x:f>IF('制度詳細'!$H$29="",IF('制度詳細'!$J$29="","",IF(AND('制度詳細'!$J$29&gt;=CV$5,'制度詳細'!$J$29&lt;=EOMONTH(CV$5,0)),"◆","")),IF(MAX('制度詳細'!$H$29,CV$5)&lt;=MIN(IF('制度詳細'!$I$29="",EOMONTH(CV$5,0),'制度詳細'!$I$29),EOMONTH(CV$5,0)),"■",IF(AND('制度詳細'!$J$29&lt;&gt;"",'制度詳細'!$J$29&gt;=CV$5,'制度詳細'!$J$29&lt;=EOMONTH(CV$5,0)),"◆","")))</x:f>
      </x:c>
      <x:c r="CW29" s="1"/>
      <x:c r="CX29" s="1"/>
      <x:c r="CY29" s="1"/>
      <x:c r="CZ29" s="1"/>
      <x:c r="DA29" s="1"/>
      <x:c r="DB29" s="1"/>
      <x:c r="DC29" s="1"/>
      <x:c r="DD29" s="1"/>
    </x:row>
    <x:row r="30" ht="27" customHeight="1">
      <x:c r="A30" s="53" t="str">
        <x:v>VN02</x:v>
      </x:c>
      <x:c r="B30" s="53" t="str">
        <x:v>ベトナム</x:v>
      </x:c>
      <x:c r="C30" s="53" t="str">
        <x:v>BEV：登録料0%延長</x:v>
      </x:c>
      <x:c r="D30" s="53" t="str">
        <x:v>BEV</x:v>
      </x:c>
      <x:c r="E30" s="57" t="str">
        <x:f>IF('制度詳細'!$H$30="",IF('制度詳細'!$J$30="","",IF(AND('制度詳細'!$J$30&gt;=E$5,'制度詳細'!$J$30&lt;=EOMONTH(E$5,0)),"◆","")),IF(MAX('制度詳細'!$H$30,E$5)&lt;=MIN(IF('制度詳細'!$I$30="",EOMONTH(E$5,0),'制度詳細'!$I$30),EOMONTH(E$5,0)),"■",IF(AND('制度詳細'!$J$30&lt;&gt;"",'制度詳細'!$J$30&gt;=E$5,'制度詳細'!$J$30&lt;=EOMONTH(E$5,0)),"◆","")))</x:f>
      </x:c>
      <x:c r="F30" s="57" t="str">
        <x:f>IF('制度詳細'!$H$30="",IF('制度詳細'!$J$30="","",IF(AND('制度詳細'!$J$30&gt;=F$5,'制度詳細'!$J$30&lt;=EOMONTH(F$5,0)),"◆","")),IF(MAX('制度詳細'!$H$30,F$5)&lt;=MIN(IF('制度詳細'!$I$30="",EOMONTH(F$5,0),'制度詳細'!$I$30),EOMONTH(F$5,0)),"■",IF(AND('制度詳細'!$J$30&lt;&gt;"",'制度詳細'!$J$30&gt;=F$5,'制度詳細'!$J$30&lt;=EOMONTH(F$5,0)),"◆","")))</x:f>
      </x:c>
      <x:c r="G30" s="57" t="str">
        <x:f>IF('制度詳細'!$H$30="",IF('制度詳細'!$J$30="","",IF(AND('制度詳細'!$J$30&gt;=G$5,'制度詳細'!$J$30&lt;=EOMONTH(G$5,0)),"◆","")),IF(MAX('制度詳細'!$H$30,G$5)&lt;=MIN(IF('制度詳細'!$I$30="",EOMONTH(G$5,0),'制度詳細'!$I$30),EOMONTH(G$5,0)),"■",IF(AND('制度詳細'!$J$30&lt;&gt;"",'制度詳細'!$J$30&gt;=G$5,'制度詳細'!$J$30&lt;=EOMONTH(G$5,0)),"◆","")))</x:f>
      </x:c>
      <x:c r="H30" s="57" t="str">
        <x:f>IF('制度詳細'!$H$30="",IF('制度詳細'!$J$30="","",IF(AND('制度詳細'!$J$30&gt;=H$5,'制度詳細'!$J$30&lt;=EOMONTH(H$5,0)),"◆","")),IF(MAX('制度詳細'!$H$30,H$5)&lt;=MIN(IF('制度詳細'!$I$30="",EOMONTH(H$5,0),'制度詳細'!$I$30),EOMONTH(H$5,0)),"■",IF(AND('制度詳細'!$J$30&lt;&gt;"",'制度詳細'!$J$30&gt;=H$5,'制度詳細'!$J$30&lt;=EOMONTH(H$5,0)),"◆","")))</x:f>
      </x:c>
      <x:c r="I30" s="57" t="str">
        <x:f>IF('制度詳細'!$H$30="",IF('制度詳細'!$J$30="","",IF(AND('制度詳細'!$J$30&gt;=I$5,'制度詳細'!$J$30&lt;=EOMONTH(I$5,0)),"◆","")),IF(MAX('制度詳細'!$H$30,I$5)&lt;=MIN(IF('制度詳細'!$I$30="",EOMONTH(I$5,0),'制度詳細'!$I$30),EOMONTH(I$5,0)),"■",IF(AND('制度詳細'!$J$30&lt;&gt;"",'制度詳細'!$J$30&gt;=I$5,'制度詳細'!$J$30&lt;=EOMONTH(I$5,0)),"◆","")))</x:f>
      </x:c>
      <x:c r="J30" s="57" t="str">
        <x:f>IF('制度詳細'!$H$30="",IF('制度詳細'!$J$30="","",IF(AND('制度詳細'!$J$30&gt;=J$5,'制度詳細'!$J$30&lt;=EOMONTH(J$5,0)),"◆","")),IF(MAX('制度詳細'!$H$30,J$5)&lt;=MIN(IF('制度詳細'!$I$30="",EOMONTH(J$5,0),'制度詳細'!$I$30),EOMONTH(J$5,0)),"■",IF(AND('制度詳細'!$J$30&lt;&gt;"",'制度詳細'!$J$30&gt;=J$5,'制度詳細'!$J$30&lt;=EOMONTH(J$5,0)),"◆","")))</x:f>
      </x:c>
      <x:c r="K30" s="57" t="str">
        <x:f>IF('制度詳細'!$H$30="",IF('制度詳細'!$J$30="","",IF(AND('制度詳細'!$J$30&gt;=K$5,'制度詳細'!$J$30&lt;=EOMONTH(K$5,0)),"◆","")),IF(MAX('制度詳細'!$H$30,K$5)&lt;=MIN(IF('制度詳細'!$I$30="",EOMONTH(K$5,0),'制度詳細'!$I$30),EOMONTH(K$5,0)),"■",IF(AND('制度詳細'!$J$30&lt;&gt;"",'制度詳細'!$J$30&gt;=K$5,'制度詳細'!$J$30&lt;=EOMONTH(K$5,0)),"◆","")))</x:f>
      </x:c>
      <x:c r="L30" s="57" t="str">
        <x:f>IF('制度詳細'!$H$30="",IF('制度詳細'!$J$30="","",IF(AND('制度詳細'!$J$30&gt;=L$5,'制度詳細'!$J$30&lt;=EOMONTH(L$5,0)),"◆","")),IF(MAX('制度詳細'!$H$30,L$5)&lt;=MIN(IF('制度詳細'!$I$30="",EOMONTH(L$5,0),'制度詳細'!$I$30),EOMONTH(L$5,0)),"■",IF(AND('制度詳細'!$J$30&lt;&gt;"",'制度詳細'!$J$30&gt;=L$5,'制度詳細'!$J$30&lt;=EOMONTH(L$5,0)),"◆","")))</x:f>
      </x:c>
      <x:c r="M30" s="57" t="str">
        <x:f>IF('制度詳細'!$H$30="",IF('制度詳細'!$J$30="","",IF(AND('制度詳細'!$J$30&gt;=M$5,'制度詳細'!$J$30&lt;=EOMONTH(M$5,0)),"◆","")),IF(MAX('制度詳細'!$H$30,M$5)&lt;=MIN(IF('制度詳細'!$I$30="",EOMONTH(M$5,0),'制度詳細'!$I$30),EOMONTH(M$5,0)),"■",IF(AND('制度詳細'!$J$30&lt;&gt;"",'制度詳細'!$J$30&gt;=M$5,'制度詳細'!$J$30&lt;=EOMONTH(M$5,0)),"◆","")))</x:f>
      </x:c>
      <x:c r="N30" s="57" t="str">
        <x:f>IF('制度詳細'!$H$30="",IF('制度詳細'!$J$30="","",IF(AND('制度詳細'!$J$30&gt;=N$5,'制度詳細'!$J$30&lt;=EOMONTH(N$5,0)),"◆","")),IF(MAX('制度詳細'!$H$30,N$5)&lt;=MIN(IF('制度詳細'!$I$30="",EOMONTH(N$5,0),'制度詳細'!$I$30),EOMONTH(N$5,0)),"■",IF(AND('制度詳細'!$J$30&lt;&gt;"",'制度詳細'!$J$30&gt;=N$5,'制度詳細'!$J$30&lt;=EOMONTH(N$5,0)),"◆","")))</x:f>
      </x:c>
      <x:c r="O30" s="57" t="str">
        <x:f>IF('制度詳細'!$H$30="",IF('制度詳細'!$J$30="","",IF(AND('制度詳細'!$J$30&gt;=O$5,'制度詳細'!$J$30&lt;=EOMONTH(O$5,0)),"◆","")),IF(MAX('制度詳細'!$H$30,O$5)&lt;=MIN(IF('制度詳細'!$I$30="",EOMONTH(O$5,0),'制度詳細'!$I$30),EOMONTH(O$5,0)),"■",IF(AND('制度詳細'!$J$30&lt;&gt;"",'制度詳細'!$J$30&gt;=O$5,'制度詳細'!$J$30&lt;=EOMONTH(O$5,0)),"◆","")))</x:f>
      </x:c>
      <x:c r="P30" s="57" t="str">
        <x:f>IF('制度詳細'!$H$30="",IF('制度詳細'!$J$30="","",IF(AND('制度詳細'!$J$30&gt;=P$5,'制度詳細'!$J$30&lt;=EOMONTH(P$5,0)),"◆","")),IF(MAX('制度詳細'!$H$30,P$5)&lt;=MIN(IF('制度詳細'!$I$30="",EOMONTH(P$5,0),'制度詳細'!$I$30),EOMONTH(P$5,0)),"■",IF(AND('制度詳細'!$J$30&lt;&gt;"",'制度詳細'!$J$30&gt;=P$5,'制度詳細'!$J$30&lt;=EOMONTH(P$5,0)),"◆","")))</x:f>
      </x:c>
      <x:c r="Q30" s="57" t="str">
        <x:f>IF('制度詳細'!$H$30="",IF('制度詳細'!$J$30="","",IF(AND('制度詳細'!$J$30&gt;=Q$5,'制度詳細'!$J$30&lt;=EOMONTH(Q$5,0)),"◆","")),IF(MAX('制度詳細'!$H$30,Q$5)&lt;=MIN(IF('制度詳細'!$I$30="",EOMONTH(Q$5,0),'制度詳細'!$I$30),EOMONTH(Q$5,0)),"■",IF(AND('制度詳細'!$J$30&lt;&gt;"",'制度詳細'!$J$30&gt;=Q$5,'制度詳細'!$J$30&lt;=EOMONTH(Q$5,0)),"◆","")))</x:f>
      </x:c>
      <x:c r="R30" s="57" t="str">
        <x:f>IF('制度詳細'!$H$30="",IF('制度詳細'!$J$30="","",IF(AND('制度詳細'!$J$30&gt;=R$5,'制度詳細'!$J$30&lt;=EOMONTH(R$5,0)),"◆","")),IF(MAX('制度詳細'!$H$30,R$5)&lt;=MIN(IF('制度詳細'!$I$30="",EOMONTH(R$5,0),'制度詳細'!$I$30),EOMONTH(R$5,0)),"■",IF(AND('制度詳細'!$J$30&lt;&gt;"",'制度詳細'!$J$30&gt;=R$5,'制度詳細'!$J$30&lt;=EOMONTH(R$5,0)),"◆","")))</x:f>
      </x:c>
      <x:c r="S30" s="57" t="str">
        <x:f>IF('制度詳細'!$H$30="",IF('制度詳細'!$J$30="","",IF(AND('制度詳細'!$J$30&gt;=S$5,'制度詳細'!$J$30&lt;=EOMONTH(S$5,0)),"◆","")),IF(MAX('制度詳細'!$H$30,S$5)&lt;=MIN(IF('制度詳細'!$I$30="",EOMONTH(S$5,0),'制度詳細'!$I$30),EOMONTH(S$5,0)),"■",IF(AND('制度詳細'!$J$30&lt;&gt;"",'制度詳細'!$J$30&gt;=S$5,'制度詳細'!$J$30&lt;=EOMONTH(S$5,0)),"◆","")))</x:f>
      </x:c>
      <x:c r="T30" s="57" t="str">
        <x:f>IF('制度詳細'!$H$30="",IF('制度詳細'!$J$30="","",IF(AND('制度詳細'!$J$30&gt;=T$5,'制度詳細'!$J$30&lt;=EOMONTH(T$5,0)),"◆","")),IF(MAX('制度詳細'!$H$30,T$5)&lt;=MIN(IF('制度詳細'!$I$30="",EOMONTH(T$5,0),'制度詳細'!$I$30),EOMONTH(T$5,0)),"■",IF(AND('制度詳細'!$J$30&lt;&gt;"",'制度詳細'!$J$30&gt;=T$5,'制度詳細'!$J$30&lt;=EOMONTH(T$5,0)),"◆","")))</x:f>
      </x:c>
      <x:c r="U30" s="57" t="str">
        <x:f>IF('制度詳細'!$H$30="",IF('制度詳細'!$J$30="","",IF(AND('制度詳細'!$J$30&gt;=U$5,'制度詳細'!$J$30&lt;=EOMONTH(U$5,0)),"◆","")),IF(MAX('制度詳細'!$H$30,U$5)&lt;=MIN(IF('制度詳細'!$I$30="",EOMONTH(U$5,0),'制度詳細'!$I$30),EOMONTH(U$5,0)),"■",IF(AND('制度詳細'!$J$30&lt;&gt;"",'制度詳細'!$J$30&gt;=U$5,'制度詳細'!$J$30&lt;=EOMONTH(U$5,0)),"◆","")))</x:f>
      </x:c>
      <x:c r="V30" s="57" t="str">
        <x:f>IF('制度詳細'!$H$30="",IF('制度詳細'!$J$30="","",IF(AND('制度詳細'!$J$30&gt;=V$5,'制度詳細'!$J$30&lt;=EOMONTH(V$5,0)),"◆","")),IF(MAX('制度詳細'!$H$30,V$5)&lt;=MIN(IF('制度詳細'!$I$30="",EOMONTH(V$5,0),'制度詳細'!$I$30),EOMONTH(V$5,0)),"■",IF(AND('制度詳細'!$J$30&lt;&gt;"",'制度詳細'!$J$30&gt;=V$5,'制度詳細'!$J$30&lt;=EOMONTH(V$5,0)),"◆","")))</x:f>
      </x:c>
      <x:c r="W30" s="57" t="str">
        <x:f>IF('制度詳細'!$H$30="",IF('制度詳細'!$J$30="","",IF(AND('制度詳細'!$J$30&gt;=W$5,'制度詳細'!$J$30&lt;=EOMONTH(W$5,0)),"◆","")),IF(MAX('制度詳細'!$H$30,W$5)&lt;=MIN(IF('制度詳細'!$I$30="",EOMONTH(W$5,0),'制度詳細'!$I$30),EOMONTH(W$5,0)),"■",IF(AND('制度詳細'!$J$30&lt;&gt;"",'制度詳細'!$J$30&gt;=W$5,'制度詳細'!$J$30&lt;=EOMONTH(W$5,0)),"◆","")))</x:f>
      </x:c>
      <x:c r="X30" s="57" t="str">
        <x:f>IF('制度詳細'!$H$30="",IF('制度詳細'!$J$30="","",IF(AND('制度詳細'!$J$30&gt;=X$5,'制度詳細'!$J$30&lt;=EOMONTH(X$5,0)),"◆","")),IF(MAX('制度詳細'!$H$30,X$5)&lt;=MIN(IF('制度詳細'!$I$30="",EOMONTH(X$5,0),'制度詳細'!$I$30),EOMONTH(X$5,0)),"■",IF(AND('制度詳細'!$J$30&lt;&gt;"",'制度詳細'!$J$30&gt;=X$5,'制度詳細'!$J$30&lt;=EOMONTH(X$5,0)),"◆","")))</x:f>
      </x:c>
      <x:c r="Y30" s="57" t="str">
        <x:f>IF('制度詳細'!$H$30="",IF('制度詳細'!$J$30="","",IF(AND('制度詳細'!$J$30&gt;=Y$5,'制度詳細'!$J$30&lt;=EOMONTH(Y$5,0)),"◆","")),IF(MAX('制度詳細'!$H$30,Y$5)&lt;=MIN(IF('制度詳細'!$I$30="",EOMONTH(Y$5,0),'制度詳細'!$I$30),EOMONTH(Y$5,0)),"■",IF(AND('制度詳細'!$J$30&lt;&gt;"",'制度詳細'!$J$30&gt;=Y$5,'制度詳細'!$J$30&lt;=EOMONTH(Y$5,0)),"◆","")))</x:f>
      </x:c>
      <x:c r="Z30" s="57" t="str">
        <x:f>IF('制度詳細'!$H$30="",IF('制度詳細'!$J$30="","",IF(AND('制度詳細'!$J$30&gt;=Z$5,'制度詳細'!$J$30&lt;=EOMONTH(Z$5,0)),"◆","")),IF(MAX('制度詳細'!$H$30,Z$5)&lt;=MIN(IF('制度詳細'!$I$30="",EOMONTH(Z$5,0),'制度詳細'!$I$30),EOMONTH(Z$5,0)),"■",IF(AND('制度詳細'!$J$30&lt;&gt;"",'制度詳細'!$J$30&gt;=Z$5,'制度詳細'!$J$30&lt;=EOMONTH(Z$5,0)),"◆","")))</x:f>
      </x:c>
      <x:c r="AA30" s="57" t="str">
        <x:f>IF('制度詳細'!$H$30="",IF('制度詳細'!$J$30="","",IF(AND('制度詳細'!$J$30&gt;=AA$5,'制度詳細'!$J$30&lt;=EOMONTH(AA$5,0)),"◆","")),IF(MAX('制度詳細'!$H$30,AA$5)&lt;=MIN(IF('制度詳細'!$I$30="",EOMONTH(AA$5,0),'制度詳細'!$I$30),EOMONTH(AA$5,0)),"■",IF(AND('制度詳細'!$J$30&lt;&gt;"",'制度詳細'!$J$30&gt;=AA$5,'制度詳細'!$J$30&lt;=EOMONTH(AA$5,0)),"◆","")))</x:f>
      </x:c>
      <x:c r="AB30" s="57" t="str">
        <x:f>IF('制度詳細'!$H$30="",IF('制度詳細'!$J$30="","",IF(AND('制度詳細'!$J$30&gt;=AB$5,'制度詳細'!$J$30&lt;=EOMONTH(AB$5,0)),"◆","")),IF(MAX('制度詳細'!$H$30,AB$5)&lt;=MIN(IF('制度詳細'!$I$30="",EOMONTH(AB$5,0),'制度詳細'!$I$30),EOMONTH(AB$5,0)),"■",IF(AND('制度詳細'!$J$30&lt;&gt;"",'制度詳細'!$J$30&gt;=AB$5,'制度詳細'!$J$30&lt;=EOMONTH(AB$5,0)),"◆","")))</x:f>
      </x:c>
      <x:c r="AC30" s="57" t="str">
        <x:f>IF('制度詳細'!$H$30="",IF('制度詳細'!$J$30="","",IF(AND('制度詳細'!$J$30&gt;=AC$5,'制度詳細'!$J$30&lt;=EOMONTH(AC$5,0)),"◆","")),IF(MAX('制度詳細'!$H$30,AC$5)&lt;=MIN(IF('制度詳細'!$I$30="",EOMONTH(AC$5,0),'制度詳細'!$I$30),EOMONTH(AC$5,0)),"■",IF(AND('制度詳細'!$J$30&lt;&gt;"",'制度詳細'!$J$30&gt;=AC$5,'制度詳細'!$J$30&lt;=EOMONTH(AC$5,0)),"◆","")))</x:f>
      </x:c>
      <x:c r="AD30" s="57" t="str">
        <x:f>IF('制度詳細'!$H$30="",IF('制度詳細'!$J$30="","",IF(AND('制度詳細'!$J$30&gt;=AD$5,'制度詳細'!$J$30&lt;=EOMONTH(AD$5,0)),"◆","")),IF(MAX('制度詳細'!$H$30,AD$5)&lt;=MIN(IF('制度詳細'!$I$30="",EOMONTH(AD$5,0),'制度詳細'!$I$30),EOMONTH(AD$5,0)),"■",IF(AND('制度詳細'!$J$30&lt;&gt;"",'制度詳細'!$J$30&gt;=AD$5,'制度詳細'!$J$30&lt;=EOMONTH(AD$5,0)),"◆","")))</x:f>
      </x:c>
      <x:c r="AE30" s="57" t="str">
        <x:f>IF('制度詳細'!$H$30="",IF('制度詳細'!$J$30="","",IF(AND('制度詳細'!$J$30&gt;=AE$5,'制度詳細'!$J$30&lt;=EOMONTH(AE$5,0)),"◆","")),IF(MAX('制度詳細'!$H$30,AE$5)&lt;=MIN(IF('制度詳細'!$I$30="",EOMONTH(AE$5,0),'制度詳細'!$I$30),EOMONTH(AE$5,0)),"■",IF(AND('制度詳細'!$J$30&lt;&gt;"",'制度詳細'!$J$30&gt;=AE$5,'制度詳細'!$J$30&lt;=EOMONTH(AE$5,0)),"◆","")))</x:f>
      </x:c>
      <x:c r="AF30" s="57" t="str">
        <x:f>IF('制度詳細'!$H$30="",IF('制度詳細'!$J$30="","",IF(AND('制度詳細'!$J$30&gt;=AF$5,'制度詳細'!$J$30&lt;=EOMONTH(AF$5,0)),"◆","")),IF(MAX('制度詳細'!$H$30,AF$5)&lt;=MIN(IF('制度詳細'!$I$30="",EOMONTH(AF$5,0),'制度詳細'!$I$30),EOMONTH(AF$5,0)),"■",IF(AND('制度詳細'!$J$30&lt;&gt;"",'制度詳細'!$J$30&gt;=AF$5,'制度詳細'!$J$30&lt;=EOMONTH(AF$5,0)),"◆","")))</x:f>
      </x:c>
      <x:c r="AG30" s="57" t="str">
        <x:f>IF('制度詳細'!$H$30="",IF('制度詳細'!$J$30="","",IF(AND('制度詳細'!$J$30&gt;=AG$5,'制度詳細'!$J$30&lt;=EOMONTH(AG$5,0)),"◆","")),IF(MAX('制度詳細'!$H$30,AG$5)&lt;=MIN(IF('制度詳細'!$I$30="",EOMONTH(AG$5,0),'制度詳細'!$I$30),EOMONTH(AG$5,0)),"■",IF(AND('制度詳細'!$J$30&lt;&gt;"",'制度詳細'!$J$30&gt;=AG$5,'制度詳細'!$J$30&lt;=EOMONTH(AG$5,0)),"◆","")))</x:f>
      </x:c>
      <x:c r="AH30" s="57" t="str">
        <x:f>IF('制度詳細'!$H$30="",IF('制度詳細'!$J$30="","",IF(AND('制度詳細'!$J$30&gt;=AH$5,'制度詳細'!$J$30&lt;=EOMONTH(AH$5,0)),"◆","")),IF(MAX('制度詳細'!$H$30,AH$5)&lt;=MIN(IF('制度詳細'!$I$30="",EOMONTH(AH$5,0),'制度詳細'!$I$30),EOMONTH(AH$5,0)),"■",IF(AND('制度詳細'!$J$30&lt;&gt;"",'制度詳細'!$J$30&gt;=AH$5,'制度詳細'!$J$30&lt;=EOMONTH(AH$5,0)),"◆","")))</x:f>
      </x:c>
      <x:c r="AI30" s="57" t="str">
        <x:f>IF('制度詳細'!$H$30="",IF('制度詳細'!$J$30="","",IF(AND('制度詳細'!$J$30&gt;=AI$5,'制度詳細'!$J$30&lt;=EOMONTH(AI$5,0)),"◆","")),IF(MAX('制度詳細'!$H$30,AI$5)&lt;=MIN(IF('制度詳細'!$I$30="",EOMONTH(AI$5,0),'制度詳細'!$I$30),EOMONTH(AI$5,0)),"■",IF(AND('制度詳細'!$J$30&lt;&gt;"",'制度詳細'!$J$30&gt;=AI$5,'制度詳細'!$J$30&lt;=EOMONTH(AI$5,0)),"◆","")))</x:f>
      </x:c>
      <x:c r="AJ30" s="57" t="str">
        <x:f>IF('制度詳細'!$H$30="",IF('制度詳細'!$J$30="","",IF(AND('制度詳細'!$J$30&gt;=AJ$5,'制度詳細'!$J$30&lt;=EOMONTH(AJ$5,0)),"◆","")),IF(MAX('制度詳細'!$H$30,AJ$5)&lt;=MIN(IF('制度詳細'!$I$30="",EOMONTH(AJ$5,0),'制度詳細'!$I$30),EOMONTH(AJ$5,0)),"■",IF(AND('制度詳細'!$J$30&lt;&gt;"",'制度詳細'!$J$30&gt;=AJ$5,'制度詳細'!$J$30&lt;=EOMONTH(AJ$5,0)),"◆","")))</x:f>
      </x:c>
      <x:c r="AK30" s="57" t="str">
        <x:f>IF('制度詳細'!$H$30="",IF('制度詳細'!$J$30="","",IF(AND('制度詳細'!$J$30&gt;=AK$5,'制度詳細'!$J$30&lt;=EOMONTH(AK$5,0)),"◆","")),IF(MAX('制度詳細'!$H$30,AK$5)&lt;=MIN(IF('制度詳細'!$I$30="",EOMONTH(AK$5,0),'制度詳細'!$I$30),EOMONTH(AK$5,0)),"■",IF(AND('制度詳細'!$J$30&lt;&gt;"",'制度詳細'!$J$30&gt;=AK$5,'制度詳細'!$J$30&lt;=EOMONTH(AK$5,0)),"◆","")))</x:f>
      </x:c>
      <x:c r="AL30" s="57" t="str">
        <x:f>IF('制度詳細'!$H$30="",IF('制度詳細'!$J$30="","",IF(AND('制度詳細'!$J$30&gt;=AL$5,'制度詳細'!$J$30&lt;=EOMONTH(AL$5,0)),"◆","")),IF(MAX('制度詳細'!$H$30,AL$5)&lt;=MIN(IF('制度詳細'!$I$30="",EOMONTH(AL$5,0),'制度詳細'!$I$30),EOMONTH(AL$5,0)),"■",IF(AND('制度詳細'!$J$30&lt;&gt;"",'制度詳細'!$J$30&gt;=AL$5,'制度詳細'!$J$30&lt;=EOMONTH(AL$5,0)),"◆","")))</x:f>
      </x:c>
      <x:c r="AM30" s="57" t="str">
        <x:f>IF('制度詳細'!$H$30="",IF('制度詳細'!$J$30="","",IF(AND('制度詳細'!$J$30&gt;=AM$5,'制度詳細'!$J$30&lt;=EOMONTH(AM$5,0)),"◆","")),IF(MAX('制度詳細'!$H$30,AM$5)&lt;=MIN(IF('制度詳細'!$I$30="",EOMONTH(AM$5,0),'制度詳細'!$I$30),EOMONTH(AM$5,0)),"■",IF(AND('制度詳細'!$J$30&lt;&gt;"",'制度詳細'!$J$30&gt;=AM$5,'制度詳細'!$J$30&lt;=EOMONTH(AM$5,0)),"◆","")))</x:f>
      </x:c>
      <x:c r="AN30" s="57" t="str">
        <x:f>IF('制度詳細'!$H$30="",IF('制度詳細'!$J$30="","",IF(AND('制度詳細'!$J$30&gt;=AN$5,'制度詳細'!$J$30&lt;=EOMONTH(AN$5,0)),"◆","")),IF(MAX('制度詳細'!$H$30,AN$5)&lt;=MIN(IF('制度詳細'!$I$30="",EOMONTH(AN$5,0),'制度詳細'!$I$30),EOMONTH(AN$5,0)),"■",IF(AND('制度詳細'!$J$30&lt;&gt;"",'制度詳細'!$J$30&gt;=AN$5,'制度詳細'!$J$30&lt;=EOMONTH(AN$5,0)),"◆","")))</x:f>
      </x:c>
      <x:c r="AO30" s="57" t="str">
        <x:f>IF('制度詳細'!$H$30="",IF('制度詳細'!$J$30="","",IF(AND('制度詳細'!$J$30&gt;=AO$5,'制度詳細'!$J$30&lt;=EOMONTH(AO$5,0)),"◆","")),IF(MAX('制度詳細'!$H$30,AO$5)&lt;=MIN(IF('制度詳細'!$I$30="",EOMONTH(AO$5,0),'制度詳細'!$I$30),EOMONTH(AO$5,0)),"■",IF(AND('制度詳細'!$J$30&lt;&gt;"",'制度詳細'!$J$30&gt;=AO$5,'制度詳細'!$J$30&lt;=EOMONTH(AO$5,0)),"◆","")))</x:f>
      </x:c>
      <x:c r="AP30" s="57" t="str">
        <x:f>IF('制度詳細'!$H$30="",IF('制度詳細'!$J$30="","",IF(AND('制度詳細'!$J$30&gt;=AP$5,'制度詳細'!$J$30&lt;=EOMONTH(AP$5,0)),"◆","")),IF(MAX('制度詳細'!$H$30,AP$5)&lt;=MIN(IF('制度詳細'!$I$30="",EOMONTH(AP$5,0),'制度詳細'!$I$30),EOMONTH(AP$5,0)),"■",IF(AND('制度詳細'!$J$30&lt;&gt;"",'制度詳細'!$J$30&gt;=AP$5,'制度詳細'!$J$30&lt;=EOMONTH(AP$5,0)),"◆","")))</x:f>
      </x:c>
      <x:c r="AQ30" s="57" t="str">
        <x:f>IF('制度詳細'!$H$30="",IF('制度詳細'!$J$30="","",IF(AND('制度詳細'!$J$30&gt;=AQ$5,'制度詳細'!$J$30&lt;=EOMONTH(AQ$5,0)),"◆","")),IF(MAX('制度詳細'!$H$30,AQ$5)&lt;=MIN(IF('制度詳細'!$I$30="",EOMONTH(AQ$5,0),'制度詳細'!$I$30),EOMONTH(AQ$5,0)),"■",IF(AND('制度詳細'!$J$30&lt;&gt;"",'制度詳細'!$J$30&gt;=AQ$5,'制度詳細'!$J$30&lt;=EOMONTH(AQ$5,0)),"◆","")))</x:f>
      </x:c>
      <x:c r="AR30" s="57" t="str">
        <x:f>IF('制度詳細'!$H$30="",IF('制度詳細'!$J$30="","",IF(AND('制度詳細'!$J$30&gt;=AR$5,'制度詳細'!$J$30&lt;=EOMONTH(AR$5,0)),"◆","")),IF(MAX('制度詳細'!$H$30,AR$5)&lt;=MIN(IF('制度詳細'!$I$30="",EOMONTH(AR$5,0),'制度詳細'!$I$30),EOMONTH(AR$5,0)),"■",IF(AND('制度詳細'!$J$30&lt;&gt;"",'制度詳細'!$J$30&gt;=AR$5,'制度詳細'!$J$30&lt;=EOMONTH(AR$5,0)),"◆","")))</x:f>
      </x:c>
      <x:c r="AS30" s="57" t="str">
        <x:f>IF('制度詳細'!$H$30="",IF('制度詳細'!$J$30="","",IF(AND('制度詳細'!$J$30&gt;=AS$5,'制度詳細'!$J$30&lt;=EOMONTH(AS$5,0)),"◆","")),IF(MAX('制度詳細'!$H$30,AS$5)&lt;=MIN(IF('制度詳細'!$I$30="",EOMONTH(AS$5,0),'制度詳細'!$I$30),EOMONTH(AS$5,0)),"■",IF(AND('制度詳細'!$J$30&lt;&gt;"",'制度詳細'!$J$30&gt;=AS$5,'制度詳細'!$J$30&lt;=EOMONTH(AS$5,0)),"◆","")))</x:f>
      </x:c>
      <x:c r="AT30" s="57" t="str">
        <x:f>IF('制度詳細'!$H$30="",IF('制度詳細'!$J$30="","",IF(AND('制度詳細'!$J$30&gt;=AT$5,'制度詳細'!$J$30&lt;=EOMONTH(AT$5,0)),"◆","")),IF(MAX('制度詳細'!$H$30,AT$5)&lt;=MIN(IF('制度詳細'!$I$30="",EOMONTH(AT$5,0),'制度詳細'!$I$30),EOMONTH(AT$5,0)),"■",IF(AND('制度詳細'!$J$30&lt;&gt;"",'制度詳細'!$J$30&gt;=AT$5,'制度詳細'!$J$30&lt;=EOMONTH(AT$5,0)),"◆","")))</x:f>
      </x:c>
      <x:c r="AU30" s="57" t="str">
        <x:f>IF('制度詳細'!$H$30="",IF('制度詳細'!$J$30="","",IF(AND('制度詳細'!$J$30&gt;=AU$5,'制度詳細'!$J$30&lt;=EOMONTH(AU$5,0)),"◆","")),IF(MAX('制度詳細'!$H$30,AU$5)&lt;=MIN(IF('制度詳細'!$I$30="",EOMONTH(AU$5,0),'制度詳細'!$I$30),EOMONTH(AU$5,0)),"■",IF(AND('制度詳細'!$J$30&lt;&gt;"",'制度詳細'!$J$30&gt;=AU$5,'制度詳細'!$J$30&lt;=EOMONTH(AU$5,0)),"◆","")))</x:f>
      </x:c>
      <x:c r="AV30" s="57" t="str">
        <x:f>IF('制度詳細'!$H$30="",IF('制度詳細'!$J$30="","",IF(AND('制度詳細'!$J$30&gt;=AV$5,'制度詳細'!$J$30&lt;=EOMONTH(AV$5,0)),"◆","")),IF(MAX('制度詳細'!$H$30,AV$5)&lt;=MIN(IF('制度詳細'!$I$30="",EOMONTH(AV$5,0),'制度詳細'!$I$30),EOMONTH(AV$5,0)),"■",IF(AND('制度詳細'!$J$30&lt;&gt;"",'制度詳細'!$J$30&gt;=AV$5,'制度詳細'!$J$30&lt;=EOMONTH(AV$5,0)),"◆","")))</x:f>
      </x:c>
      <x:c r="AW30" s="57" t="str">
        <x:f>IF('制度詳細'!$H$30="",IF('制度詳細'!$J$30="","",IF(AND('制度詳細'!$J$30&gt;=AW$5,'制度詳細'!$J$30&lt;=EOMONTH(AW$5,0)),"◆","")),IF(MAX('制度詳細'!$H$30,AW$5)&lt;=MIN(IF('制度詳細'!$I$30="",EOMONTH(AW$5,0),'制度詳細'!$I$30),EOMONTH(AW$5,0)),"■",IF(AND('制度詳細'!$J$30&lt;&gt;"",'制度詳細'!$J$30&gt;=AW$5,'制度詳細'!$J$30&lt;=EOMONTH(AW$5,0)),"◆","")))</x:f>
      </x:c>
      <x:c r="AX30" s="57" t="str">
        <x:f>IF('制度詳細'!$H$30="",IF('制度詳細'!$J$30="","",IF(AND('制度詳細'!$J$30&gt;=AX$5,'制度詳細'!$J$30&lt;=EOMONTH(AX$5,0)),"◆","")),IF(MAX('制度詳細'!$H$30,AX$5)&lt;=MIN(IF('制度詳細'!$I$30="",EOMONTH(AX$5,0),'制度詳細'!$I$30),EOMONTH(AX$5,0)),"■",IF(AND('制度詳細'!$J$30&lt;&gt;"",'制度詳細'!$J$30&gt;=AX$5,'制度詳細'!$J$30&lt;=EOMONTH(AX$5,0)),"◆","")))</x:f>
      </x:c>
      <x:c r="AY30" s="57" t="str">
        <x:f>IF('制度詳細'!$H$30="",IF('制度詳細'!$J$30="","",IF(AND('制度詳細'!$J$30&gt;=AY$5,'制度詳細'!$J$30&lt;=EOMONTH(AY$5,0)),"◆","")),IF(MAX('制度詳細'!$H$30,AY$5)&lt;=MIN(IF('制度詳細'!$I$30="",EOMONTH(AY$5,0),'制度詳細'!$I$30),EOMONTH(AY$5,0)),"■",IF(AND('制度詳細'!$J$30&lt;&gt;"",'制度詳細'!$J$30&gt;=AY$5,'制度詳細'!$J$30&lt;=EOMONTH(AY$5,0)),"◆","")))</x:f>
      </x:c>
      <x:c r="AZ30" s="57" t="str">
        <x:f>IF('制度詳細'!$H$30="",IF('制度詳細'!$J$30="","",IF(AND('制度詳細'!$J$30&gt;=AZ$5,'制度詳細'!$J$30&lt;=EOMONTH(AZ$5,0)),"◆","")),IF(MAX('制度詳細'!$H$30,AZ$5)&lt;=MIN(IF('制度詳細'!$I$30="",EOMONTH(AZ$5,0),'制度詳細'!$I$30),EOMONTH(AZ$5,0)),"■",IF(AND('制度詳細'!$J$30&lt;&gt;"",'制度詳細'!$J$30&gt;=AZ$5,'制度詳細'!$J$30&lt;=EOMONTH(AZ$5,0)),"◆","")))</x:f>
      </x:c>
      <x:c r="BA30" s="57" t="str">
        <x:f>IF('制度詳細'!$H$30="",IF('制度詳細'!$J$30="","",IF(AND('制度詳細'!$J$30&gt;=BA$5,'制度詳細'!$J$30&lt;=EOMONTH(BA$5,0)),"◆","")),IF(MAX('制度詳細'!$H$30,BA$5)&lt;=MIN(IF('制度詳細'!$I$30="",EOMONTH(BA$5,0),'制度詳細'!$I$30),EOMONTH(BA$5,0)),"■",IF(AND('制度詳細'!$J$30&lt;&gt;"",'制度詳細'!$J$30&gt;=BA$5,'制度詳細'!$J$30&lt;=EOMONTH(BA$5,0)),"◆","")))</x:f>
      </x:c>
      <x:c r="BB30" s="57" t="str">
        <x:f>IF('制度詳細'!$H$30="",IF('制度詳細'!$J$30="","",IF(AND('制度詳細'!$J$30&gt;=BB$5,'制度詳細'!$J$30&lt;=EOMONTH(BB$5,0)),"◆","")),IF(MAX('制度詳細'!$H$30,BB$5)&lt;=MIN(IF('制度詳細'!$I$30="",EOMONTH(BB$5,0),'制度詳細'!$I$30),EOMONTH(BB$5,0)),"■",IF(AND('制度詳細'!$J$30&lt;&gt;"",'制度詳細'!$J$30&gt;=BB$5,'制度詳細'!$J$30&lt;=EOMONTH(BB$5,0)),"◆","")))</x:f>
      </x:c>
      <x:c r="BC30" s="57" t="str">
        <x:f>IF('制度詳細'!$H$30="",IF('制度詳細'!$J$30="","",IF(AND('制度詳細'!$J$30&gt;=BC$5,'制度詳細'!$J$30&lt;=EOMONTH(BC$5,0)),"◆","")),IF(MAX('制度詳細'!$H$30,BC$5)&lt;=MIN(IF('制度詳細'!$I$30="",EOMONTH(BC$5,0),'制度詳細'!$I$30),EOMONTH(BC$5,0)),"■",IF(AND('制度詳細'!$J$30&lt;&gt;"",'制度詳細'!$J$30&gt;=BC$5,'制度詳細'!$J$30&lt;=EOMONTH(BC$5,0)),"◆","")))</x:f>
      </x:c>
      <x:c r="BD30" s="57" t="str">
        <x:f>IF('制度詳細'!$H$30="",IF('制度詳細'!$J$30="","",IF(AND('制度詳細'!$J$30&gt;=BD$5,'制度詳細'!$J$30&lt;=EOMONTH(BD$5,0)),"◆","")),IF(MAX('制度詳細'!$H$30,BD$5)&lt;=MIN(IF('制度詳細'!$I$30="",EOMONTH(BD$5,0),'制度詳細'!$I$30),EOMONTH(BD$5,0)),"■",IF(AND('制度詳細'!$J$30&lt;&gt;"",'制度詳細'!$J$30&gt;=BD$5,'制度詳細'!$J$30&lt;=EOMONTH(BD$5,0)),"◆","")))</x:f>
      </x:c>
      <x:c r="BE30" s="57" t="str">
        <x:f>IF('制度詳細'!$H$30="",IF('制度詳細'!$J$30="","",IF(AND('制度詳細'!$J$30&gt;=BE$5,'制度詳細'!$J$30&lt;=EOMONTH(BE$5,0)),"◆","")),IF(MAX('制度詳細'!$H$30,BE$5)&lt;=MIN(IF('制度詳細'!$I$30="",EOMONTH(BE$5,0),'制度詳細'!$I$30),EOMONTH(BE$5,0)),"■",IF(AND('制度詳細'!$J$30&lt;&gt;"",'制度詳細'!$J$30&gt;=BE$5,'制度詳細'!$J$30&lt;=EOMONTH(BE$5,0)),"◆","")))</x:f>
      </x:c>
      <x:c r="BF30" s="57" t="str">
        <x:f>IF('制度詳細'!$H$30="",IF('制度詳細'!$J$30="","",IF(AND('制度詳細'!$J$30&gt;=BF$5,'制度詳細'!$J$30&lt;=EOMONTH(BF$5,0)),"◆","")),IF(MAX('制度詳細'!$H$30,BF$5)&lt;=MIN(IF('制度詳細'!$I$30="",EOMONTH(BF$5,0),'制度詳細'!$I$30),EOMONTH(BF$5,0)),"■",IF(AND('制度詳細'!$J$30&lt;&gt;"",'制度詳細'!$J$30&gt;=BF$5,'制度詳細'!$J$30&lt;=EOMONTH(BF$5,0)),"◆","")))</x:f>
      </x:c>
      <x:c r="BG30" s="57" t="str">
        <x:f>IF('制度詳細'!$H$30="",IF('制度詳細'!$J$30="","",IF(AND('制度詳細'!$J$30&gt;=BG$5,'制度詳細'!$J$30&lt;=EOMONTH(BG$5,0)),"◆","")),IF(MAX('制度詳細'!$H$30,BG$5)&lt;=MIN(IF('制度詳細'!$I$30="",EOMONTH(BG$5,0),'制度詳細'!$I$30),EOMONTH(BG$5,0)),"■",IF(AND('制度詳細'!$J$30&lt;&gt;"",'制度詳細'!$J$30&gt;=BG$5,'制度詳細'!$J$30&lt;=EOMONTH(BG$5,0)),"◆","")))</x:f>
      </x:c>
      <x:c r="BH30" s="57" t="str">
        <x:f>IF('制度詳細'!$H$30="",IF('制度詳細'!$J$30="","",IF(AND('制度詳細'!$J$30&gt;=BH$5,'制度詳細'!$J$30&lt;=EOMONTH(BH$5,0)),"◆","")),IF(MAX('制度詳細'!$H$30,BH$5)&lt;=MIN(IF('制度詳細'!$I$30="",EOMONTH(BH$5,0),'制度詳細'!$I$30),EOMONTH(BH$5,0)),"■",IF(AND('制度詳細'!$J$30&lt;&gt;"",'制度詳細'!$J$30&gt;=BH$5,'制度詳細'!$J$30&lt;=EOMONTH(BH$5,0)),"◆","")))</x:f>
      </x:c>
      <x:c r="BI30" s="57" t="str">
        <x:f>IF('制度詳細'!$H$30="",IF('制度詳細'!$J$30="","",IF(AND('制度詳細'!$J$30&gt;=BI$5,'制度詳細'!$J$30&lt;=EOMONTH(BI$5,0)),"◆","")),IF(MAX('制度詳細'!$H$30,BI$5)&lt;=MIN(IF('制度詳細'!$I$30="",EOMONTH(BI$5,0),'制度詳細'!$I$30),EOMONTH(BI$5,0)),"■",IF(AND('制度詳細'!$J$30&lt;&gt;"",'制度詳細'!$J$30&gt;=BI$5,'制度詳細'!$J$30&lt;=EOMONTH(BI$5,0)),"◆","")))</x:f>
      </x:c>
      <x:c r="BJ30" s="57" t="str">
        <x:f>IF('制度詳細'!$H$30="",IF('制度詳細'!$J$30="","",IF(AND('制度詳細'!$J$30&gt;=BJ$5,'制度詳細'!$J$30&lt;=EOMONTH(BJ$5,0)),"◆","")),IF(MAX('制度詳細'!$H$30,BJ$5)&lt;=MIN(IF('制度詳細'!$I$30="",EOMONTH(BJ$5,0),'制度詳細'!$I$30),EOMONTH(BJ$5,0)),"■",IF(AND('制度詳細'!$J$30&lt;&gt;"",'制度詳細'!$J$30&gt;=BJ$5,'制度詳細'!$J$30&lt;=EOMONTH(BJ$5,0)),"◆","")))</x:f>
      </x:c>
      <x:c r="BK30" s="57" t="str">
        <x:f>IF('制度詳細'!$H$30="",IF('制度詳細'!$J$30="","",IF(AND('制度詳細'!$J$30&gt;=BK$5,'制度詳細'!$J$30&lt;=EOMONTH(BK$5,0)),"◆","")),IF(MAX('制度詳細'!$H$30,BK$5)&lt;=MIN(IF('制度詳細'!$I$30="",EOMONTH(BK$5,0),'制度詳細'!$I$30),EOMONTH(BK$5,0)),"■",IF(AND('制度詳細'!$J$30&lt;&gt;"",'制度詳細'!$J$30&gt;=BK$5,'制度詳細'!$J$30&lt;=EOMONTH(BK$5,0)),"◆","")))</x:f>
      </x:c>
      <x:c r="BL30" s="57" t="str">
        <x:f>IF('制度詳細'!$H$30="",IF('制度詳細'!$J$30="","",IF(AND('制度詳細'!$J$30&gt;=BL$5,'制度詳細'!$J$30&lt;=EOMONTH(BL$5,0)),"◆","")),IF(MAX('制度詳細'!$H$30,BL$5)&lt;=MIN(IF('制度詳細'!$I$30="",EOMONTH(BL$5,0),'制度詳細'!$I$30),EOMONTH(BL$5,0)),"■",IF(AND('制度詳細'!$J$30&lt;&gt;"",'制度詳細'!$J$30&gt;=BL$5,'制度詳細'!$J$30&lt;=EOMONTH(BL$5,0)),"◆","")))</x:f>
      </x:c>
      <x:c r="BM30" s="57" t="str">
        <x:f>IF('制度詳細'!$H$30="",IF('制度詳細'!$J$30="","",IF(AND('制度詳細'!$J$30&gt;=BM$5,'制度詳細'!$J$30&lt;=EOMONTH(BM$5,0)),"◆","")),IF(MAX('制度詳細'!$H$30,BM$5)&lt;=MIN(IF('制度詳細'!$I$30="",EOMONTH(BM$5,0),'制度詳細'!$I$30),EOMONTH(BM$5,0)),"■",IF(AND('制度詳細'!$J$30&lt;&gt;"",'制度詳細'!$J$30&gt;=BM$5,'制度詳細'!$J$30&lt;=EOMONTH(BM$5,0)),"◆","")))</x:f>
      </x:c>
      <x:c r="BN30" s="57" t="str">
        <x:f>IF('制度詳細'!$H$30="",IF('制度詳細'!$J$30="","",IF(AND('制度詳細'!$J$30&gt;=BN$5,'制度詳細'!$J$30&lt;=EOMONTH(BN$5,0)),"◆","")),IF(MAX('制度詳細'!$H$30,BN$5)&lt;=MIN(IF('制度詳細'!$I$30="",EOMONTH(BN$5,0),'制度詳細'!$I$30),EOMONTH(BN$5,0)),"■",IF(AND('制度詳細'!$J$30&lt;&gt;"",'制度詳細'!$J$30&gt;=BN$5,'制度詳細'!$J$30&lt;=EOMONTH(BN$5,0)),"◆","")))</x:f>
      </x:c>
      <x:c r="BO30" s="57" t="str">
        <x:f>IF('制度詳細'!$H$30="",IF('制度詳細'!$J$30="","",IF(AND('制度詳細'!$J$30&gt;=BO$5,'制度詳細'!$J$30&lt;=EOMONTH(BO$5,0)),"◆","")),IF(MAX('制度詳細'!$H$30,BO$5)&lt;=MIN(IF('制度詳細'!$I$30="",EOMONTH(BO$5,0),'制度詳細'!$I$30),EOMONTH(BO$5,0)),"■",IF(AND('制度詳細'!$J$30&lt;&gt;"",'制度詳細'!$J$30&gt;=BO$5,'制度詳細'!$J$30&lt;=EOMONTH(BO$5,0)),"◆","")))</x:f>
        <x:v>■</x:v>
      </x:c>
      <x:c r="BP30" s="57" t="str">
        <x:f>IF('制度詳細'!$H$30="",IF('制度詳細'!$J$30="","",IF(AND('制度詳細'!$J$30&gt;=BP$5,'制度詳細'!$J$30&lt;=EOMONTH(BP$5,0)),"◆","")),IF(MAX('制度詳細'!$H$30,BP$5)&lt;=MIN(IF('制度詳細'!$I$30="",EOMONTH(BP$5,0),'制度詳細'!$I$30),EOMONTH(BP$5,0)),"■",IF(AND('制度詳細'!$J$30&lt;&gt;"",'制度詳細'!$J$30&gt;=BP$5,'制度詳細'!$J$30&lt;=EOMONTH(BP$5,0)),"◆","")))</x:f>
        <x:v>■</x:v>
      </x:c>
      <x:c r="BQ30" s="57" t="str">
        <x:f>IF('制度詳細'!$H$30="",IF('制度詳細'!$J$30="","",IF(AND('制度詳細'!$J$30&gt;=BQ$5,'制度詳細'!$J$30&lt;=EOMONTH(BQ$5,0)),"◆","")),IF(MAX('制度詳細'!$H$30,BQ$5)&lt;=MIN(IF('制度詳細'!$I$30="",EOMONTH(BQ$5,0),'制度詳細'!$I$30),EOMONTH(BQ$5,0)),"■",IF(AND('制度詳細'!$J$30&lt;&gt;"",'制度詳細'!$J$30&gt;=BQ$5,'制度詳細'!$J$30&lt;=EOMONTH(BQ$5,0)),"◆","")))</x:f>
        <x:v>■</x:v>
      </x:c>
      <x:c r="BR30" s="57" t="str">
        <x:f>IF('制度詳細'!$H$30="",IF('制度詳細'!$J$30="","",IF(AND('制度詳細'!$J$30&gt;=BR$5,'制度詳細'!$J$30&lt;=EOMONTH(BR$5,0)),"◆","")),IF(MAX('制度詳細'!$H$30,BR$5)&lt;=MIN(IF('制度詳細'!$I$30="",EOMONTH(BR$5,0),'制度詳細'!$I$30),EOMONTH(BR$5,0)),"■",IF(AND('制度詳細'!$J$30&lt;&gt;"",'制度詳細'!$J$30&gt;=BR$5,'制度詳細'!$J$30&lt;=EOMONTH(BR$5,0)),"◆","")))</x:f>
        <x:v>■</x:v>
      </x:c>
      <x:c r="BS30" s="57" t="str">
        <x:f>IF('制度詳細'!$H$30="",IF('制度詳細'!$J$30="","",IF(AND('制度詳細'!$J$30&gt;=BS$5,'制度詳細'!$J$30&lt;=EOMONTH(BS$5,0)),"◆","")),IF(MAX('制度詳細'!$H$30,BS$5)&lt;=MIN(IF('制度詳細'!$I$30="",EOMONTH(BS$5,0),'制度詳細'!$I$30),EOMONTH(BS$5,0)),"■",IF(AND('制度詳細'!$J$30&lt;&gt;"",'制度詳細'!$J$30&gt;=BS$5,'制度詳細'!$J$30&lt;=EOMONTH(BS$5,0)),"◆","")))</x:f>
        <x:v>■</x:v>
      </x:c>
      <x:c r="BT30" s="57" t="str">
        <x:f>IF('制度詳細'!$H$30="",IF('制度詳細'!$J$30="","",IF(AND('制度詳細'!$J$30&gt;=BT$5,'制度詳細'!$J$30&lt;=EOMONTH(BT$5,0)),"◆","")),IF(MAX('制度詳細'!$H$30,BT$5)&lt;=MIN(IF('制度詳細'!$I$30="",EOMONTH(BT$5,0),'制度詳細'!$I$30),EOMONTH(BT$5,0)),"■",IF(AND('制度詳細'!$J$30&lt;&gt;"",'制度詳細'!$J$30&gt;=BT$5,'制度詳細'!$J$30&lt;=EOMONTH(BT$5,0)),"◆","")))</x:f>
        <x:v>■</x:v>
      </x:c>
      <x:c r="BU30" s="57" t="str">
        <x:f>IF('制度詳細'!$H$30="",IF('制度詳細'!$J$30="","",IF(AND('制度詳細'!$J$30&gt;=BU$5,'制度詳細'!$J$30&lt;=EOMONTH(BU$5,0)),"◆","")),IF(MAX('制度詳細'!$H$30,BU$5)&lt;=MIN(IF('制度詳細'!$I$30="",EOMONTH(BU$5,0),'制度詳細'!$I$30),EOMONTH(BU$5,0)),"■",IF(AND('制度詳細'!$J$30&lt;&gt;"",'制度詳細'!$J$30&gt;=BU$5,'制度詳細'!$J$30&lt;=EOMONTH(BU$5,0)),"◆","")))</x:f>
        <x:v>■</x:v>
      </x:c>
      <x:c r="BV30" s="57" t="str">
        <x:f>IF('制度詳細'!$H$30="",IF('制度詳細'!$J$30="","",IF(AND('制度詳細'!$J$30&gt;=BV$5,'制度詳細'!$J$30&lt;=EOMONTH(BV$5,0)),"◆","")),IF(MAX('制度詳細'!$H$30,BV$5)&lt;=MIN(IF('制度詳細'!$I$30="",EOMONTH(BV$5,0),'制度詳細'!$I$30),EOMONTH(BV$5,0)),"■",IF(AND('制度詳細'!$J$30&lt;&gt;"",'制度詳細'!$J$30&gt;=BV$5,'制度詳細'!$J$30&lt;=EOMONTH(BV$5,0)),"◆","")))</x:f>
        <x:v>■</x:v>
      </x:c>
      <x:c r="BW30" s="57" t="str">
        <x:f>IF('制度詳細'!$H$30="",IF('制度詳細'!$J$30="","",IF(AND('制度詳細'!$J$30&gt;=BW$5,'制度詳細'!$J$30&lt;=EOMONTH(BW$5,0)),"◆","")),IF(MAX('制度詳細'!$H$30,BW$5)&lt;=MIN(IF('制度詳細'!$I$30="",EOMONTH(BW$5,0),'制度詳細'!$I$30),EOMONTH(BW$5,0)),"■",IF(AND('制度詳細'!$J$30&lt;&gt;"",'制度詳細'!$J$30&gt;=BW$5,'制度詳細'!$J$30&lt;=EOMONTH(BW$5,0)),"◆","")))</x:f>
        <x:v>■</x:v>
      </x:c>
      <x:c r="BX30" s="57" t="str">
        <x:f>IF('制度詳細'!$H$30="",IF('制度詳細'!$J$30="","",IF(AND('制度詳細'!$J$30&gt;=BX$5,'制度詳細'!$J$30&lt;=EOMONTH(BX$5,0)),"◆","")),IF(MAX('制度詳細'!$H$30,BX$5)&lt;=MIN(IF('制度詳細'!$I$30="",EOMONTH(BX$5,0),'制度詳細'!$I$30),EOMONTH(BX$5,0)),"■",IF(AND('制度詳細'!$J$30&lt;&gt;"",'制度詳細'!$J$30&gt;=BX$5,'制度詳細'!$J$30&lt;=EOMONTH(BX$5,0)),"◆","")))</x:f>
        <x:v>■</x:v>
      </x:c>
      <x:c r="BY30" s="57" t="str">
        <x:f>IF('制度詳細'!$H$30="",IF('制度詳細'!$J$30="","",IF(AND('制度詳細'!$J$30&gt;=BY$5,'制度詳細'!$J$30&lt;=EOMONTH(BY$5,0)),"◆","")),IF(MAX('制度詳細'!$H$30,BY$5)&lt;=MIN(IF('制度詳細'!$I$30="",EOMONTH(BY$5,0),'制度詳細'!$I$30),EOMONTH(BY$5,0)),"■",IF(AND('制度詳細'!$J$30&lt;&gt;"",'制度詳細'!$J$30&gt;=BY$5,'制度詳細'!$J$30&lt;=EOMONTH(BY$5,0)),"◆","")))</x:f>
        <x:v>■</x:v>
      </x:c>
      <x:c r="BZ30" s="57" t="str">
        <x:f>IF('制度詳細'!$H$30="",IF('制度詳細'!$J$30="","",IF(AND('制度詳細'!$J$30&gt;=BZ$5,'制度詳細'!$J$30&lt;=EOMONTH(BZ$5,0)),"◆","")),IF(MAX('制度詳細'!$H$30,BZ$5)&lt;=MIN(IF('制度詳細'!$I$30="",EOMONTH(BZ$5,0),'制度詳細'!$I$30),EOMONTH(BZ$5,0)),"■",IF(AND('制度詳細'!$J$30&lt;&gt;"",'制度詳細'!$J$30&gt;=BZ$5,'制度詳細'!$J$30&lt;=EOMONTH(BZ$5,0)),"◆","")))</x:f>
        <x:v>■</x:v>
      </x:c>
      <x:c r="CA30" s="57" t="str">
        <x:f>IF('制度詳細'!$H$30="",IF('制度詳細'!$J$30="","",IF(AND('制度詳細'!$J$30&gt;=CA$5,'制度詳細'!$J$30&lt;=EOMONTH(CA$5,0)),"◆","")),IF(MAX('制度詳細'!$H$30,CA$5)&lt;=MIN(IF('制度詳細'!$I$30="",EOMONTH(CA$5,0),'制度詳細'!$I$30),EOMONTH(CA$5,0)),"■",IF(AND('制度詳細'!$J$30&lt;&gt;"",'制度詳細'!$J$30&gt;=CA$5,'制度詳細'!$J$30&lt;=EOMONTH(CA$5,0)),"◆","")))</x:f>
        <x:v>■</x:v>
      </x:c>
      <x:c r="CB30" s="57" t="str">
        <x:f>IF('制度詳細'!$H$30="",IF('制度詳細'!$J$30="","",IF(AND('制度詳細'!$J$30&gt;=CB$5,'制度詳細'!$J$30&lt;=EOMONTH(CB$5,0)),"◆","")),IF(MAX('制度詳細'!$H$30,CB$5)&lt;=MIN(IF('制度詳細'!$I$30="",EOMONTH(CB$5,0),'制度詳細'!$I$30),EOMONTH(CB$5,0)),"■",IF(AND('制度詳細'!$J$30&lt;&gt;"",'制度詳細'!$J$30&gt;=CB$5,'制度詳細'!$J$30&lt;=EOMONTH(CB$5,0)),"◆","")))</x:f>
        <x:v>■</x:v>
      </x:c>
      <x:c r="CC30" s="57" t="str">
        <x:f>IF('制度詳細'!$H$30="",IF('制度詳細'!$J$30="","",IF(AND('制度詳細'!$J$30&gt;=CC$5,'制度詳細'!$J$30&lt;=EOMONTH(CC$5,0)),"◆","")),IF(MAX('制度詳細'!$H$30,CC$5)&lt;=MIN(IF('制度詳細'!$I$30="",EOMONTH(CC$5,0),'制度詳細'!$I$30),EOMONTH(CC$5,0)),"■",IF(AND('制度詳細'!$J$30&lt;&gt;"",'制度詳細'!$J$30&gt;=CC$5,'制度詳細'!$J$30&lt;=EOMONTH(CC$5,0)),"◆","")))</x:f>
        <x:v>■</x:v>
      </x:c>
      <x:c r="CD30" s="57" t="str">
        <x:f>IF('制度詳細'!$H$30="",IF('制度詳細'!$J$30="","",IF(AND('制度詳細'!$J$30&gt;=CD$5,'制度詳細'!$J$30&lt;=EOMONTH(CD$5,0)),"◆","")),IF(MAX('制度詳細'!$H$30,CD$5)&lt;=MIN(IF('制度詳細'!$I$30="",EOMONTH(CD$5,0),'制度詳細'!$I$30),EOMONTH(CD$5,0)),"■",IF(AND('制度詳細'!$J$30&lt;&gt;"",'制度詳細'!$J$30&gt;=CD$5,'制度詳細'!$J$30&lt;=EOMONTH(CD$5,0)),"◆","")))</x:f>
        <x:v>■</x:v>
      </x:c>
      <x:c r="CE30" s="57" t="str">
        <x:f>IF('制度詳細'!$H$30="",IF('制度詳細'!$J$30="","",IF(AND('制度詳細'!$J$30&gt;=CE$5,'制度詳細'!$J$30&lt;=EOMONTH(CE$5,0)),"◆","")),IF(MAX('制度詳細'!$H$30,CE$5)&lt;=MIN(IF('制度詳細'!$I$30="",EOMONTH(CE$5,0),'制度詳細'!$I$30),EOMONTH(CE$5,0)),"■",IF(AND('制度詳細'!$J$30&lt;&gt;"",'制度詳細'!$J$30&gt;=CE$5,'制度詳細'!$J$30&lt;=EOMONTH(CE$5,0)),"◆","")))</x:f>
        <x:v>■</x:v>
      </x:c>
      <x:c r="CF30" s="57" t="str">
        <x:f>IF('制度詳細'!$H$30="",IF('制度詳細'!$J$30="","",IF(AND('制度詳細'!$J$30&gt;=CF$5,'制度詳細'!$J$30&lt;=EOMONTH(CF$5,0)),"◆","")),IF(MAX('制度詳細'!$H$30,CF$5)&lt;=MIN(IF('制度詳細'!$I$30="",EOMONTH(CF$5,0),'制度詳細'!$I$30),EOMONTH(CF$5,0)),"■",IF(AND('制度詳細'!$J$30&lt;&gt;"",'制度詳細'!$J$30&gt;=CF$5,'制度詳細'!$J$30&lt;=EOMONTH(CF$5,0)),"◆","")))</x:f>
        <x:v>■</x:v>
      </x:c>
      <x:c r="CG30" s="57" t="str">
        <x:f>IF('制度詳細'!$H$30="",IF('制度詳細'!$J$30="","",IF(AND('制度詳細'!$J$30&gt;=CG$5,'制度詳細'!$J$30&lt;=EOMONTH(CG$5,0)),"◆","")),IF(MAX('制度詳細'!$H$30,CG$5)&lt;=MIN(IF('制度詳細'!$I$30="",EOMONTH(CG$5,0),'制度詳細'!$I$30),EOMONTH(CG$5,0)),"■",IF(AND('制度詳細'!$J$30&lt;&gt;"",'制度詳細'!$J$30&gt;=CG$5,'制度詳細'!$J$30&lt;=EOMONTH(CG$5,0)),"◆","")))</x:f>
        <x:v>■</x:v>
      </x:c>
      <x:c r="CH30" s="57" t="str">
        <x:f>IF('制度詳細'!$H$30="",IF('制度詳細'!$J$30="","",IF(AND('制度詳細'!$J$30&gt;=CH$5,'制度詳細'!$J$30&lt;=EOMONTH(CH$5,0)),"◆","")),IF(MAX('制度詳細'!$H$30,CH$5)&lt;=MIN(IF('制度詳細'!$I$30="",EOMONTH(CH$5,0),'制度詳細'!$I$30),EOMONTH(CH$5,0)),"■",IF(AND('制度詳細'!$J$30&lt;&gt;"",'制度詳細'!$J$30&gt;=CH$5,'制度詳細'!$J$30&lt;=EOMONTH(CH$5,0)),"◆","")))</x:f>
        <x:v>■</x:v>
      </x:c>
      <x:c r="CI30" s="57" t="str">
        <x:f>IF('制度詳細'!$H$30="",IF('制度詳細'!$J$30="","",IF(AND('制度詳細'!$J$30&gt;=CI$5,'制度詳細'!$J$30&lt;=EOMONTH(CI$5,0)),"◆","")),IF(MAX('制度詳細'!$H$30,CI$5)&lt;=MIN(IF('制度詳細'!$I$30="",EOMONTH(CI$5,0),'制度詳細'!$I$30),EOMONTH(CI$5,0)),"■",IF(AND('制度詳細'!$J$30&lt;&gt;"",'制度詳細'!$J$30&gt;=CI$5,'制度詳細'!$J$30&lt;=EOMONTH(CI$5,0)),"◆","")))</x:f>
        <x:v>■</x:v>
      </x:c>
      <x:c r="CJ30" s="57" t="str">
        <x:f>IF('制度詳細'!$H$30="",IF('制度詳細'!$J$30="","",IF(AND('制度詳細'!$J$30&gt;=CJ$5,'制度詳細'!$J$30&lt;=EOMONTH(CJ$5,0)),"◆","")),IF(MAX('制度詳細'!$H$30,CJ$5)&lt;=MIN(IF('制度詳細'!$I$30="",EOMONTH(CJ$5,0),'制度詳細'!$I$30),EOMONTH(CJ$5,0)),"■",IF(AND('制度詳細'!$J$30&lt;&gt;"",'制度詳細'!$J$30&gt;=CJ$5,'制度詳細'!$J$30&lt;=EOMONTH(CJ$5,0)),"◆","")))</x:f>
        <x:v>■</x:v>
      </x:c>
      <x:c r="CK30" s="57" t="str">
        <x:f>IF('制度詳細'!$H$30="",IF('制度詳細'!$J$30="","",IF(AND('制度詳細'!$J$30&gt;=CK$5,'制度詳細'!$J$30&lt;=EOMONTH(CK$5,0)),"◆","")),IF(MAX('制度詳細'!$H$30,CK$5)&lt;=MIN(IF('制度詳細'!$I$30="",EOMONTH(CK$5,0),'制度詳細'!$I$30),EOMONTH(CK$5,0)),"■",IF(AND('制度詳細'!$J$30&lt;&gt;"",'制度詳細'!$J$30&gt;=CK$5,'制度詳細'!$J$30&lt;=EOMONTH(CK$5,0)),"◆","")))</x:f>
        <x:v>■</x:v>
      </x:c>
      <x:c r="CL30" s="57" t="str">
        <x:f>IF('制度詳細'!$H$30="",IF('制度詳細'!$J$30="","",IF(AND('制度詳細'!$J$30&gt;=CL$5,'制度詳細'!$J$30&lt;=EOMONTH(CL$5,0)),"◆","")),IF(MAX('制度詳細'!$H$30,CL$5)&lt;=MIN(IF('制度詳細'!$I$30="",EOMONTH(CL$5,0),'制度詳細'!$I$30),EOMONTH(CL$5,0)),"■",IF(AND('制度詳細'!$J$30&lt;&gt;"",'制度詳細'!$J$30&gt;=CL$5,'制度詳細'!$J$30&lt;=EOMONTH(CL$5,0)),"◆","")))</x:f>
        <x:v>■</x:v>
      </x:c>
      <x:c r="CM30" s="57" t="str">
        <x:f>IF('制度詳細'!$H$30="",IF('制度詳細'!$J$30="","",IF(AND('制度詳細'!$J$30&gt;=CM$5,'制度詳細'!$J$30&lt;=EOMONTH(CM$5,0)),"◆","")),IF(MAX('制度詳細'!$H$30,CM$5)&lt;=MIN(IF('制度詳細'!$I$30="",EOMONTH(CM$5,0),'制度詳細'!$I$30),EOMONTH(CM$5,0)),"■",IF(AND('制度詳細'!$J$30&lt;&gt;"",'制度詳細'!$J$30&gt;=CM$5,'制度詳細'!$J$30&lt;=EOMONTH(CM$5,0)),"◆","")))</x:f>
      </x:c>
      <x:c r="CN30" s="57" t="str">
        <x:f>IF('制度詳細'!$H$30="",IF('制度詳細'!$J$30="","",IF(AND('制度詳細'!$J$30&gt;=CN$5,'制度詳細'!$J$30&lt;=EOMONTH(CN$5,0)),"◆","")),IF(MAX('制度詳細'!$H$30,CN$5)&lt;=MIN(IF('制度詳細'!$I$30="",EOMONTH(CN$5,0),'制度詳細'!$I$30),EOMONTH(CN$5,0)),"■",IF(AND('制度詳細'!$J$30&lt;&gt;"",'制度詳細'!$J$30&gt;=CN$5,'制度詳細'!$J$30&lt;=EOMONTH(CN$5,0)),"◆","")))</x:f>
      </x:c>
      <x:c r="CO30" s="57" t="str">
        <x:f>IF('制度詳細'!$H$30="",IF('制度詳細'!$J$30="","",IF(AND('制度詳細'!$J$30&gt;=CO$5,'制度詳細'!$J$30&lt;=EOMONTH(CO$5,0)),"◆","")),IF(MAX('制度詳細'!$H$30,CO$5)&lt;=MIN(IF('制度詳細'!$I$30="",EOMONTH(CO$5,0),'制度詳細'!$I$30),EOMONTH(CO$5,0)),"■",IF(AND('制度詳細'!$J$30&lt;&gt;"",'制度詳細'!$J$30&gt;=CO$5,'制度詳細'!$J$30&lt;=EOMONTH(CO$5,0)),"◆","")))</x:f>
      </x:c>
      <x:c r="CP30" s="57" t="str">
        <x:f>IF('制度詳細'!$H$30="",IF('制度詳細'!$J$30="","",IF(AND('制度詳細'!$J$30&gt;=CP$5,'制度詳細'!$J$30&lt;=EOMONTH(CP$5,0)),"◆","")),IF(MAX('制度詳細'!$H$30,CP$5)&lt;=MIN(IF('制度詳細'!$I$30="",EOMONTH(CP$5,0),'制度詳細'!$I$30),EOMONTH(CP$5,0)),"■",IF(AND('制度詳細'!$J$30&lt;&gt;"",'制度詳細'!$J$30&gt;=CP$5,'制度詳細'!$J$30&lt;=EOMONTH(CP$5,0)),"◆","")))</x:f>
      </x:c>
      <x:c r="CQ30" s="57" t="str">
        <x:f>IF('制度詳細'!$H$30="",IF('制度詳細'!$J$30="","",IF(AND('制度詳細'!$J$30&gt;=CQ$5,'制度詳細'!$J$30&lt;=EOMONTH(CQ$5,0)),"◆","")),IF(MAX('制度詳細'!$H$30,CQ$5)&lt;=MIN(IF('制度詳細'!$I$30="",EOMONTH(CQ$5,0),'制度詳細'!$I$30),EOMONTH(CQ$5,0)),"■",IF(AND('制度詳細'!$J$30&lt;&gt;"",'制度詳細'!$J$30&gt;=CQ$5,'制度詳細'!$J$30&lt;=EOMONTH(CQ$5,0)),"◆","")))</x:f>
      </x:c>
      <x:c r="CR30" s="57" t="str">
        <x:f>IF('制度詳細'!$H$30="",IF('制度詳細'!$J$30="","",IF(AND('制度詳細'!$J$30&gt;=CR$5,'制度詳細'!$J$30&lt;=EOMONTH(CR$5,0)),"◆","")),IF(MAX('制度詳細'!$H$30,CR$5)&lt;=MIN(IF('制度詳細'!$I$30="",EOMONTH(CR$5,0),'制度詳細'!$I$30),EOMONTH(CR$5,0)),"■",IF(AND('制度詳細'!$J$30&lt;&gt;"",'制度詳細'!$J$30&gt;=CR$5,'制度詳細'!$J$30&lt;=EOMONTH(CR$5,0)),"◆","")))</x:f>
      </x:c>
      <x:c r="CS30" s="57" t="str">
        <x:f>IF('制度詳細'!$H$30="",IF('制度詳細'!$J$30="","",IF(AND('制度詳細'!$J$30&gt;=CS$5,'制度詳細'!$J$30&lt;=EOMONTH(CS$5,0)),"◆","")),IF(MAX('制度詳細'!$H$30,CS$5)&lt;=MIN(IF('制度詳細'!$I$30="",EOMONTH(CS$5,0),'制度詳細'!$I$30),EOMONTH(CS$5,0)),"■",IF(AND('制度詳細'!$J$30&lt;&gt;"",'制度詳細'!$J$30&gt;=CS$5,'制度詳細'!$J$30&lt;=EOMONTH(CS$5,0)),"◆","")))</x:f>
      </x:c>
      <x:c r="CT30" s="57" t="str">
        <x:f>IF('制度詳細'!$H$30="",IF('制度詳細'!$J$30="","",IF(AND('制度詳細'!$J$30&gt;=CT$5,'制度詳細'!$J$30&lt;=EOMONTH(CT$5,0)),"◆","")),IF(MAX('制度詳細'!$H$30,CT$5)&lt;=MIN(IF('制度詳細'!$I$30="",EOMONTH(CT$5,0),'制度詳細'!$I$30),EOMONTH(CT$5,0)),"■",IF(AND('制度詳細'!$J$30&lt;&gt;"",'制度詳細'!$J$30&gt;=CT$5,'制度詳細'!$J$30&lt;=EOMONTH(CT$5,0)),"◆","")))</x:f>
      </x:c>
      <x:c r="CU30" s="57" t="str">
        <x:f>IF('制度詳細'!$H$30="",IF('制度詳細'!$J$30="","",IF(AND('制度詳細'!$J$30&gt;=CU$5,'制度詳細'!$J$30&lt;=EOMONTH(CU$5,0)),"◆","")),IF(MAX('制度詳細'!$H$30,CU$5)&lt;=MIN(IF('制度詳細'!$I$30="",EOMONTH(CU$5,0),'制度詳細'!$I$30),EOMONTH(CU$5,0)),"■",IF(AND('制度詳細'!$J$30&lt;&gt;"",'制度詳細'!$J$30&gt;=CU$5,'制度詳細'!$J$30&lt;=EOMONTH(CU$5,0)),"◆","")))</x:f>
      </x:c>
      <x:c r="CV30" s="57" t="str">
        <x:f>IF('制度詳細'!$H$30="",IF('制度詳細'!$J$30="","",IF(AND('制度詳細'!$J$30&gt;=CV$5,'制度詳細'!$J$30&lt;=EOMONTH(CV$5,0)),"◆","")),IF(MAX('制度詳細'!$H$30,CV$5)&lt;=MIN(IF('制度詳細'!$I$30="",EOMONTH(CV$5,0),'制度詳細'!$I$30),EOMONTH(CV$5,0)),"■",IF(AND('制度詳細'!$J$30&lt;&gt;"",'制度詳細'!$J$30&gt;=CV$5,'制度詳細'!$J$30&lt;=EOMONTH(CV$5,0)),"◆","")))</x:f>
      </x:c>
      <x:c r="CW30" s="1"/>
      <x:c r="CX30" s="1"/>
      <x:c r="CY30" s="1"/>
      <x:c r="CZ30" s="1"/>
      <x:c r="DA30" s="1"/>
      <x:c r="DB30" s="1"/>
      <x:c r="DC30" s="1"/>
      <x:c r="DD30" s="1"/>
    </x:row>
    <x:row r="31" ht="27" customHeight="1">
      <x:c r="A31" s="58" t="str">
        <x:v>VN03</x:v>
      </x:c>
      <x:c r="B31" s="58" t="str">
        <x:v>ベトナム</x:v>
      </x:c>
      <x:c r="C31" s="58" t="str">
        <x:v>BEV：登録料0%2030年まで</x:v>
      </x:c>
      <x:c r="D31" s="58" t="str">
        <x:v>BEV</x:v>
      </x:c>
      <x:c r="E31" s="57" t="str">
        <x:f>IF('制度詳細'!$H$31="",IF('制度詳細'!$J$31="","",IF(AND('制度詳細'!$J$31&gt;=E$5,'制度詳細'!$J$31&lt;=EOMONTH(E$5,0)),"◆","")),IF(MAX('制度詳細'!$H$31,E$5)&lt;=MIN(IF('制度詳細'!$I$31="",EOMONTH(E$5,0),'制度詳細'!$I$31),EOMONTH(E$5,0)),"■",IF(AND('制度詳細'!$J$31&lt;&gt;"",'制度詳細'!$J$31&gt;=E$5,'制度詳細'!$J$31&lt;=EOMONTH(E$5,0)),"◆","")))</x:f>
      </x:c>
      <x:c r="F31" s="57" t="str">
        <x:f>IF('制度詳細'!$H$31="",IF('制度詳細'!$J$31="","",IF(AND('制度詳細'!$J$31&gt;=F$5,'制度詳細'!$J$31&lt;=EOMONTH(F$5,0)),"◆","")),IF(MAX('制度詳細'!$H$31,F$5)&lt;=MIN(IF('制度詳細'!$I$31="",EOMONTH(F$5,0),'制度詳細'!$I$31),EOMONTH(F$5,0)),"■",IF(AND('制度詳細'!$J$31&lt;&gt;"",'制度詳細'!$J$31&gt;=F$5,'制度詳細'!$J$31&lt;=EOMONTH(F$5,0)),"◆","")))</x:f>
      </x:c>
      <x:c r="G31" s="57" t="str">
        <x:f>IF('制度詳細'!$H$31="",IF('制度詳細'!$J$31="","",IF(AND('制度詳細'!$J$31&gt;=G$5,'制度詳細'!$J$31&lt;=EOMONTH(G$5,0)),"◆","")),IF(MAX('制度詳細'!$H$31,G$5)&lt;=MIN(IF('制度詳細'!$I$31="",EOMONTH(G$5,0),'制度詳細'!$I$31),EOMONTH(G$5,0)),"■",IF(AND('制度詳細'!$J$31&lt;&gt;"",'制度詳細'!$J$31&gt;=G$5,'制度詳細'!$J$31&lt;=EOMONTH(G$5,0)),"◆","")))</x:f>
      </x:c>
      <x:c r="H31" s="57" t="str">
        <x:f>IF('制度詳細'!$H$31="",IF('制度詳細'!$J$31="","",IF(AND('制度詳細'!$J$31&gt;=H$5,'制度詳細'!$J$31&lt;=EOMONTH(H$5,0)),"◆","")),IF(MAX('制度詳細'!$H$31,H$5)&lt;=MIN(IF('制度詳細'!$I$31="",EOMONTH(H$5,0),'制度詳細'!$I$31),EOMONTH(H$5,0)),"■",IF(AND('制度詳細'!$J$31&lt;&gt;"",'制度詳細'!$J$31&gt;=H$5,'制度詳細'!$J$31&lt;=EOMONTH(H$5,0)),"◆","")))</x:f>
      </x:c>
      <x:c r="I31" s="57" t="str">
        <x:f>IF('制度詳細'!$H$31="",IF('制度詳細'!$J$31="","",IF(AND('制度詳細'!$J$31&gt;=I$5,'制度詳細'!$J$31&lt;=EOMONTH(I$5,0)),"◆","")),IF(MAX('制度詳細'!$H$31,I$5)&lt;=MIN(IF('制度詳細'!$I$31="",EOMONTH(I$5,0),'制度詳細'!$I$31),EOMONTH(I$5,0)),"■",IF(AND('制度詳細'!$J$31&lt;&gt;"",'制度詳細'!$J$31&gt;=I$5,'制度詳細'!$J$31&lt;=EOMONTH(I$5,0)),"◆","")))</x:f>
      </x:c>
      <x:c r="J31" s="57" t="str">
        <x:f>IF('制度詳細'!$H$31="",IF('制度詳細'!$J$31="","",IF(AND('制度詳細'!$J$31&gt;=J$5,'制度詳細'!$J$31&lt;=EOMONTH(J$5,0)),"◆","")),IF(MAX('制度詳細'!$H$31,J$5)&lt;=MIN(IF('制度詳細'!$I$31="",EOMONTH(J$5,0),'制度詳細'!$I$31),EOMONTH(J$5,0)),"■",IF(AND('制度詳細'!$J$31&lt;&gt;"",'制度詳細'!$J$31&gt;=J$5,'制度詳細'!$J$31&lt;=EOMONTH(J$5,0)),"◆","")))</x:f>
      </x:c>
      <x:c r="K31" s="57" t="str">
        <x:f>IF('制度詳細'!$H$31="",IF('制度詳細'!$J$31="","",IF(AND('制度詳細'!$J$31&gt;=K$5,'制度詳細'!$J$31&lt;=EOMONTH(K$5,0)),"◆","")),IF(MAX('制度詳細'!$H$31,K$5)&lt;=MIN(IF('制度詳細'!$I$31="",EOMONTH(K$5,0),'制度詳細'!$I$31),EOMONTH(K$5,0)),"■",IF(AND('制度詳細'!$J$31&lt;&gt;"",'制度詳細'!$J$31&gt;=K$5,'制度詳細'!$J$31&lt;=EOMONTH(K$5,0)),"◆","")))</x:f>
      </x:c>
      <x:c r="L31" s="57" t="str">
        <x:f>IF('制度詳細'!$H$31="",IF('制度詳細'!$J$31="","",IF(AND('制度詳細'!$J$31&gt;=L$5,'制度詳細'!$J$31&lt;=EOMONTH(L$5,0)),"◆","")),IF(MAX('制度詳細'!$H$31,L$5)&lt;=MIN(IF('制度詳細'!$I$31="",EOMONTH(L$5,0),'制度詳細'!$I$31),EOMONTH(L$5,0)),"■",IF(AND('制度詳細'!$J$31&lt;&gt;"",'制度詳細'!$J$31&gt;=L$5,'制度詳細'!$J$31&lt;=EOMONTH(L$5,0)),"◆","")))</x:f>
      </x:c>
      <x:c r="M31" s="57" t="str">
        <x:f>IF('制度詳細'!$H$31="",IF('制度詳細'!$J$31="","",IF(AND('制度詳細'!$J$31&gt;=M$5,'制度詳細'!$J$31&lt;=EOMONTH(M$5,0)),"◆","")),IF(MAX('制度詳細'!$H$31,M$5)&lt;=MIN(IF('制度詳細'!$I$31="",EOMONTH(M$5,0),'制度詳細'!$I$31),EOMONTH(M$5,0)),"■",IF(AND('制度詳細'!$J$31&lt;&gt;"",'制度詳細'!$J$31&gt;=M$5,'制度詳細'!$J$31&lt;=EOMONTH(M$5,0)),"◆","")))</x:f>
      </x:c>
      <x:c r="N31" s="57" t="str">
        <x:f>IF('制度詳細'!$H$31="",IF('制度詳細'!$J$31="","",IF(AND('制度詳細'!$J$31&gt;=N$5,'制度詳細'!$J$31&lt;=EOMONTH(N$5,0)),"◆","")),IF(MAX('制度詳細'!$H$31,N$5)&lt;=MIN(IF('制度詳細'!$I$31="",EOMONTH(N$5,0),'制度詳細'!$I$31),EOMONTH(N$5,0)),"■",IF(AND('制度詳細'!$J$31&lt;&gt;"",'制度詳細'!$J$31&gt;=N$5,'制度詳細'!$J$31&lt;=EOMONTH(N$5,0)),"◆","")))</x:f>
      </x:c>
      <x:c r="O31" s="57" t="str">
        <x:f>IF('制度詳細'!$H$31="",IF('制度詳細'!$J$31="","",IF(AND('制度詳細'!$J$31&gt;=O$5,'制度詳細'!$J$31&lt;=EOMONTH(O$5,0)),"◆","")),IF(MAX('制度詳細'!$H$31,O$5)&lt;=MIN(IF('制度詳細'!$I$31="",EOMONTH(O$5,0),'制度詳細'!$I$31),EOMONTH(O$5,0)),"■",IF(AND('制度詳細'!$J$31&lt;&gt;"",'制度詳細'!$J$31&gt;=O$5,'制度詳細'!$J$31&lt;=EOMONTH(O$5,0)),"◆","")))</x:f>
      </x:c>
      <x:c r="P31" s="57" t="str">
        <x:f>IF('制度詳細'!$H$31="",IF('制度詳細'!$J$31="","",IF(AND('制度詳細'!$J$31&gt;=P$5,'制度詳細'!$J$31&lt;=EOMONTH(P$5,0)),"◆","")),IF(MAX('制度詳細'!$H$31,P$5)&lt;=MIN(IF('制度詳細'!$I$31="",EOMONTH(P$5,0),'制度詳細'!$I$31),EOMONTH(P$5,0)),"■",IF(AND('制度詳細'!$J$31&lt;&gt;"",'制度詳細'!$J$31&gt;=P$5,'制度詳細'!$J$31&lt;=EOMONTH(P$5,0)),"◆","")))</x:f>
      </x:c>
      <x:c r="Q31" s="57" t="str">
        <x:f>IF('制度詳細'!$H$31="",IF('制度詳細'!$J$31="","",IF(AND('制度詳細'!$J$31&gt;=Q$5,'制度詳細'!$J$31&lt;=EOMONTH(Q$5,0)),"◆","")),IF(MAX('制度詳細'!$H$31,Q$5)&lt;=MIN(IF('制度詳細'!$I$31="",EOMONTH(Q$5,0),'制度詳細'!$I$31),EOMONTH(Q$5,0)),"■",IF(AND('制度詳細'!$J$31&lt;&gt;"",'制度詳細'!$J$31&gt;=Q$5,'制度詳細'!$J$31&lt;=EOMONTH(Q$5,0)),"◆","")))</x:f>
      </x:c>
      <x:c r="R31" s="57" t="str">
        <x:f>IF('制度詳細'!$H$31="",IF('制度詳細'!$J$31="","",IF(AND('制度詳細'!$J$31&gt;=R$5,'制度詳細'!$J$31&lt;=EOMONTH(R$5,0)),"◆","")),IF(MAX('制度詳細'!$H$31,R$5)&lt;=MIN(IF('制度詳細'!$I$31="",EOMONTH(R$5,0),'制度詳細'!$I$31),EOMONTH(R$5,0)),"■",IF(AND('制度詳細'!$J$31&lt;&gt;"",'制度詳細'!$J$31&gt;=R$5,'制度詳細'!$J$31&lt;=EOMONTH(R$5,0)),"◆","")))</x:f>
      </x:c>
      <x:c r="S31" s="57" t="str">
        <x:f>IF('制度詳細'!$H$31="",IF('制度詳細'!$J$31="","",IF(AND('制度詳細'!$J$31&gt;=S$5,'制度詳細'!$J$31&lt;=EOMONTH(S$5,0)),"◆","")),IF(MAX('制度詳細'!$H$31,S$5)&lt;=MIN(IF('制度詳細'!$I$31="",EOMONTH(S$5,0),'制度詳細'!$I$31),EOMONTH(S$5,0)),"■",IF(AND('制度詳細'!$J$31&lt;&gt;"",'制度詳細'!$J$31&gt;=S$5,'制度詳細'!$J$31&lt;=EOMONTH(S$5,0)),"◆","")))</x:f>
      </x:c>
      <x:c r="T31" s="57" t="str">
        <x:f>IF('制度詳細'!$H$31="",IF('制度詳細'!$J$31="","",IF(AND('制度詳細'!$J$31&gt;=T$5,'制度詳細'!$J$31&lt;=EOMONTH(T$5,0)),"◆","")),IF(MAX('制度詳細'!$H$31,T$5)&lt;=MIN(IF('制度詳細'!$I$31="",EOMONTH(T$5,0),'制度詳細'!$I$31),EOMONTH(T$5,0)),"■",IF(AND('制度詳細'!$J$31&lt;&gt;"",'制度詳細'!$J$31&gt;=T$5,'制度詳細'!$J$31&lt;=EOMONTH(T$5,0)),"◆","")))</x:f>
      </x:c>
      <x:c r="U31" s="57" t="str">
        <x:f>IF('制度詳細'!$H$31="",IF('制度詳細'!$J$31="","",IF(AND('制度詳細'!$J$31&gt;=U$5,'制度詳細'!$J$31&lt;=EOMONTH(U$5,0)),"◆","")),IF(MAX('制度詳細'!$H$31,U$5)&lt;=MIN(IF('制度詳細'!$I$31="",EOMONTH(U$5,0),'制度詳細'!$I$31),EOMONTH(U$5,0)),"■",IF(AND('制度詳細'!$J$31&lt;&gt;"",'制度詳細'!$J$31&gt;=U$5,'制度詳細'!$J$31&lt;=EOMONTH(U$5,0)),"◆","")))</x:f>
      </x:c>
      <x:c r="V31" s="57" t="str">
        <x:f>IF('制度詳細'!$H$31="",IF('制度詳細'!$J$31="","",IF(AND('制度詳細'!$J$31&gt;=V$5,'制度詳細'!$J$31&lt;=EOMONTH(V$5,0)),"◆","")),IF(MAX('制度詳細'!$H$31,V$5)&lt;=MIN(IF('制度詳細'!$I$31="",EOMONTH(V$5,0),'制度詳細'!$I$31),EOMONTH(V$5,0)),"■",IF(AND('制度詳細'!$J$31&lt;&gt;"",'制度詳細'!$J$31&gt;=V$5,'制度詳細'!$J$31&lt;=EOMONTH(V$5,0)),"◆","")))</x:f>
      </x:c>
      <x:c r="W31" s="57" t="str">
        <x:f>IF('制度詳細'!$H$31="",IF('制度詳細'!$J$31="","",IF(AND('制度詳細'!$J$31&gt;=W$5,'制度詳細'!$J$31&lt;=EOMONTH(W$5,0)),"◆","")),IF(MAX('制度詳細'!$H$31,W$5)&lt;=MIN(IF('制度詳細'!$I$31="",EOMONTH(W$5,0),'制度詳細'!$I$31),EOMONTH(W$5,0)),"■",IF(AND('制度詳細'!$J$31&lt;&gt;"",'制度詳細'!$J$31&gt;=W$5,'制度詳細'!$J$31&lt;=EOMONTH(W$5,0)),"◆","")))</x:f>
      </x:c>
      <x:c r="X31" s="57" t="str">
        <x:f>IF('制度詳細'!$H$31="",IF('制度詳細'!$J$31="","",IF(AND('制度詳細'!$J$31&gt;=X$5,'制度詳細'!$J$31&lt;=EOMONTH(X$5,0)),"◆","")),IF(MAX('制度詳細'!$H$31,X$5)&lt;=MIN(IF('制度詳細'!$I$31="",EOMONTH(X$5,0),'制度詳細'!$I$31),EOMONTH(X$5,0)),"■",IF(AND('制度詳細'!$J$31&lt;&gt;"",'制度詳細'!$J$31&gt;=X$5,'制度詳細'!$J$31&lt;=EOMONTH(X$5,0)),"◆","")))</x:f>
      </x:c>
      <x:c r="Y31" s="57" t="str">
        <x:f>IF('制度詳細'!$H$31="",IF('制度詳細'!$J$31="","",IF(AND('制度詳細'!$J$31&gt;=Y$5,'制度詳細'!$J$31&lt;=EOMONTH(Y$5,0)),"◆","")),IF(MAX('制度詳細'!$H$31,Y$5)&lt;=MIN(IF('制度詳細'!$I$31="",EOMONTH(Y$5,0),'制度詳細'!$I$31),EOMONTH(Y$5,0)),"■",IF(AND('制度詳細'!$J$31&lt;&gt;"",'制度詳細'!$J$31&gt;=Y$5,'制度詳細'!$J$31&lt;=EOMONTH(Y$5,0)),"◆","")))</x:f>
      </x:c>
      <x:c r="Z31" s="57" t="str">
        <x:f>IF('制度詳細'!$H$31="",IF('制度詳細'!$J$31="","",IF(AND('制度詳細'!$J$31&gt;=Z$5,'制度詳細'!$J$31&lt;=EOMONTH(Z$5,0)),"◆","")),IF(MAX('制度詳細'!$H$31,Z$5)&lt;=MIN(IF('制度詳細'!$I$31="",EOMONTH(Z$5,0),'制度詳細'!$I$31),EOMONTH(Z$5,0)),"■",IF(AND('制度詳細'!$J$31&lt;&gt;"",'制度詳細'!$J$31&gt;=Z$5,'制度詳細'!$J$31&lt;=EOMONTH(Z$5,0)),"◆","")))</x:f>
      </x:c>
      <x:c r="AA31" s="57" t="str">
        <x:f>IF('制度詳細'!$H$31="",IF('制度詳細'!$J$31="","",IF(AND('制度詳細'!$J$31&gt;=AA$5,'制度詳細'!$J$31&lt;=EOMONTH(AA$5,0)),"◆","")),IF(MAX('制度詳細'!$H$31,AA$5)&lt;=MIN(IF('制度詳細'!$I$31="",EOMONTH(AA$5,0),'制度詳細'!$I$31),EOMONTH(AA$5,0)),"■",IF(AND('制度詳細'!$J$31&lt;&gt;"",'制度詳細'!$J$31&gt;=AA$5,'制度詳細'!$J$31&lt;=EOMONTH(AA$5,0)),"◆","")))</x:f>
      </x:c>
      <x:c r="AB31" s="57" t="str">
        <x:f>IF('制度詳細'!$H$31="",IF('制度詳細'!$J$31="","",IF(AND('制度詳細'!$J$31&gt;=AB$5,'制度詳細'!$J$31&lt;=EOMONTH(AB$5,0)),"◆","")),IF(MAX('制度詳細'!$H$31,AB$5)&lt;=MIN(IF('制度詳細'!$I$31="",EOMONTH(AB$5,0),'制度詳細'!$I$31),EOMONTH(AB$5,0)),"■",IF(AND('制度詳細'!$J$31&lt;&gt;"",'制度詳細'!$J$31&gt;=AB$5,'制度詳細'!$J$31&lt;=EOMONTH(AB$5,0)),"◆","")))</x:f>
      </x:c>
      <x:c r="AC31" s="57" t="str">
        <x:f>IF('制度詳細'!$H$31="",IF('制度詳細'!$J$31="","",IF(AND('制度詳細'!$J$31&gt;=AC$5,'制度詳細'!$J$31&lt;=EOMONTH(AC$5,0)),"◆","")),IF(MAX('制度詳細'!$H$31,AC$5)&lt;=MIN(IF('制度詳細'!$I$31="",EOMONTH(AC$5,0),'制度詳細'!$I$31),EOMONTH(AC$5,0)),"■",IF(AND('制度詳細'!$J$31&lt;&gt;"",'制度詳細'!$J$31&gt;=AC$5,'制度詳細'!$J$31&lt;=EOMONTH(AC$5,0)),"◆","")))</x:f>
      </x:c>
      <x:c r="AD31" s="57" t="str">
        <x:f>IF('制度詳細'!$H$31="",IF('制度詳細'!$J$31="","",IF(AND('制度詳細'!$J$31&gt;=AD$5,'制度詳細'!$J$31&lt;=EOMONTH(AD$5,0)),"◆","")),IF(MAX('制度詳細'!$H$31,AD$5)&lt;=MIN(IF('制度詳細'!$I$31="",EOMONTH(AD$5,0),'制度詳細'!$I$31),EOMONTH(AD$5,0)),"■",IF(AND('制度詳細'!$J$31&lt;&gt;"",'制度詳細'!$J$31&gt;=AD$5,'制度詳細'!$J$31&lt;=EOMONTH(AD$5,0)),"◆","")))</x:f>
      </x:c>
      <x:c r="AE31" s="57" t="str">
        <x:f>IF('制度詳細'!$H$31="",IF('制度詳細'!$J$31="","",IF(AND('制度詳細'!$J$31&gt;=AE$5,'制度詳細'!$J$31&lt;=EOMONTH(AE$5,0)),"◆","")),IF(MAX('制度詳細'!$H$31,AE$5)&lt;=MIN(IF('制度詳細'!$I$31="",EOMONTH(AE$5,0),'制度詳細'!$I$31),EOMONTH(AE$5,0)),"■",IF(AND('制度詳細'!$J$31&lt;&gt;"",'制度詳細'!$J$31&gt;=AE$5,'制度詳細'!$J$31&lt;=EOMONTH(AE$5,0)),"◆","")))</x:f>
      </x:c>
      <x:c r="AF31" s="57" t="str">
        <x:f>IF('制度詳細'!$H$31="",IF('制度詳細'!$J$31="","",IF(AND('制度詳細'!$J$31&gt;=AF$5,'制度詳細'!$J$31&lt;=EOMONTH(AF$5,0)),"◆","")),IF(MAX('制度詳細'!$H$31,AF$5)&lt;=MIN(IF('制度詳細'!$I$31="",EOMONTH(AF$5,0),'制度詳細'!$I$31),EOMONTH(AF$5,0)),"■",IF(AND('制度詳細'!$J$31&lt;&gt;"",'制度詳細'!$J$31&gt;=AF$5,'制度詳細'!$J$31&lt;=EOMONTH(AF$5,0)),"◆","")))</x:f>
      </x:c>
      <x:c r="AG31" s="57" t="str">
        <x:f>IF('制度詳細'!$H$31="",IF('制度詳細'!$J$31="","",IF(AND('制度詳細'!$J$31&gt;=AG$5,'制度詳細'!$J$31&lt;=EOMONTH(AG$5,0)),"◆","")),IF(MAX('制度詳細'!$H$31,AG$5)&lt;=MIN(IF('制度詳細'!$I$31="",EOMONTH(AG$5,0),'制度詳細'!$I$31),EOMONTH(AG$5,0)),"■",IF(AND('制度詳細'!$J$31&lt;&gt;"",'制度詳細'!$J$31&gt;=AG$5,'制度詳細'!$J$31&lt;=EOMONTH(AG$5,0)),"◆","")))</x:f>
      </x:c>
      <x:c r="AH31" s="57" t="str">
        <x:f>IF('制度詳細'!$H$31="",IF('制度詳細'!$J$31="","",IF(AND('制度詳細'!$J$31&gt;=AH$5,'制度詳細'!$J$31&lt;=EOMONTH(AH$5,0)),"◆","")),IF(MAX('制度詳細'!$H$31,AH$5)&lt;=MIN(IF('制度詳細'!$I$31="",EOMONTH(AH$5,0),'制度詳細'!$I$31),EOMONTH(AH$5,0)),"■",IF(AND('制度詳細'!$J$31&lt;&gt;"",'制度詳細'!$J$31&gt;=AH$5,'制度詳細'!$J$31&lt;=EOMONTH(AH$5,0)),"◆","")))</x:f>
      </x:c>
      <x:c r="AI31" s="57" t="str">
        <x:f>IF('制度詳細'!$H$31="",IF('制度詳細'!$J$31="","",IF(AND('制度詳細'!$J$31&gt;=AI$5,'制度詳細'!$J$31&lt;=EOMONTH(AI$5,0)),"◆","")),IF(MAX('制度詳細'!$H$31,AI$5)&lt;=MIN(IF('制度詳細'!$I$31="",EOMONTH(AI$5,0),'制度詳細'!$I$31),EOMONTH(AI$5,0)),"■",IF(AND('制度詳細'!$J$31&lt;&gt;"",'制度詳細'!$J$31&gt;=AI$5,'制度詳細'!$J$31&lt;=EOMONTH(AI$5,0)),"◆","")))</x:f>
      </x:c>
      <x:c r="AJ31" s="57" t="str">
        <x:f>IF('制度詳細'!$H$31="",IF('制度詳細'!$J$31="","",IF(AND('制度詳細'!$J$31&gt;=AJ$5,'制度詳細'!$J$31&lt;=EOMONTH(AJ$5,0)),"◆","")),IF(MAX('制度詳細'!$H$31,AJ$5)&lt;=MIN(IF('制度詳細'!$I$31="",EOMONTH(AJ$5,0),'制度詳細'!$I$31),EOMONTH(AJ$5,0)),"■",IF(AND('制度詳細'!$J$31&lt;&gt;"",'制度詳細'!$J$31&gt;=AJ$5,'制度詳細'!$J$31&lt;=EOMONTH(AJ$5,0)),"◆","")))</x:f>
      </x:c>
      <x:c r="AK31" s="57" t="str">
        <x:f>IF('制度詳細'!$H$31="",IF('制度詳細'!$J$31="","",IF(AND('制度詳細'!$J$31&gt;=AK$5,'制度詳細'!$J$31&lt;=EOMONTH(AK$5,0)),"◆","")),IF(MAX('制度詳細'!$H$31,AK$5)&lt;=MIN(IF('制度詳細'!$I$31="",EOMONTH(AK$5,0),'制度詳細'!$I$31),EOMONTH(AK$5,0)),"■",IF(AND('制度詳細'!$J$31&lt;&gt;"",'制度詳細'!$J$31&gt;=AK$5,'制度詳細'!$J$31&lt;=EOMONTH(AK$5,0)),"◆","")))</x:f>
      </x:c>
      <x:c r="AL31" s="57" t="str">
        <x:f>IF('制度詳細'!$H$31="",IF('制度詳細'!$J$31="","",IF(AND('制度詳細'!$J$31&gt;=AL$5,'制度詳細'!$J$31&lt;=EOMONTH(AL$5,0)),"◆","")),IF(MAX('制度詳細'!$H$31,AL$5)&lt;=MIN(IF('制度詳細'!$I$31="",EOMONTH(AL$5,0),'制度詳細'!$I$31),EOMONTH(AL$5,0)),"■",IF(AND('制度詳細'!$J$31&lt;&gt;"",'制度詳細'!$J$31&gt;=AL$5,'制度詳細'!$J$31&lt;=EOMONTH(AL$5,0)),"◆","")))</x:f>
      </x:c>
      <x:c r="AM31" s="57" t="str">
        <x:f>IF('制度詳細'!$H$31="",IF('制度詳細'!$J$31="","",IF(AND('制度詳細'!$J$31&gt;=AM$5,'制度詳細'!$J$31&lt;=EOMONTH(AM$5,0)),"◆","")),IF(MAX('制度詳細'!$H$31,AM$5)&lt;=MIN(IF('制度詳細'!$I$31="",EOMONTH(AM$5,0),'制度詳細'!$I$31),EOMONTH(AM$5,0)),"■",IF(AND('制度詳細'!$J$31&lt;&gt;"",'制度詳細'!$J$31&gt;=AM$5,'制度詳細'!$J$31&lt;=EOMONTH(AM$5,0)),"◆","")))</x:f>
      </x:c>
      <x:c r="AN31" s="57" t="str">
        <x:f>IF('制度詳細'!$H$31="",IF('制度詳細'!$J$31="","",IF(AND('制度詳細'!$J$31&gt;=AN$5,'制度詳細'!$J$31&lt;=EOMONTH(AN$5,0)),"◆","")),IF(MAX('制度詳細'!$H$31,AN$5)&lt;=MIN(IF('制度詳細'!$I$31="",EOMONTH(AN$5,0),'制度詳細'!$I$31),EOMONTH(AN$5,0)),"■",IF(AND('制度詳細'!$J$31&lt;&gt;"",'制度詳細'!$J$31&gt;=AN$5,'制度詳細'!$J$31&lt;=EOMONTH(AN$5,0)),"◆","")))</x:f>
      </x:c>
      <x:c r="AO31" s="57" t="str">
        <x:f>IF('制度詳細'!$H$31="",IF('制度詳細'!$J$31="","",IF(AND('制度詳細'!$J$31&gt;=AO$5,'制度詳細'!$J$31&lt;=EOMONTH(AO$5,0)),"◆","")),IF(MAX('制度詳細'!$H$31,AO$5)&lt;=MIN(IF('制度詳細'!$I$31="",EOMONTH(AO$5,0),'制度詳細'!$I$31),EOMONTH(AO$5,0)),"■",IF(AND('制度詳細'!$J$31&lt;&gt;"",'制度詳細'!$J$31&gt;=AO$5,'制度詳細'!$J$31&lt;=EOMONTH(AO$5,0)),"◆","")))</x:f>
      </x:c>
      <x:c r="AP31" s="57" t="str">
        <x:f>IF('制度詳細'!$H$31="",IF('制度詳細'!$J$31="","",IF(AND('制度詳細'!$J$31&gt;=AP$5,'制度詳細'!$J$31&lt;=EOMONTH(AP$5,0)),"◆","")),IF(MAX('制度詳細'!$H$31,AP$5)&lt;=MIN(IF('制度詳細'!$I$31="",EOMONTH(AP$5,0),'制度詳細'!$I$31),EOMONTH(AP$5,0)),"■",IF(AND('制度詳細'!$J$31&lt;&gt;"",'制度詳細'!$J$31&gt;=AP$5,'制度詳細'!$J$31&lt;=EOMONTH(AP$5,0)),"◆","")))</x:f>
      </x:c>
      <x:c r="AQ31" s="57" t="str">
        <x:f>IF('制度詳細'!$H$31="",IF('制度詳細'!$J$31="","",IF(AND('制度詳細'!$J$31&gt;=AQ$5,'制度詳細'!$J$31&lt;=EOMONTH(AQ$5,0)),"◆","")),IF(MAX('制度詳細'!$H$31,AQ$5)&lt;=MIN(IF('制度詳細'!$I$31="",EOMONTH(AQ$5,0),'制度詳細'!$I$31),EOMONTH(AQ$5,0)),"■",IF(AND('制度詳細'!$J$31&lt;&gt;"",'制度詳細'!$J$31&gt;=AQ$5,'制度詳細'!$J$31&lt;=EOMONTH(AQ$5,0)),"◆","")))</x:f>
      </x:c>
      <x:c r="AR31" s="57" t="str">
        <x:f>IF('制度詳細'!$H$31="",IF('制度詳細'!$J$31="","",IF(AND('制度詳細'!$J$31&gt;=AR$5,'制度詳細'!$J$31&lt;=EOMONTH(AR$5,0)),"◆","")),IF(MAX('制度詳細'!$H$31,AR$5)&lt;=MIN(IF('制度詳細'!$I$31="",EOMONTH(AR$5,0),'制度詳細'!$I$31),EOMONTH(AR$5,0)),"■",IF(AND('制度詳細'!$J$31&lt;&gt;"",'制度詳細'!$J$31&gt;=AR$5,'制度詳細'!$J$31&lt;=EOMONTH(AR$5,0)),"◆","")))</x:f>
      </x:c>
      <x:c r="AS31" s="57" t="str">
        <x:f>IF('制度詳細'!$H$31="",IF('制度詳細'!$J$31="","",IF(AND('制度詳細'!$J$31&gt;=AS$5,'制度詳細'!$J$31&lt;=EOMONTH(AS$5,0)),"◆","")),IF(MAX('制度詳細'!$H$31,AS$5)&lt;=MIN(IF('制度詳細'!$I$31="",EOMONTH(AS$5,0),'制度詳細'!$I$31),EOMONTH(AS$5,0)),"■",IF(AND('制度詳細'!$J$31&lt;&gt;"",'制度詳細'!$J$31&gt;=AS$5,'制度詳細'!$J$31&lt;=EOMONTH(AS$5,0)),"◆","")))</x:f>
      </x:c>
      <x:c r="AT31" s="57" t="str">
        <x:f>IF('制度詳細'!$H$31="",IF('制度詳細'!$J$31="","",IF(AND('制度詳細'!$J$31&gt;=AT$5,'制度詳細'!$J$31&lt;=EOMONTH(AT$5,0)),"◆","")),IF(MAX('制度詳細'!$H$31,AT$5)&lt;=MIN(IF('制度詳細'!$I$31="",EOMONTH(AT$5,0),'制度詳細'!$I$31),EOMONTH(AT$5,0)),"■",IF(AND('制度詳細'!$J$31&lt;&gt;"",'制度詳細'!$J$31&gt;=AT$5,'制度詳細'!$J$31&lt;=EOMONTH(AT$5,0)),"◆","")))</x:f>
      </x:c>
      <x:c r="AU31" s="57" t="str">
        <x:f>IF('制度詳細'!$H$31="",IF('制度詳細'!$J$31="","",IF(AND('制度詳細'!$J$31&gt;=AU$5,'制度詳細'!$J$31&lt;=EOMONTH(AU$5,0)),"◆","")),IF(MAX('制度詳細'!$H$31,AU$5)&lt;=MIN(IF('制度詳細'!$I$31="",EOMONTH(AU$5,0),'制度詳細'!$I$31),EOMONTH(AU$5,0)),"■",IF(AND('制度詳細'!$J$31&lt;&gt;"",'制度詳細'!$J$31&gt;=AU$5,'制度詳細'!$J$31&lt;=EOMONTH(AU$5,0)),"◆","")))</x:f>
      </x:c>
      <x:c r="AV31" s="57" t="str">
        <x:f>IF('制度詳細'!$H$31="",IF('制度詳細'!$J$31="","",IF(AND('制度詳細'!$J$31&gt;=AV$5,'制度詳細'!$J$31&lt;=EOMONTH(AV$5,0)),"◆","")),IF(MAX('制度詳細'!$H$31,AV$5)&lt;=MIN(IF('制度詳細'!$I$31="",EOMONTH(AV$5,0),'制度詳細'!$I$31),EOMONTH(AV$5,0)),"■",IF(AND('制度詳細'!$J$31&lt;&gt;"",'制度詳細'!$J$31&gt;=AV$5,'制度詳細'!$J$31&lt;=EOMONTH(AV$5,0)),"◆","")))</x:f>
      </x:c>
      <x:c r="AW31" s="57" t="str">
        <x:f>IF('制度詳細'!$H$31="",IF('制度詳細'!$J$31="","",IF(AND('制度詳細'!$J$31&gt;=AW$5,'制度詳細'!$J$31&lt;=EOMONTH(AW$5,0)),"◆","")),IF(MAX('制度詳細'!$H$31,AW$5)&lt;=MIN(IF('制度詳細'!$I$31="",EOMONTH(AW$5,0),'制度詳細'!$I$31),EOMONTH(AW$5,0)),"■",IF(AND('制度詳細'!$J$31&lt;&gt;"",'制度詳細'!$J$31&gt;=AW$5,'制度詳細'!$J$31&lt;=EOMONTH(AW$5,0)),"◆","")))</x:f>
      </x:c>
      <x:c r="AX31" s="57" t="str">
        <x:f>IF('制度詳細'!$H$31="",IF('制度詳細'!$J$31="","",IF(AND('制度詳細'!$J$31&gt;=AX$5,'制度詳細'!$J$31&lt;=EOMONTH(AX$5,0)),"◆","")),IF(MAX('制度詳細'!$H$31,AX$5)&lt;=MIN(IF('制度詳細'!$I$31="",EOMONTH(AX$5,0),'制度詳細'!$I$31),EOMONTH(AX$5,0)),"■",IF(AND('制度詳細'!$J$31&lt;&gt;"",'制度詳細'!$J$31&gt;=AX$5,'制度詳細'!$J$31&lt;=EOMONTH(AX$5,0)),"◆","")))</x:f>
      </x:c>
      <x:c r="AY31" s="57" t="str">
        <x:f>IF('制度詳細'!$H$31="",IF('制度詳細'!$J$31="","",IF(AND('制度詳細'!$J$31&gt;=AY$5,'制度詳細'!$J$31&lt;=EOMONTH(AY$5,0)),"◆","")),IF(MAX('制度詳細'!$H$31,AY$5)&lt;=MIN(IF('制度詳細'!$I$31="",EOMONTH(AY$5,0),'制度詳細'!$I$31),EOMONTH(AY$5,0)),"■",IF(AND('制度詳細'!$J$31&lt;&gt;"",'制度詳細'!$J$31&gt;=AY$5,'制度詳細'!$J$31&lt;=EOMONTH(AY$5,0)),"◆","")))</x:f>
      </x:c>
      <x:c r="AZ31" s="57" t="str">
        <x:f>IF('制度詳細'!$H$31="",IF('制度詳細'!$J$31="","",IF(AND('制度詳細'!$J$31&gt;=AZ$5,'制度詳細'!$J$31&lt;=EOMONTH(AZ$5,0)),"◆","")),IF(MAX('制度詳細'!$H$31,AZ$5)&lt;=MIN(IF('制度詳細'!$I$31="",EOMONTH(AZ$5,0),'制度詳細'!$I$31),EOMONTH(AZ$5,0)),"■",IF(AND('制度詳細'!$J$31&lt;&gt;"",'制度詳細'!$J$31&gt;=AZ$5,'制度詳細'!$J$31&lt;=EOMONTH(AZ$5,0)),"◆","")))</x:f>
      </x:c>
      <x:c r="BA31" s="57" t="str">
        <x:f>IF('制度詳細'!$H$31="",IF('制度詳細'!$J$31="","",IF(AND('制度詳細'!$J$31&gt;=BA$5,'制度詳細'!$J$31&lt;=EOMONTH(BA$5,0)),"◆","")),IF(MAX('制度詳細'!$H$31,BA$5)&lt;=MIN(IF('制度詳細'!$I$31="",EOMONTH(BA$5,0),'制度詳細'!$I$31),EOMONTH(BA$5,0)),"■",IF(AND('制度詳細'!$J$31&lt;&gt;"",'制度詳細'!$J$31&gt;=BA$5,'制度詳細'!$J$31&lt;=EOMONTH(BA$5,0)),"◆","")))</x:f>
      </x:c>
      <x:c r="BB31" s="57" t="str">
        <x:f>IF('制度詳細'!$H$31="",IF('制度詳細'!$J$31="","",IF(AND('制度詳細'!$J$31&gt;=BB$5,'制度詳細'!$J$31&lt;=EOMONTH(BB$5,0)),"◆","")),IF(MAX('制度詳細'!$H$31,BB$5)&lt;=MIN(IF('制度詳細'!$I$31="",EOMONTH(BB$5,0),'制度詳細'!$I$31),EOMONTH(BB$5,0)),"■",IF(AND('制度詳細'!$J$31&lt;&gt;"",'制度詳細'!$J$31&gt;=BB$5,'制度詳細'!$J$31&lt;=EOMONTH(BB$5,0)),"◆","")))</x:f>
      </x:c>
      <x:c r="BC31" s="57" t="str">
        <x:f>IF('制度詳細'!$H$31="",IF('制度詳細'!$J$31="","",IF(AND('制度詳細'!$J$31&gt;=BC$5,'制度詳細'!$J$31&lt;=EOMONTH(BC$5,0)),"◆","")),IF(MAX('制度詳細'!$H$31,BC$5)&lt;=MIN(IF('制度詳細'!$I$31="",EOMONTH(BC$5,0),'制度詳細'!$I$31),EOMONTH(BC$5,0)),"■",IF(AND('制度詳細'!$J$31&lt;&gt;"",'制度詳細'!$J$31&gt;=BC$5,'制度詳細'!$J$31&lt;=EOMONTH(BC$5,0)),"◆","")))</x:f>
      </x:c>
      <x:c r="BD31" s="57" t="str">
        <x:f>IF('制度詳細'!$H$31="",IF('制度詳細'!$J$31="","",IF(AND('制度詳細'!$J$31&gt;=BD$5,'制度詳細'!$J$31&lt;=EOMONTH(BD$5,0)),"◆","")),IF(MAX('制度詳細'!$H$31,BD$5)&lt;=MIN(IF('制度詳細'!$I$31="",EOMONTH(BD$5,0),'制度詳細'!$I$31),EOMONTH(BD$5,0)),"■",IF(AND('制度詳細'!$J$31&lt;&gt;"",'制度詳細'!$J$31&gt;=BD$5,'制度詳細'!$J$31&lt;=EOMONTH(BD$5,0)),"◆","")))</x:f>
      </x:c>
      <x:c r="BE31" s="57" t="str">
        <x:f>IF('制度詳細'!$H$31="",IF('制度詳細'!$J$31="","",IF(AND('制度詳細'!$J$31&gt;=BE$5,'制度詳細'!$J$31&lt;=EOMONTH(BE$5,0)),"◆","")),IF(MAX('制度詳細'!$H$31,BE$5)&lt;=MIN(IF('制度詳細'!$I$31="",EOMONTH(BE$5,0),'制度詳細'!$I$31),EOMONTH(BE$5,0)),"■",IF(AND('制度詳細'!$J$31&lt;&gt;"",'制度詳細'!$J$31&gt;=BE$5,'制度詳細'!$J$31&lt;=EOMONTH(BE$5,0)),"◆","")))</x:f>
      </x:c>
      <x:c r="BF31" s="57" t="str">
        <x:f>IF('制度詳細'!$H$31="",IF('制度詳細'!$J$31="","",IF(AND('制度詳細'!$J$31&gt;=BF$5,'制度詳細'!$J$31&lt;=EOMONTH(BF$5,0)),"◆","")),IF(MAX('制度詳細'!$H$31,BF$5)&lt;=MIN(IF('制度詳細'!$I$31="",EOMONTH(BF$5,0),'制度詳細'!$I$31),EOMONTH(BF$5,0)),"■",IF(AND('制度詳細'!$J$31&lt;&gt;"",'制度詳細'!$J$31&gt;=BF$5,'制度詳細'!$J$31&lt;=EOMONTH(BF$5,0)),"◆","")))</x:f>
      </x:c>
      <x:c r="BG31" s="57" t="str">
        <x:f>IF('制度詳細'!$H$31="",IF('制度詳細'!$J$31="","",IF(AND('制度詳細'!$J$31&gt;=BG$5,'制度詳細'!$J$31&lt;=EOMONTH(BG$5,0)),"◆","")),IF(MAX('制度詳細'!$H$31,BG$5)&lt;=MIN(IF('制度詳細'!$I$31="",EOMONTH(BG$5,0),'制度詳細'!$I$31),EOMONTH(BG$5,0)),"■",IF(AND('制度詳細'!$J$31&lt;&gt;"",'制度詳細'!$J$31&gt;=BG$5,'制度詳細'!$J$31&lt;=EOMONTH(BG$5,0)),"◆","")))</x:f>
      </x:c>
      <x:c r="BH31" s="57" t="str">
        <x:f>IF('制度詳細'!$H$31="",IF('制度詳細'!$J$31="","",IF(AND('制度詳細'!$J$31&gt;=BH$5,'制度詳細'!$J$31&lt;=EOMONTH(BH$5,0)),"◆","")),IF(MAX('制度詳細'!$H$31,BH$5)&lt;=MIN(IF('制度詳細'!$I$31="",EOMONTH(BH$5,0),'制度詳細'!$I$31),EOMONTH(BH$5,0)),"■",IF(AND('制度詳細'!$J$31&lt;&gt;"",'制度詳細'!$J$31&gt;=BH$5,'制度詳細'!$J$31&lt;=EOMONTH(BH$5,0)),"◆","")))</x:f>
      </x:c>
      <x:c r="BI31" s="57" t="str">
        <x:f>IF('制度詳細'!$H$31="",IF('制度詳細'!$J$31="","",IF(AND('制度詳細'!$J$31&gt;=BI$5,'制度詳細'!$J$31&lt;=EOMONTH(BI$5,0)),"◆","")),IF(MAX('制度詳細'!$H$31,BI$5)&lt;=MIN(IF('制度詳細'!$I$31="",EOMONTH(BI$5,0),'制度詳細'!$I$31),EOMONTH(BI$5,0)),"■",IF(AND('制度詳細'!$J$31&lt;&gt;"",'制度詳細'!$J$31&gt;=BI$5,'制度詳細'!$J$31&lt;=EOMONTH(BI$5,0)),"◆","")))</x:f>
      </x:c>
      <x:c r="BJ31" s="57" t="str">
        <x:f>IF('制度詳細'!$H$31="",IF('制度詳細'!$J$31="","",IF(AND('制度詳細'!$J$31&gt;=BJ$5,'制度詳細'!$J$31&lt;=EOMONTH(BJ$5,0)),"◆","")),IF(MAX('制度詳細'!$H$31,BJ$5)&lt;=MIN(IF('制度詳細'!$I$31="",EOMONTH(BJ$5,0),'制度詳細'!$I$31),EOMONTH(BJ$5,0)),"■",IF(AND('制度詳細'!$J$31&lt;&gt;"",'制度詳細'!$J$31&gt;=BJ$5,'制度詳細'!$J$31&lt;=EOMONTH(BJ$5,0)),"◆","")))</x:f>
      </x:c>
      <x:c r="BK31" s="57" t="str">
        <x:f>IF('制度詳細'!$H$31="",IF('制度詳細'!$J$31="","",IF(AND('制度詳細'!$J$31&gt;=BK$5,'制度詳細'!$J$31&lt;=EOMONTH(BK$5,0)),"◆","")),IF(MAX('制度詳細'!$H$31,BK$5)&lt;=MIN(IF('制度詳細'!$I$31="",EOMONTH(BK$5,0),'制度詳細'!$I$31),EOMONTH(BK$5,0)),"■",IF(AND('制度詳細'!$J$31&lt;&gt;"",'制度詳細'!$J$31&gt;=BK$5,'制度詳細'!$J$31&lt;=EOMONTH(BK$5,0)),"◆","")))</x:f>
      </x:c>
      <x:c r="BL31" s="57" t="str">
        <x:f>IF('制度詳細'!$H$31="",IF('制度詳細'!$J$31="","",IF(AND('制度詳細'!$J$31&gt;=BL$5,'制度詳細'!$J$31&lt;=EOMONTH(BL$5,0)),"◆","")),IF(MAX('制度詳細'!$H$31,BL$5)&lt;=MIN(IF('制度詳細'!$I$31="",EOMONTH(BL$5,0),'制度詳細'!$I$31),EOMONTH(BL$5,0)),"■",IF(AND('制度詳細'!$J$31&lt;&gt;"",'制度詳細'!$J$31&gt;=BL$5,'制度詳細'!$J$31&lt;=EOMONTH(BL$5,0)),"◆","")))</x:f>
      </x:c>
      <x:c r="BM31" s="57" t="str">
        <x:f>IF('制度詳細'!$H$31="",IF('制度詳細'!$J$31="","",IF(AND('制度詳細'!$J$31&gt;=BM$5,'制度詳細'!$J$31&lt;=EOMONTH(BM$5,0)),"◆","")),IF(MAX('制度詳細'!$H$31,BM$5)&lt;=MIN(IF('制度詳細'!$I$31="",EOMONTH(BM$5,0),'制度詳細'!$I$31),EOMONTH(BM$5,0)),"■",IF(AND('制度詳細'!$J$31&lt;&gt;"",'制度詳細'!$J$31&gt;=BM$5,'制度詳細'!$J$31&lt;=EOMONTH(BM$5,0)),"◆","")))</x:f>
      </x:c>
      <x:c r="BN31" s="57" t="str">
        <x:f>IF('制度詳細'!$H$31="",IF('制度詳細'!$J$31="","",IF(AND('制度詳細'!$J$31&gt;=BN$5,'制度詳細'!$J$31&lt;=EOMONTH(BN$5,0)),"◆","")),IF(MAX('制度詳細'!$H$31,BN$5)&lt;=MIN(IF('制度詳細'!$I$31="",EOMONTH(BN$5,0),'制度詳細'!$I$31),EOMONTH(BN$5,0)),"■",IF(AND('制度詳細'!$J$31&lt;&gt;"",'制度詳細'!$J$31&gt;=BN$5,'制度詳細'!$J$31&lt;=EOMONTH(BN$5,0)),"◆","")))</x:f>
      </x:c>
      <x:c r="BO31" s="57" t="str">
        <x:f>IF('制度詳細'!$H$31="",IF('制度詳細'!$J$31="","",IF(AND('制度詳細'!$J$31&gt;=BO$5,'制度詳細'!$J$31&lt;=EOMONTH(BO$5,0)),"◆","")),IF(MAX('制度詳細'!$H$31,BO$5)&lt;=MIN(IF('制度詳細'!$I$31="",EOMONTH(BO$5,0),'制度詳細'!$I$31),EOMONTH(BO$5,0)),"■",IF(AND('制度詳細'!$J$31&lt;&gt;"",'制度詳細'!$J$31&gt;=BO$5,'制度詳細'!$J$31&lt;=EOMONTH(BO$5,0)),"◆","")))</x:f>
      </x:c>
      <x:c r="BP31" s="57" t="str">
        <x:f>IF('制度詳細'!$H$31="",IF('制度詳細'!$J$31="","",IF(AND('制度詳細'!$J$31&gt;=BP$5,'制度詳細'!$J$31&lt;=EOMONTH(BP$5,0)),"◆","")),IF(MAX('制度詳細'!$H$31,BP$5)&lt;=MIN(IF('制度詳細'!$I$31="",EOMONTH(BP$5,0),'制度詳細'!$I$31),EOMONTH(BP$5,0)),"■",IF(AND('制度詳細'!$J$31&lt;&gt;"",'制度詳細'!$J$31&gt;=BP$5,'制度詳細'!$J$31&lt;=EOMONTH(BP$5,0)),"◆","")))</x:f>
      </x:c>
      <x:c r="BQ31" s="57" t="str">
        <x:f>IF('制度詳細'!$H$31="",IF('制度詳細'!$J$31="","",IF(AND('制度詳細'!$J$31&gt;=BQ$5,'制度詳細'!$J$31&lt;=EOMONTH(BQ$5,0)),"◆","")),IF(MAX('制度詳細'!$H$31,BQ$5)&lt;=MIN(IF('制度詳細'!$I$31="",EOMONTH(BQ$5,0),'制度詳細'!$I$31),EOMONTH(BQ$5,0)),"■",IF(AND('制度詳細'!$J$31&lt;&gt;"",'制度詳細'!$J$31&gt;=BQ$5,'制度詳細'!$J$31&lt;=EOMONTH(BQ$5,0)),"◆","")))</x:f>
      </x:c>
      <x:c r="BR31" s="57" t="str">
        <x:f>IF('制度詳細'!$H$31="",IF('制度詳細'!$J$31="","",IF(AND('制度詳細'!$J$31&gt;=BR$5,'制度詳細'!$J$31&lt;=EOMONTH(BR$5,0)),"◆","")),IF(MAX('制度詳細'!$H$31,BR$5)&lt;=MIN(IF('制度詳細'!$I$31="",EOMONTH(BR$5,0),'制度詳細'!$I$31),EOMONTH(BR$5,0)),"■",IF(AND('制度詳細'!$J$31&lt;&gt;"",'制度詳細'!$J$31&gt;=BR$5,'制度詳細'!$J$31&lt;=EOMONTH(BR$5,0)),"◆","")))</x:f>
      </x:c>
      <x:c r="BS31" s="57" t="str">
        <x:f>IF('制度詳細'!$H$31="",IF('制度詳細'!$J$31="","",IF(AND('制度詳細'!$J$31&gt;=BS$5,'制度詳細'!$J$31&lt;=EOMONTH(BS$5,0)),"◆","")),IF(MAX('制度詳細'!$H$31,BS$5)&lt;=MIN(IF('制度詳細'!$I$31="",EOMONTH(BS$5,0),'制度詳細'!$I$31),EOMONTH(BS$5,0)),"■",IF(AND('制度詳細'!$J$31&lt;&gt;"",'制度詳細'!$J$31&gt;=BS$5,'制度詳細'!$J$31&lt;=EOMONTH(BS$5,0)),"◆","")))</x:f>
      </x:c>
      <x:c r="BT31" s="57" t="str">
        <x:f>IF('制度詳細'!$H$31="",IF('制度詳細'!$J$31="","",IF(AND('制度詳細'!$J$31&gt;=BT$5,'制度詳細'!$J$31&lt;=EOMONTH(BT$5,0)),"◆","")),IF(MAX('制度詳細'!$H$31,BT$5)&lt;=MIN(IF('制度詳細'!$I$31="",EOMONTH(BT$5,0),'制度詳細'!$I$31),EOMONTH(BT$5,0)),"■",IF(AND('制度詳細'!$J$31&lt;&gt;"",'制度詳細'!$J$31&gt;=BT$5,'制度詳細'!$J$31&lt;=EOMONTH(BT$5,0)),"◆","")))</x:f>
      </x:c>
      <x:c r="BU31" s="57" t="str">
        <x:f>IF('制度詳細'!$H$31="",IF('制度詳細'!$J$31="","",IF(AND('制度詳細'!$J$31&gt;=BU$5,'制度詳細'!$J$31&lt;=EOMONTH(BU$5,0)),"◆","")),IF(MAX('制度詳細'!$H$31,BU$5)&lt;=MIN(IF('制度詳細'!$I$31="",EOMONTH(BU$5,0),'制度詳細'!$I$31),EOMONTH(BU$5,0)),"■",IF(AND('制度詳細'!$J$31&lt;&gt;"",'制度詳細'!$J$31&gt;=BU$5,'制度詳細'!$J$31&lt;=EOMONTH(BU$5,0)),"◆","")))</x:f>
      </x:c>
      <x:c r="BV31" s="57" t="str">
        <x:f>IF('制度詳細'!$H$31="",IF('制度詳細'!$J$31="","",IF(AND('制度詳細'!$J$31&gt;=BV$5,'制度詳細'!$J$31&lt;=EOMONTH(BV$5,0)),"◆","")),IF(MAX('制度詳細'!$H$31,BV$5)&lt;=MIN(IF('制度詳細'!$I$31="",EOMONTH(BV$5,0),'制度詳細'!$I$31),EOMONTH(BV$5,0)),"■",IF(AND('制度詳細'!$J$31&lt;&gt;"",'制度詳細'!$J$31&gt;=BV$5,'制度詳細'!$J$31&lt;=EOMONTH(BV$5,0)),"◆","")))</x:f>
      </x:c>
      <x:c r="BW31" s="57" t="str">
        <x:f>IF('制度詳細'!$H$31="",IF('制度詳細'!$J$31="","",IF(AND('制度詳細'!$J$31&gt;=BW$5,'制度詳細'!$J$31&lt;=EOMONTH(BW$5,0)),"◆","")),IF(MAX('制度詳細'!$H$31,BW$5)&lt;=MIN(IF('制度詳細'!$I$31="",EOMONTH(BW$5,0),'制度詳細'!$I$31),EOMONTH(BW$5,0)),"■",IF(AND('制度詳細'!$J$31&lt;&gt;"",'制度詳細'!$J$31&gt;=BW$5,'制度詳細'!$J$31&lt;=EOMONTH(BW$5,0)),"◆","")))</x:f>
      </x:c>
      <x:c r="BX31" s="57" t="str">
        <x:f>IF('制度詳細'!$H$31="",IF('制度詳細'!$J$31="","",IF(AND('制度詳細'!$J$31&gt;=BX$5,'制度詳細'!$J$31&lt;=EOMONTH(BX$5,0)),"◆","")),IF(MAX('制度詳細'!$H$31,BX$5)&lt;=MIN(IF('制度詳細'!$I$31="",EOMONTH(BX$5,0),'制度詳細'!$I$31),EOMONTH(BX$5,0)),"■",IF(AND('制度詳細'!$J$31&lt;&gt;"",'制度詳細'!$J$31&gt;=BX$5,'制度詳細'!$J$31&lt;=EOMONTH(BX$5,0)),"◆","")))</x:f>
      </x:c>
      <x:c r="BY31" s="57" t="str">
        <x:f>IF('制度詳細'!$H$31="",IF('制度詳細'!$J$31="","",IF(AND('制度詳細'!$J$31&gt;=BY$5,'制度詳細'!$J$31&lt;=EOMONTH(BY$5,0)),"◆","")),IF(MAX('制度詳細'!$H$31,BY$5)&lt;=MIN(IF('制度詳細'!$I$31="",EOMONTH(BY$5,0),'制度詳細'!$I$31),EOMONTH(BY$5,0)),"■",IF(AND('制度詳細'!$J$31&lt;&gt;"",'制度詳細'!$J$31&gt;=BY$5,'制度詳細'!$J$31&lt;=EOMONTH(BY$5,0)),"◆","")))</x:f>
      </x:c>
      <x:c r="BZ31" s="57" t="str">
        <x:f>IF('制度詳細'!$H$31="",IF('制度詳細'!$J$31="","",IF(AND('制度詳細'!$J$31&gt;=BZ$5,'制度詳細'!$J$31&lt;=EOMONTH(BZ$5,0)),"◆","")),IF(MAX('制度詳細'!$H$31,BZ$5)&lt;=MIN(IF('制度詳細'!$I$31="",EOMONTH(BZ$5,0),'制度詳細'!$I$31),EOMONTH(BZ$5,0)),"■",IF(AND('制度詳細'!$J$31&lt;&gt;"",'制度詳細'!$J$31&gt;=BZ$5,'制度詳細'!$J$31&lt;=EOMONTH(BZ$5,0)),"◆","")))</x:f>
      </x:c>
      <x:c r="CA31" s="57" t="str">
        <x:f>IF('制度詳細'!$H$31="",IF('制度詳細'!$J$31="","",IF(AND('制度詳細'!$J$31&gt;=CA$5,'制度詳細'!$J$31&lt;=EOMONTH(CA$5,0)),"◆","")),IF(MAX('制度詳細'!$H$31,CA$5)&lt;=MIN(IF('制度詳細'!$I$31="",EOMONTH(CA$5,0),'制度詳細'!$I$31),EOMONTH(CA$5,0)),"■",IF(AND('制度詳細'!$J$31&lt;&gt;"",'制度詳細'!$J$31&gt;=CA$5,'制度詳細'!$J$31&lt;=EOMONTH(CA$5,0)),"◆","")))</x:f>
      </x:c>
      <x:c r="CB31" s="57" t="str">
        <x:f>IF('制度詳細'!$H$31="",IF('制度詳細'!$J$31="","",IF(AND('制度詳細'!$J$31&gt;=CB$5,'制度詳細'!$J$31&lt;=EOMONTH(CB$5,0)),"◆","")),IF(MAX('制度詳細'!$H$31,CB$5)&lt;=MIN(IF('制度詳細'!$I$31="",EOMONTH(CB$5,0),'制度詳細'!$I$31),EOMONTH(CB$5,0)),"■",IF(AND('制度詳細'!$J$31&lt;&gt;"",'制度詳細'!$J$31&gt;=CB$5,'制度詳細'!$J$31&lt;=EOMONTH(CB$5,0)),"◆","")))</x:f>
      </x:c>
      <x:c r="CC31" s="57" t="str">
        <x:f>IF('制度詳細'!$H$31="",IF('制度詳細'!$J$31="","",IF(AND('制度詳細'!$J$31&gt;=CC$5,'制度詳細'!$J$31&lt;=EOMONTH(CC$5,0)),"◆","")),IF(MAX('制度詳細'!$H$31,CC$5)&lt;=MIN(IF('制度詳細'!$I$31="",EOMONTH(CC$5,0),'制度詳細'!$I$31),EOMONTH(CC$5,0)),"■",IF(AND('制度詳細'!$J$31&lt;&gt;"",'制度詳細'!$J$31&gt;=CC$5,'制度詳細'!$J$31&lt;=EOMONTH(CC$5,0)),"◆","")))</x:f>
      </x:c>
      <x:c r="CD31" s="57" t="str">
        <x:f>IF('制度詳細'!$H$31="",IF('制度詳細'!$J$31="","",IF(AND('制度詳細'!$J$31&gt;=CD$5,'制度詳細'!$J$31&lt;=EOMONTH(CD$5,0)),"◆","")),IF(MAX('制度詳細'!$H$31,CD$5)&lt;=MIN(IF('制度詳細'!$I$31="",EOMONTH(CD$5,0),'制度詳細'!$I$31),EOMONTH(CD$5,0)),"■",IF(AND('制度詳細'!$J$31&lt;&gt;"",'制度詳細'!$J$31&gt;=CD$5,'制度詳細'!$J$31&lt;=EOMONTH(CD$5,0)),"◆","")))</x:f>
        <x:v>◆</x:v>
      </x:c>
      <x:c r="CE31" s="57" t="str">
        <x:f>IF('制度詳細'!$H$31="",IF('制度詳細'!$J$31="","",IF(AND('制度詳細'!$J$31&gt;=CE$5,'制度詳細'!$J$31&lt;=EOMONTH(CE$5,0)),"◆","")),IF(MAX('制度詳細'!$H$31,CE$5)&lt;=MIN(IF('制度詳細'!$I$31="",EOMONTH(CE$5,0),'制度詳細'!$I$31),EOMONTH(CE$5,0)),"■",IF(AND('制度詳細'!$J$31&lt;&gt;"",'制度詳細'!$J$31&gt;=CE$5,'制度詳細'!$J$31&lt;=EOMONTH(CE$5,0)),"◆","")))</x:f>
      </x:c>
      <x:c r="CF31" s="57" t="str">
        <x:f>IF('制度詳細'!$H$31="",IF('制度詳細'!$J$31="","",IF(AND('制度詳細'!$J$31&gt;=CF$5,'制度詳細'!$J$31&lt;=EOMONTH(CF$5,0)),"◆","")),IF(MAX('制度詳細'!$H$31,CF$5)&lt;=MIN(IF('制度詳細'!$I$31="",EOMONTH(CF$5,0),'制度詳細'!$I$31),EOMONTH(CF$5,0)),"■",IF(AND('制度詳細'!$J$31&lt;&gt;"",'制度詳細'!$J$31&gt;=CF$5,'制度詳細'!$J$31&lt;=EOMONTH(CF$5,0)),"◆","")))</x:f>
      </x:c>
      <x:c r="CG31" s="57" t="str">
        <x:f>IF('制度詳細'!$H$31="",IF('制度詳細'!$J$31="","",IF(AND('制度詳細'!$J$31&gt;=CG$5,'制度詳細'!$J$31&lt;=EOMONTH(CG$5,0)),"◆","")),IF(MAX('制度詳細'!$H$31,CG$5)&lt;=MIN(IF('制度詳細'!$I$31="",EOMONTH(CG$5,0),'制度詳細'!$I$31),EOMONTH(CG$5,0)),"■",IF(AND('制度詳細'!$J$31&lt;&gt;"",'制度詳細'!$J$31&gt;=CG$5,'制度詳細'!$J$31&lt;=EOMONTH(CG$5,0)),"◆","")))</x:f>
      </x:c>
      <x:c r="CH31" s="57" t="str">
        <x:f>IF('制度詳細'!$H$31="",IF('制度詳細'!$J$31="","",IF(AND('制度詳細'!$J$31&gt;=CH$5,'制度詳細'!$J$31&lt;=EOMONTH(CH$5,0)),"◆","")),IF(MAX('制度詳細'!$H$31,CH$5)&lt;=MIN(IF('制度詳細'!$I$31="",EOMONTH(CH$5,0),'制度詳細'!$I$31),EOMONTH(CH$5,0)),"■",IF(AND('制度詳細'!$J$31&lt;&gt;"",'制度詳細'!$J$31&gt;=CH$5,'制度詳細'!$J$31&lt;=EOMONTH(CH$5,0)),"◆","")))</x:f>
      </x:c>
      <x:c r="CI31" s="57" t="str">
        <x:f>IF('制度詳細'!$H$31="",IF('制度詳細'!$J$31="","",IF(AND('制度詳細'!$J$31&gt;=CI$5,'制度詳細'!$J$31&lt;=EOMONTH(CI$5,0)),"◆","")),IF(MAX('制度詳細'!$H$31,CI$5)&lt;=MIN(IF('制度詳細'!$I$31="",EOMONTH(CI$5,0),'制度詳細'!$I$31),EOMONTH(CI$5,0)),"■",IF(AND('制度詳細'!$J$31&lt;&gt;"",'制度詳細'!$J$31&gt;=CI$5,'制度詳細'!$J$31&lt;=EOMONTH(CI$5,0)),"◆","")))</x:f>
      </x:c>
      <x:c r="CJ31" s="57" t="str">
        <x:f>IF('制度詳細'!$H$31="",IF('制度詳細'!$J$31="","",IF(AND('制度詳細'!$J$31&gt;=CJ$5,'制度詳細'!$J$31&lt;=EOMONTH(CJ$5,0)),"◆","")),IF(MAX('制度詳細'!$H$31,CJ$5)&lt;=MIN(IF('制度詳細'!$I$31="",EOMONTH(CJ$5,0),'制度詳細'!$I$31),EOMONTH(CJ$5,0)),"■",IF(AND('制度詳細'!$J$31&lt;&gt;"",'制度詳細'!$J$31&gt;=CJ$5,'制度詳細'!$J$31&lt;=EOMONTH(CJ$5,0)),"◆","")))</x:f>
      </x:c>
      <x:c r="CK31" s="57" t="str">
        <x:f>IF('制度詳細'!$H$31="",IF('制度詳細'!$J$31="","",IF(AND('制度詳細'!$J$31&gt;=CK$5,'制度詳細'!$J$31&lt;=EOMONTH(CK$5,0)),"◆","")),IF(MAX('制度詳細'!$H$31,CK$5)&lt;=MIN(IF('制度詳細'!$I$31="",EOMONTH(CK$5,0),'制度詳細'!$I$31),EOMONTH(CK$5,0)),"■",IF(AND('制度詳細'!$J$31&lt;&gt;"",'制度詳細'!$J$31&gt;=CK$5,'制度詳細'!$J$31&lt;=EOMONTH(CK$5,0)),"◆","")))</x:f>
      </x:c>
      <x:c r="CL31" s="57" t="str">
        <x:f>IF('制度詳細'!$H$31="",IF('制度詳細'!$J$31="","",IF(AND('制度詳細'!$J$31&gt;=CL$5,'制度詳細'!$J$31&lt;=EOMONTH(CL$5,0)),"◆","")),IF(MAX('制度詳細'!$H$31,CL$5)&lt;=MIN(IF('制度詳細'!$I$31="",EOMONTH(CL$5,0),'制度詳細'!$I$31),EOMONTH(CL$5,0)),"■",IF(AND('制度詳細'!$J$31&lt;&gt;"",'制度詳細'!$J$31&gt;=CL$5,'制度詳細'!$J$31&lt;=EOMONTH(CL$5,0)),"◆","")))</x:f>
      </x:c>
      <x:c r="CM31" s="57" t="str">
        <x:f>IF('制度詳細'!$H$31="",IF('制度詳細'!$J$31="","",IF(AND('制度詳細'!$J$31&gt;=CM$5,'制度詳細'!$J$31&lt;=EOMONTH(CM$5,0)),"◆","")),IF(MAX('制度詳細'!$H$31,CM$5)&lt;=MIN(IF('制度詳細'!$I$31="",EOMONTH(CM$5,0),'制度詳細'!$I$31),EOMONTH(CM$5,0)),"■",IF(AND('制度詳細'!$J$31&lt;&gt;"",'制度詳細'!$J$31&gt;=CM$5,'制度詳細'!$J$31&lt;=EOMONTH(CM$5,0)),"◆","")))</x:f>
        <x:v>■</x:v>
      </x:c>
      <x:c r="CN31" s="57" t="str">
        <x:f>IF('制度詳細'!$H$31="",IF('制度詳細'!$J$31="","",IF(AND('制度詳細'!$J$31&gt;=CN$5,'制度詳細'!$J$31&lt;=EOMONTH(CN$5,0)),"◆","")),IF(MAX('制度詳細'!$H$31,CN$5)&lt;=MIN(IF('制度詳細'!$I$31="",EOMONTH(CN$5,0),'制度詳細'!$I$31),EOMONTH(CN$5,0)),"■",IF(AND('制度詳細'!$J$31&lt;&gt;"",'制度詳細'!$J$31&gt;=CN$5,'制度詳細'!$J$31&lt;=EOMONTH(CN$5,0)),"◆","")))</x:f>
        <x:v>■</x:v>
      </x:c>
      <x:c r="CO31" s="57" t="str">
        <x:f>IF('制度詳細'!$H$31="",IF('制度詳細'!$J$31="","",IF(AND('制度詳細'!$J$31&gt;=CO$5,'制度詳細'!$J$31&lt;=EOMONTH(CO$5,0)),"◆","")),IF(MAX('制度詳細'!$H$31,CO$5)&lt;=MIN(IF('制度詳細'!$I$31="",EOMONTH(CO$5,0),'制度詳細'!$I$31),EOMONTH(CO$5,0)),"■",IF(AND('制度詳細'!$J$31&lt;&gt;"",'制度詳細'!$J$31&gt;=CO$5,'制度詳細'!$J$31&lt;=EOMONTH(CO$5,0)),"◆","")))</x:f>
        <x:v>■</x:v>
      </x:c>
      <x:c r="CP31" s="57" t="str">
        <x:f>IF('制度詳細'!$H$31="",IF('制度詳細'!$J$31="","",IF(AND('制度詳細'!$J$31&gt;=CP$5,'制度詳細'!$J$31&lt;=EOMONTH(CP$5,0)),"◆","")),IF(MAX('制度詳細'!$H$31,CP$5)&lt;=MIN(IF('制度詳細'!$I$31="",EOMONTH(CP$5,0),'制度詳細'!$I$31),EOMONTH(CP$5,0)),"■",IF(AND('制度詳細'!$J$31&lt;&gt;"",'制度詳細'!$J$31&gt;=CP$5,'制度詳細'!$J$31&lt;=EOMONTH(CP$5,0)),"◆","")))</x:f>
        <x:v>■</x:v>
      </x:c>
      <x:c r="CQ31" s="57" t="str">
        <x:f>IF('制度詳細'!$H$31="",IF('制度詳細'!$J$31="","",IF(AND('制度詳細'!$J$31&gt;=CQ$5,'制度詳細'!$J$31&lt;=EOMONTH(CQ$5,0)),"◆","")),IF(MAX('制度詳細'!$H$31,CQ$5)&lt;=MIN(IF('制度詳細'!$I$31="",EOMONTH(CQ$5,0),'制度詳細'!$I$31),EOMONTH(CQ$5,0)),"■",IF(AND('制度詳細'!$J$31&lt;&gt;"",'制度詳細'!$J$31&gt;=CQ$5,'制度詳細'!$J$31&lt;=EOMONTH(CQ$5,0)),"◆","")))</x:f>
        <x:v>■</x:v>
      </x:c>
      <x:c r="CR31" s="57" t="str">
        <x:f>IF('制度詳細'!$H$31="",IF('制度詳細'!$J$31="","",IF(AND('制度詳細'!$J$31&gt;=CR$5,'制度詳細'!$J$31&lt;=EOMONTH(CR$5,0)),"◆","")),IF(MAX('制度詳細'!$H$31,CR$5)&lt;=MIN(IF('制度詳細'!$I$31="",EOMONTH(CR$5,0),'制度詳細'!$I$31),EOMONTH(CR$5,0)),"■",IF(AND('制度詳細'!$J$31&lt;&gt;"",'制度詳細'!$J$31&gt;=CR$5,'制度詳細'!$J$31&lt;=EOMONTH(CR$5,0)),"◆","")))</x:f>
        <x:v>■</x:v>
      </x:c>
      <x:c r="CS31" s="57" t="str">
        <x:f>IF('制度詳細'!$H$31="",IF('制度詳細'!$J$31="","",IF(AND('制度詳細'!$J$31&gt;=CS$5,'制度詳細'!$J$31&lt;=EOMONTH(CS$5,0)),"◆","")),IF(MAX('制度詳細'!$H$31,CS$5)&lt;=MIN(IF('制度詳細'!$I$31="",EOMONTH(CS$5,0),'制度詳細'!$I$31),EOMONTH(CS$5,0)),"■",IF(AND('制度詳細'!$J$31&lt;&gt;"",'制度詳細'!$J$31&gt;=CS$5,'制度詳細'!$J$31&lt;=EOMONTH(CS$5,0)),"◆","")))</x:f>
        <x:v>■</x:v>
      </x:c>
      <x:c r="CT31" s="57" t="str">
        <x:f>IF('制度詳細'!$H$31="",IF('制度詳細'!$J$31="","",IF(AND('制度詳細'!$J$31&gt;=CT$5,'制度詳細'!$J$31&lt;=EOMONTH(CT$5,0)),"◆","")),IF(MAX('制度詳細'!$H$31,CT$5)&lt;=MIN(IF('制度詳細'!$I$31="",EOMONTH(CT$5,0),'制度詳細'!$I$31),EOMONTH(CT$5,0)),"■",IF(AND('制度詳細'!$J$31&lt;&gt;"",'制度詳細'!$J$31&gt;=CT$5,'制度詳細'!$J$31&lt;=EOMONTH(CT$5,0)),"◆","")))</x:f>
        <x:v>■</x:v>
      </x:c>
      <x:c r="CU31" s="57" t="str">
        <x:f>IF('制度詳細'!$H$31="",IF('制度詳細'!$J$31="","",IF(AND('制度詳細'!$J$31&gt;=CU$5,'制度詳細'!$J$31&lt;=EOMONTH(CU$5,0)),"◆","")),IF(MAX('制度詳細'!$H$31,CU$5)&lt;=MIN(IF('制度詳細'!$I$31="",EOMONTH(CU$5,0),'制度詳細'!$I$31),EOMONTH(CU$5,0)),"■",IF(AND('制度詳細'!$J$31&lt;&gt;"",'制度詳細'!$J$31&gt;=CU$5,'制度詳細'!$J$31&lt;=EOMONTH(CU$5,0)),"◆","")))</x:f>
        <x:v>■</x:v>
      </x:c>
      <x:c r="CV31" s="57" t="str">
        <x:f>IF('制度詳細'!$H$31="",IF('制度詳細'!$J$31="","",IF(AND('制度詳細'!$J$31&gt;=CV$5,'制度詳細'!$J$31&lt;=EOMONTH(CV$5,0)),"◆","")),IF(MAX('制度詳細'!$H$31,CV$5)&lt;=MIN(IF('制度詳細'!$I$31="",EOMONTH(CV$5,0),'制度詳細'!$I$31),EOMONTH(CV$5,0)),"■",IF(AND('制度詳細'!$J$31&lt;&gt;"",'制度詳細'!$J$31&gt;=CV$5,'制度詳細'!$J$31&lt;=EOMONTH(CV$5,0)),"◆","")))</x:f>
        <x:v>■</x:v>
      </x:c>
      <x:c r="CW31" s="1"/>
      <x:c r="CX31" s="1"/>
      <x:c r="CY31" s="1"/>
      <x:c r="CZ31" s="1"/>
      <x:c r="DA31" s="1"/>
      <x:c r="DB31" s="1"/>
      <x:c r="DC31" s="1"/>
      <x:c r="DD31" s="1"/>
    </x:row>
    <x:row r="32" ht="27" customHeight="1">
      <x:c r="A32" s="53" t="str">
        <x:v>VN04</x:v>
      </x:c>
      <x:c r="B32" s="53" t="str">
        <x:v>ベトナム</x:v>
      </x:c>
      <x:c r="C32" s="53" t="str">
        <x:v>BEV：特別消費税3%</x:v>
      </x:c>
      <x:c r="D32" s="53" t="str">
        <x:v>BEV</x:v>
      </x:c>
      <x:c r="E32" s="57" t="str">
        <x:f>IF('制度詳細'!$H$32="",IF('制度詳細'!$J$32="","",IF(AND('制度詳細'!$J$32&gt;=E$5,'制度詳細'!$J$32&lt;=EOMONTH(E$5,0)),"◆","")),IF(MAX('制度詳細'!$H$32,E$5)&lt;=MIN(IF('制度詳細'!$I$32="",EOMONTH(E$5,0),'制度詳細'!$I$32),EOMONTH(E$5,0)),"■",IF(AND('制度詳細'!$J$32&lt;&gt;"",'制度詳細'!$J$32&gt;=E$5,'制度詳細'!$J$32&lt;=EOMONTH(E$5,0)),"◆","")))</x:f>
      </x:c>
      <x:c r="F32" s="57" t="str">
        <x:f>IF('制度詳細'!$H$32="",IF('制度詳細'!$J$32="","",IF(AND('制度詳細'!$J$32&gt;=F$5,'制度詳細'!$J$32&lt;=EOMONTH(F$5,0)),"◆","")),IF(MAX('制度詳細'!$H$32,F$5)&lt;=MIN(IF('制度詳細'!$I$32="",EOMONTH(F$5,0),'制度詳細'!$I$32),EOMONTH(F$5,0)),"■",IF(AND('制度詳細'!$J$32&lt;&gt;"",'制度詳細'!$J$32&gt;=F$5,'制度詳細'!$J$32&lt;=EOMONTH(F$5,0)),"◆","")))</x:f>
      </x:c>
      <x:c r="G32" s="57" t="str">
        <x:f>IF('制度詳細'!$H$32="",IF('制度詳細'!$J$32="","",IF(AND('制度詳細'!$J$32&gt;=G$5,'制度詳細'!$J$32&lt;=EOMONTH(G$5,0)),"◆","")),IF(MAX('制度詳細'!$H$32,G$5)&lt;=MIN(IF('制度詳細'!$I$32="",EOMONTH(G$5,0),'制度詳細'!$I$32),EOMONTH(G$5,0)),"■",IF(AND('制度詳細'!$J$32&lt;&gt;"",'制度詳細'!$J$32&gt;=G$5,'制度詳細'!$J$32&lt;=EOMONTH(G$5,0)),"◆","")))</x:f>
      </x:c>
      <x:c r="H32" s="57" t="str">
        <x:f>IF('制度詳細'!$H$32="",IF('制度詳細'!$J$32="","",IF(AND('制度詳細'!$J$32&gt;=H$5,'制度詳細'!$J$32&lt;=EOMONTH(H$5,0)),"◆","")),IF(MAX('制度詳細'!$H$32,H$5)&lt;=MIN(IF('制度詳細'!$I$32="",EOMONTH(H$5,0),'制度詳細'!$I$32),EOMONTH(H$5,0)),"■",IF(AND('制度詳細'!$J$32&lt;&gt;"",'制度詳細'!$J$32&gt;=H$5,'制度詳細'!$J$32&lt;=EOMONTH(H$5,0)),"◆","")))</x:f>
      </x:c>
      <x:c r="I32" s="57" t="str">
        <x:f>IF('制度詳細'!$H$32="",IF('制度詳細'!$J$32="","",IF(AND('制度詳細'!$J$32&gt;=I$5,'制度詳細'!$J$32&lt;=EOMONTH(I$5,0)),"◆","")),IF(MAX('制度詳細'!$H$32,I$5)&lt;=MIN(IF('制度詳細'!$I$32="",EOMONTH(I$5,0),'制度詳細'!$I$32),EOMONTH(I$5,0)),"■",IF(AND('制度詳細'!$J$32&lt;&gt;"",'制度詳細'!$J$32&gt;=I$5,'制度詳細'!$J$32&lt;=EOMONTH(I$5,0)),"◆","")))</x:f>
      </x:c>
      <x:c r="J32" s="57" t="str">
        <x:f>IF('制度詳細'!$H$32="",IF('制度詳細'!$J$32="","",IF(AND('制度詳細'!$J$32&gt;=J$5,'制度詳細'!$J$32&lt;=EOMONTH(J$5,0)),"◆","")),IF(MAX('制度詳細'!$H$32,J$5)&lt;=MIN(IF('制度詳細'!$I$32="",EOMONTH(J$5,0),'制度詳細'!$I$32),EOMONTH(J$5,0)),"■",IF(AND('制度詳細'!$J$32&lt;&gt;"",'制度詳細'!$J$32&gt;=J$5,'制度詳細'!$J$32&lt;=EOMONTH(J$5,0)),"◆","")))</x:f>
      </x:c>
      <x:c r="K32" s="57" t="str">
        <x:f>IF('制度詳細'!$H$32="",IF('制度詳細'!$J$32="","",IF(AND('制度詳細'!$J$32&gt;=K$5,'制度詳細'!$J$32&lt;=EOMONTH(K$5,0)),"◆","")),IF(MAX('制度詳細'!$H$32,K$5)&lt;=MIN(IF('制度詳細'!$I$32="",EOMONTH(K$5,0),'制度詳細'!$I$32),EOMONTH(K$5,0)),"■",IF(AND('制度詳細'!$J$32&lt;&gt;"",'制度詳細'!$J$32&gt;=K$5,'制度詳細'!$J$32&lt;=EOMONTH(K$5,0)),"◆","")))</x:f>
      </x:c>
      <x:c r="L32" s="57" t="str">
        <x:f>IF('制度詳細'!$H$32="",IF('制度詳細'!$J$32="","",IF(AND('制度詳細'!$J$32&gt;=L$5,'制度詳細'!$J$32&lt;=EOMONTH(L$5,0)),"◆","")),IF(MAX('制度詳細'!$H$32,L$5)&lt;=MIN(IF('制度詳細'!$I$32="",EOMONTH(L$5,0),'制度詳細'!$I$32),EOMONTH(L$5,0)),"■",IF(AND('制度詳細'!$J$32&lt;&gt;"",'制度詳細'!$J$32&gt;=L$5,'制度詳細'!$J$32&lt;=EOMONTH(L$5,0)),"◆","")))</x:f>
      </x:c>
      <x:c r="M32" s="57" t="str">
        <x:f>IF('制度詳細'!$H$32="",IF('制度詳細'!$J$32="","",IF(AND('制度詳細'!$J$32&gt;=M$5,'制度詳細'!$J$32&lt;=EOMONTH(M$5,0)),"◆","")),IF(MAX('制度詳細'!$H$32,M$5)&lt;=MIN(IF('制度詳細'!$I$32="",EOMONTH(M$5,0),'制度詳細'!$I$32),EOMONTH(M$5,0)),"■",IF(AND('制度詳細'!$J$32&lt;&gt;"",'制度詳細'!$J$32&gt;=M$5,'制度詳細'!$J$32&lt;=EOMONTH(M$5,0)),"◆","")))</x:f>
      </x:c>
      <x:c r="N32" s="57" t="str">
        <x:f>IF('制度詳細'!$H$32="",IF('制度詳細'!$J$32="","",IF(AND('制度詳細'!$J$32&gt;=N$5,'制度詳細'!$J$32&lt;=EOMONTH(N$5,0)),"◆","")),IF(MAX('制度詳細'!$H$32,N$5)&lt;=MIN(IF('制度詳細'!$I$32="",EOMONTH(N$5,0),'制度詳細'!$I$32),EOMONTH(N$5,0)),"■",IF(AND('制度詳細'!$J$32&lt;&gt;"",'制度詳細'!$J$32&gt;=N$5,'制度詳細'!$J$32&lt;=EOMONTH(N$5,0)),"◆","")))</x:f>
      </x:c>
      <x:c r="O32" s="57" t="str">
        <x:f>IF('制度詳細'!$H$32="",IF('制度詳細'!$J$32="","",IF(AND('制度詳細'!$J$32&gt;=O$5,'制度詳細'!$J$32&lt;=EOMONTH(O$5,0)),"◆","")),IF(MAX('制度詳細'!$H$32,O$5)&lt;=MIN(IF('制度詳細'!$I$32="",EOMONTH(O$5,0),'制度詳細'!$I$32),EOMONTH(O$5,0)),"■",IF(AND('制度詳細'!$J$32&lt;&gt;"",'制度詳細'!$J$32&gt;=O$5,'制度詳細'!$J$32&lt;=EOMONTH(O$5,0)),"◆","")))</x:f>
      </x:c>
      <x:c r="P32" s="57" t="str">
        <x:f>IF('制度詳細'!$H$32="",IF('制度詳細'!$J$32="","",IF(AND('制度詳細'!$J$32&gt;=P$5,'制度詳細'!$J$32&lt;=EOMONTH(P$5,0)),"◆","")),IF(MAX('制度詳細'!$H$32,P$5)&lt;=MIN(IF('制度詳細'!$I$32="",EOMONTH(P$5,0),'制度詳細'!$I$32),EOMONTH(P$5,0)),"■",IF(AND('制度詳細'!$J$32&lt;&gt;"",'制度詳細'!$J$32&gt;=P$5,'制度詳細'!$J$32&lt;=EOMONTH(P$5,0)),"◆","")))</x:f>
      </x:c>
      <x:c r="Q32" s="57" t="str">
        <x:f>IF('制度詳細'!$H$32="",IF('制度詳細'!$J$32="","",IF(AND('制度詳細'!$J$32&gt;=Q$5,'制度詳細'!$J$32&lt;=EOMONTH(Q$5,0)),"◆","")),IF(MAX('制度詳細'!$H$32,Q$5)&lt;=MIN(IF('制度詳細'!$I$32="",EOMONTH(Q$5,0),'制度詳細'!$I$32),EOMONTH(Q$5,0)),"■",IF(AND('制度詳細'!$J$32&lt;&gt;"",'制度詳細'!$J$32&gt;=Q$5,'制度詳細'!$J$32&lt;=EOMONTH(Q$5,0)),"◆","")))</x:f>
      </x:c>
      <x:c r="R32" s="57" t="str">
        <x:f>IF('制度詳細'!$H$32="",IF('制度詳細'!$J$32="","",IF(AND('制度詳細'!$J$32&gt;=R$5,'制度詳細'!$J$32&lt;=EOMONTH(R$5,0)),"◆","")),IF(MAX('制度詳細'!$H$32,R$5)&lt;=MIN(IF('制度詳細'!$I$32="",EOMONTH(R$5,0),'制度詳細'!$I$32),EOMONTH(R$5,0)),"■",IF(AND('制度詳細'!$J$32&lt;&gt;"",'制度詳細'!$J$32&gt;=R$5,'制度詳細'!$J$32&lt;=EOMONTH(R$5,0)),"◆","")))</x:f>
      </x:c>
      <x:c r="S32" s="57" t="str">
        <x:f>IF('制度詳細'!$H$32="",IF('制度詳細'!$J$32="","",IF(AND('制度詳細'!$J$32&gt;=S$5,'制度詳細'!$J$32&lt;=EOMONTH(S$5,0)),"◆","")),IF(MAX('制度詳細'!$H$32,S$5)&lt;=MIN(IF('制度詳細'!$I$32="",EOMONTH(S$5,0),'制度詳細'!$I$32),EOMONTH(S$5,0)),"■",IF(AND('制度詳細'!$J$32&lt;&gt;"",'制度詳細'!$J$32&gt;=S$5,'制度詳細'!$J$32&lt;=EOMONTH(S$5,0)),"◆","")))</x:f>
      </x:c>
      <x:c r="T32" s="57" t="str">
        <x:f>IF('制度詳細'!$H$32="",IF('制度詳細'!$J$32="","",IF(AND('制度詳細'!$J$32&gt;=T$5,'制度詳細'!$J$32&lt;=EOMONTH(T$5,0)),"◆","")),IF(MAX('制度詳細'!$H$32,T$5)&lt;=MIN(IF('制度詳細'!$I$32="",EOMONTH(T$5,0),'制度詳細'!$I$32),EOMONTH(T$5,0)),"■",IF(AND('制度詳細'!$J$32&lt;&gt;"",'制度詳細'!$J$32&gt;=T$5,'制度詳細'!$J$32&lt;=EOMONTH(T$5,0)),"◆","")))</x:f>
      </x:c>
      <x:c r="U32" s="57" t="str">
        <x:f>IF('制度詳細'!$H$32="",IF('制度詳細'!$J$32="","",IF(AND('制度詳細'!$J$32&gt;=U$5,'制度詳細'!$J$32&lt;=EOMONTH(U$5,0)),"◆","")),IF(MAX('制度詳細'!$H$32,U$5)&lt;=MIN(IF('制度詳細'!$I$32="",EOMONTH(U$5,0),'制度詳細'!$I$32),EOMONTH(U$5,0)),"■",IF(AND('制度詳細'!$J$32&lt;&gt;"",'制度詳細'!$J$32&gt;=U$5,'制度詳細'!$J$32&lt;=EOMONTH(U$5,0)),"◆","")))</x:f>
      </x:c>
      <x:c r="V32" s="57" t="str">
        <x:f>IF('制度詳細'!$H$32="",IF('制度詳細'!$J$32="","",IF(AND('制度詳細'!$J$32&gt;=V$5,'制度詳細'!$J$32&lt;=EOMONTH(V$5,0)),"◆","")),IF(MAX('制度詳細'!$H$32,V$5)&lt;=MIN(IF('制度詳細'!$I$32="",EOMONTH(V$5,0),'制度詳細'!$I$32),EOMONTH(V$5,0)),"■",IF(AND('制度詳細'!$J$32&lt;&gt;"",'制度詳細'!$J$32&gt;=V$5,'制度詳細'!$J$32&lt;=EOMONTH(V$5,0)),"◆","")))</x:f>
      </x:c>
      <x:c r="W32" s="57" t="str">
        <x:f>IF('制度詳細'!$H$32="",IF('制度詳細'!$J$32="","",IF(AND('制度詳細'!$J$32&gt;=W$5,'制度詳細'!$J$32&lt;=EOMONTH(W$5,0)),"◆","")),IF(MAX('制度詳細'!$H$32,W$5)&lt;=MIN(IF('制度詳細'!$I$32="",EOMONTH(W$5,0),'制度詳細'!$I$32),EOMONTH(W$5,0)),"■",IF(AND('制度詳細'!$J$32&lt;&gt;"",'制度詳細'!$J$32&gt;=W$5,'制度詳細'!$J$32&lt;=EOMONTH(W$5,0)),"◆","")))</x:f>
      </x:c>
      <x:c r="X32" s="57" t="str">
        <x:f>IF('制度詳細'!$H$32="",IF('制度詳細'!$J$32="","",IF(AND('制度詳細'!$J$32&gt;=X$5,'制度詳細'!$J$32&lt;=EOMONTH(X$5,0)),"◆","")),IF(MAX('制度詳細'!$H$32,X$5)&lt;=MIN(IF('制度詳細'!$I$32="",EOMONTH(X$5,0),'制度詳細'!$I$32),EOMONTH(X$5,0)),"■",IF(AND('制度詳細'!$J$32&lt;&gt;"",'制度詳細'!$J$32&gt;=X$5,'制度詳細'!$J$32&lt;=EOMONTH(X$5,0)),"◆","")))</x:f>
      </x:c>
      <x:c r="Y32" s="57" t="str">
        <x:f>IF('制度詳細'!$H$32="",IF('制度詳細'!$J$32="","",IF(AND('制度詳細'!$J$32&gt;=Y$5,'制度詳細'!$J$32&lt;=EOMONTH(Y$5,0)),"◆","")),IF(MAX('制度詳細'!$H$32,Y$5)&lt;=MIN(IF('制度詳細'!$I$32="",EOMONTH(Y$5,0),'制度詳細'!$I$32),EOMONTH(Y$5,0)),"■",IF(AND('制度詳細'!$J$32&lt;&gt;"",'制度詳細'!$J$32&gt;=Y$5,'制度詳細'!$J$32&lt;=EOMONTH(Y$5,0)),"◆","")))</x:f>
      </x:c>
      <x:c r="Z32" s="57" t="str">
        <x:f>IF('制度詳細'!$H$32="",IF('制度詳細'!$J$32="","",IF(AND('制度詳細'!$J$32&gt;=Z$5,'制度詳細'!$J$32&lt;=EOMONTH(Z$5,0)),"◆","")),IF(MAX('制度詳細'!$H$32,Z$5)&lt;=MIN(IF('制度詳細'!$I$32="",EOMONTH(Z$5,0),'制度詳細'!$I$32),EOMONTH(Z$5,0)),"■",IF(AND('制度詳細'!$J$32&lt;&gt;"",'制度詳細'!$J$32&gt;=Z$5,'制度詳細'!$J$32&lt;=EOMONTH(Z$5,0)),"◆","")))</x:f>
      </x:c>
      <x:c r="AA32" s="57" t="str">
        <x:f>IF('制度詳細'!$H$32="",IF('制度詳細'!$J$32="","",IF(AND('制度詳細'!$J$32&gt;=AA$5,'制度詳細'!$J$32&lt;=EOMONTH(AA$5,0)),"◆","")),IF(MAX('制度詳細'!$H$32,AA$5)&lt;=MIN(IF('制度詳細'!$I$32="",EOMONTH(AA$5,0),'制度詳細'!$I$32),EOMONTH(AA$5,0)),"■",IF(AND('制度詳細'!$J$32&lt;&gt;"",'制度詳細'!$J$32&gt;=AA$5,'制度詳細'!$J$32&lt;=EOMONTH(AA$5,0)),"◆","")))</x:f>
      </x:c>
      <x:c r="AB32" s="57" t="str">
        <x:f>IF('制度詳細'!$H$32="",IF('制度詳細'!$J$32="","",IF(AND('制度詳細'!$J$32&gt;=AB$5,'制度詳細'!$J$32&lt;=EOMONTH(AB$5,0)),"◆","")),IF(MAX('制度詳細'!$H$32,AB$5)&lt;=MIN(IF('制度詳細'!$I$32="",EOMONTH(AB$5,0),'制度詳細'!$I$32),EOMONTH(AB$5,0)),"■",IF(AND('制度詳細'!$J$32&lt;&gt;"",'制度詳細'!$J$32&gt;=AB$5,'制度詳細'!$J$32&lt;=EOMONTH(AB$5,0)),"◆","")))</x:f>
      </x:c>
      <x:c r="AC32" s="57" t="str">
        <x:f>IF('制度詳細'!$H$32="",IF('制度詳細'!$J$32="","",IF(AND('制度詳細'!$J$32&gt;=AC$5,'制度詳細'!$J$32&lt;=EOMONTH(AC$5,0)),"◆","")),IF(MAX('制度詳細'!$H$32,AC$5)&lt;=MIN(IF('制度詳細'!$I$32="",EOMONTH(AC$5,0),'制度詳細'!$I$32),EOMONTH(AC$5,0)),"■",IF(AND('制度詳細'!$J$32&lt;&gt;"",'制度詳細'!$J$32&gt;=AC$5,'制度詳細'!$J$32&lt;=EOMONTH(AC$5,0)),"◆","")))</x:f>
      </x:c>
      <x:c r="AD32" s="57" t="str">
        <x:f>IF('制度詳細'!$H$32="",IF('制度詳細'!$J$32="","",IF(AND('制度詳細'!$J$32&gt;=AD$5,'制度詳細'!$J$32&lt;=EOMONTH(AD$5,0)),"◆","")),IF(MAX('制度詳細'!$H$32,AD$5)&lt;=MIN(IF('制度詳細'!$I$32="",EOMONTH(AD$5,0),'制度詳細'!$I$32),EOMONTH(AD$5,0)),"■",IF(AND('制度詳細'!$J$32&lt;&gt;"",'制度詳細'!$J$32&gt;=AD$5,'制度詳細'!$J$32&lt;=EOMONTH(AD$5,0)),"◆","")))</x:f>
      </x:c>
      <x:c r="AE32" s="57" t="str">
        <x:f>IF('制度詳細'!$H$32="",IF('制度詳細'!$J$32="","",IF(AND('制度詳細'!$J$32&gt;=AE$5,'制度詳細'!$J$32&lt;=EOMONTH(AE$5,0)),"◆","")),IF(MAX('制度詳細'!$H$32,AE$5)&lt;=MIN(IF('制度詳細'!$I$32="",EOMONTH(AE$5,0),'制度詳細'!$I$32),EOMONTH(AE$5,0)),"■",IF(AND('制度詳細'!$J$32&lt;&gt;"",'制度詳細'!$J$32&gt;=AE$5,'制度詳細'!$J$32&lt;=EOMONTH(AE$5,0)),"◆","")))</x:f>
        <x:v>■</x:v>
      </x:c>
      <x:c r="AF32" s="57" t="str">
        <x:f>IF('制度詳細'!$H$32="",IF('制度詳細'!$J$32="","",IF(AND('制度詳細'!$J$32&gt;=AF$5,'制度詳細'!$J$32&lt;=EOMONTH(AF$5,0)),"◆","")),IF(MAX('制度詳細'!$H$32,AF$5)&lt;=MIN(IF('制度詳細'!$I$32="",EOMONTH(AF$5,0),'制度詳細'!$I$32),EOMONTH(AF$5,0)),"■",IF(AND('制度詳細'!$J$32&lt;&gt;"",'制度詳細'!$J$32&gt;=AF$5,'制度詳細'!$J$32&lt;=EOMONTH(AF$5,0)),"◆","")))</x:f>
        <x:v>■</x:v>
      </x:c>
      <x:c r="AG32" s="57" t="str">
        <x:f>IF('制度詳細'!$H$32="",IF('制度詳細'!$J$32="","",IF(AND('制度詳細'!$J$32&gt;=AG$5,'制度詳細'!$J$32&lt;=EOMONTH(AG$5,0)),"◆","")),IF(MAX('制度詳細'!$H$32,AG$5)&lt;=MIN(IF('制度詳細'!$I$32="",EOMONTH(AG$5,0),'制度詳細'!$I$32),EOMONTH(AG$5,0)),"■",IF(AND('制度詳細'!$J$32&lt;&gt;"",'制度詳細'!$J$32&gt;=AG$5,'制度詳細'!$J$32&lt;=EOMONTH(AG$5,0)),"◆","")))</x:f>
        <x:v>■</x:v>
      </x:c>
      <x:c r="AH32" s="57" t="str">
        <x:f>IF('制度詳細'!$H$32="",IF('制度詳細'!$J$32="","",IF(AND('制度詳細'!$J$32&gt;=AH$5,'制度詳細'!$J$32&lt;=EOMONTH(AH$5,0)),"◆","")),IF(MAX('制度詳細'!$H$32,AH$5)&lt;=MIN(IF('制度詳細'!$I$32="",EOMONTH(AH$5,0),'制度詳細'!$I$32),EOMONTH(AH$5,0)),"■",IF(AND('制度詳細'!$J$32&lt;&gt;"",'制度詳細'!$J$32&gt;=AH$5,'制度詳細'!$J$32&lt;=EOMONTH(AH$5,0)),"◆","")))</x:f>
        <x:v>■</x:v>
      </x:c>
      <x:c r="AI32" s="57" t="str">
        <x:f>IF('制度詳細'!$H$32="",IF('制度詳細'!$J$32="","",IF(AND('制度詳細'!$J$32&gt;=AI$5,'制度詳細'!$J$32&lt;=EOMONTH(AI$5,0)),"◆","")),IF(MAX('制度詳細'!$H$32,AI$5)&lt;=MIN(IF('制度詳細'!$I$32="",EOMONTH(AI$5,0),'制度詳細'!$I$32),EOMONTH(AI$5,0)),"■",IF(AND('制度詳細'!$J$32&lt;&gt;"",'制度詳細'!$J$32&gt;=AI$5,'制度詳細'!$J$32&lt;=EOMONTH(AI$5,0)),"◆","")))</x:f>
        <x:v>■</x:v>
      </x:c>
      <x:c r="AJ32" s="57" t="str">
        <x:f>IF('制度詳細'!$H$32="",IF('制度詳細'!$J$32="","",IF(AND('制度詳細'!$J$32&gt;=AJ$5,'制度詳細'!$J$32&lt;=EOMONTH(AJ$5,0)),"◆","")),IF(MAX('制度詳細'!$H$32,AJ$5)&lt;=MIN(IF('制度詳細'!$I$32="",EOMONTH(AJ$5,0),'制度詳細'!$I$32),EOMONTH(AJ$5,0)),"■",IF(AND('制度詳細'!$J$32&lt;&gt;"",'制度詳細'!$J$32&gt;=AJ$5,'制度詳細'!$J$32&lt;=EOMONTH(AJ$5,0)),"◆","")))</x:f>
        <x:v>■</x:v>
      </x:c>
      <x:c r="AK32" s="57" t="str">
        <x:f>IF('制度詳細'!$H$32="",IF('制度詳細'!$J$32="","",IF(AND('制度詳細'!$J$32&gt;=AK$5,'制度詳細'!$J$32&lt;=EOMONTH(AK$5,0)),"◆","")),IF(MAX('制度詳細'!$H$32,AK$5)&lt;=MIN(IF('制度詳細'!$I$32="",EOMONTH(AK$5,0),'制度詳細'!$I$32),EOMONTH(AK$5,0)),"■",IF(AND('制度詳細'!$J$32&lt;&gt;"",'制度詳細'!$J$32&gt;=AK$5,'制度詳細'!$J$32&lt;=EOMONTH(AK$5,0)),"◆","")))</x:f>
        <x:v>■</x:v>
      </x:c>
      <x:c r="AL32" s="57" t="str">
        <x:f>IF('制度詳細'!$H$32="",IF('制度詳細'!$J$32="","",IF(AND('制度詳細'!$J$32&gt;=AL$5,'制度詳細'!$J$32&lt;=EOMONTH(AL$5,0)),"◆","")),IF(MAX('制度詳細'!$H$32,AL$5)&lt;=MIN(IF('制度詳細'!$I$32="",EOMONTH(AL$5,0),'制度詳細'!$I$32),EOMONTH(AL$5,0)),"■",IF(AND('制度詳細'!$J$32&lt;&gt;"",'制度詳細'!$J$32&gt;=AL$5,'制度詳細'!$J$32&lt;=EOMONTH(AL$5,0)),"◆","")))</x:f>
        <x:v>■</x:v>
      </x:c>
      <x:c r="AM32" s="57" t="str">
        <x:f>IF('制度詳細'!$H$32="",IF('制度詳細'!$J$32="","",IF(AND('制度詳細'!$J$32&gt;=AM$5,'制度詳細'!$J$32&lt;=EOMONTH(AM$5,0)),"◆","")),IF(MAX('制度詳細'!$H$32,AM$5)&lt;=MIN(IF('制度詳細'!$I$32="",EOMONTH(AM$5,0),'制度詳細'!$I$32),EOMONTH(AM$5,0)),"■",IF(AND('制度詳細'!$J$32&lt;&gt;"",'制度詳細'!$J$32&gt;=AM$5,'制度詳細'!$J$32&lt;=EOMONTH(AM$5,0)),"◆","")))</x:f>
        <x:v>■</x:v>
      </x:c>
      <x:c r="AN32" s="57" t="str">
        <x:f>IF('制度詳細'!$H$32="",IF('制度詳細'!$J$32="","",IF(AND('制度詳細'!$J$32&gt;=AN$5,'制度詳細'!$J$32&lt;=EOMONTH(AN$5,0)),"◆","")),IF(MAX('制度詳細'!$H$32,AN$5)&lt;=MIN(IF('制度詳細'!$I$32="",EOMONTH(AN$5,0),'制度詳細'!$I$32),EOMONTH(AN$5,0)),"■",IF(AND('制度詳細'!$J$32&lt;&gt;"",'制度詳細'!$J$32&gt;=AN$5,'制度詳細'!$J$32&lt;=EOMONTH(AN$5,0)),"◆","")))</x:f>
        <x:v>■</x:v>
      </x:c>
      <x:c r="AO32" s="57" t="str">
        <x:f>IF('制度詳細'!$H$32="",IF('制度詳細'!$J$32="","",IF(AND('制度詳細'!$J$32&gt;=AO$5,'制度詳細'!$J$32&lt;=EOMONTH(AO$5,0)),"◆","")),IF(MAX('制度詳細'!$H$32,AO$5)&lt;=MIN(IF('制度詳細'!$I$32="",EOMONTH(AO$5,0),'制度詳細'!$I$32),EOMONTH(AO$5,0)),"■",IF(AND('制度詳細'!$J$32&lt;&gt;"",'制度詳細'!$J$32&gt;=AO$5,'制度詳細'!$J$32&lt;=EOMONTH(AO$5,0)),"◆","")))</x:f>
        <x:v>■</x:v>
      </x:c>
      <x:c r="AP32" s="57" t="str">
        <x:f>IF('制度詳細'!$H$32="",IF('制度詳細'!$J$32="","",IF(AND('制度詳細'!$J$32&gt;=AP$5,'制度詳細'!$J$32&lt;=EOMONTH(AP$5,0)),"◆","")),IF(MAX('制度詳細'!$H$32,AP$5)&lt;=MIN(IF('制度詳細'!$I$32="",EOMONTH(AP$5,0),'制度詳細'!$I$32),EOMONTH(AP$5,0)),"■",IF(AND('制度詳細'!$J$32&lt;&gt;"",'制度詳細'!$J$32&gt;=AP$5,'制度詳細'!$J$32&lt;=EOMONTH(AP$5,0)),"◆","")))</x:f>
        <x:v>■</x:v>
      </x:c>
      <x:c r="AQ32" s="57" t="str">
        <x:f>IF('制度詳細'!$H$32="",IF('制度詳細'!$J$32="","",IF(AND('制度詳細'!$J$32&gt;=AQ$5,'制度詳細'!$J$32&lt;=EOMONTH(AQ$5,0)),"◆","")),IF(MAX('制度詳細'!$H$32,AQ$5)&lt;=MIN(IF('制度詳細'!$I$32="",EOMONTH(AQ$5,0),'制度詳細'!$I$32),EOMONTH(AQ$5,0)),"■",IF(AND('制度詳細'!$J$32&lt;&gt;"",'制度詳細'!$J$32&gt;=AQ$5,'制度詳細'!$J$32&lt;=EOMONTH(AQ$5,0)),"◆","")))</x:f>
        <x:v>■</x:v>
      </x:c>
      <x:c r="AR32" s="57" t="str">
        <x:f>IF('制度詳細'!$H$32="",IF('制度詳細'!$J$32="","",IF(AND('制度詳細'!$J$32&gt;=AR$5,'制度詳細'!$J$32&lt;=EOMONTH(AR$5,0)),"◆","")),IF(MAX('制度詳細'!$H$32,AR$5)&lt;=MIN(IF('制度詳細'!$I$32="",EOMONTH(AR$5,0),'制度詳細'!$I$32),EOMONTH(AR$5,0)),"■",IF(AND('制度詳細'!$J$32&lt;&gt;"",'制度詳細'!$J$32&gt;=AR$5,'制度詳細'!$J$32&lt;=EOMONTH(AR$5,0)),"◆","")))</x:f>
        <x:v>■</x:v>
      </x:c>
      <x:c r="AS32" s="57" t="str">
        <x:f>IF('制度詳細'!$H$32="",IF('制度詳細'!$J$32="","",IF(AND('制度詳細'!$J$32&gt;=AS$5,'制度詳細'!$J$32&lt;=EOMONTH(AS$5,0)),"◆","")),IF(MAX('制度詳細'!$H$32,AS$5)&lt;=MIN(IF('制度詳細'!$I$32="",EOMONTH(AS$5,0),'制度詳細'!$I$32),EOMONTH(AS$5,0)),"■",IF(AND('制度詳細'!$J$32&lt;&gt;"",'制度詳細'!$J$32&gt;=AS$5,'制度詳細'!$J$32&lt;=EOMONTH(AS$5,0)),"◆","")))</x:f>
        <x:v>■</x:v>
      </x:c>
      <x:c r="AT32" s="57" t="str">
        <x:f>IF('制度詳細'!$H$32="",IF('制度詳細'!$J$32="","",IF(AND('制度詳細'!$J$32&gt;=AT$5,'制度詳細'!$J$32&lt;=EOMONTH(AT$5,0)),"◆","")),IF(MAX('制度詳細'!$H$32,AT$5)&lt;=MIN(IF('制度詳細'!$I$32="",EOMONTH(AT$5,0),'制度詳細'!$I$32),EOMONTH(AT$5,0)),"■",IF(AND('制度詳細'!$J$32&lt;&gt;"",'制度詳細'!$J$32&gt;=AT$5,'制度詳細'!$J$32&lt;=EOMONTH(AT$5,0)),"◆","")))</x:f>
        <x:v>■</x:v>
      </x:c>
      <x:c r="AU32" s="57" t="str">
        <x:f>IF('制度詳細'!$H$32="",IF('制度詳細'!$J$32="","",IF(AND('制度詳細'!$J$32&gt;=AU$5,'制度詳細'!$J$32&lt;=EOMONTH(AU$5,0)),"◆","")),IF(MAX('制度詳細'!$H$32,AU$5)&lt;=MIN(IF('制度詳細'!$I$32="",EOMONTH(AU$5,0),'制度詳細'!$I$32),EOMONTH(AU$5,0)),"■",IF(AND('制度詳細'!$J$32&lt;&gt;"",'制度詳細'!$J$32&gt;=AU$5,'制度詳細'!$J$32&lt;=EOMONTH(AU$5,0)),"◆","")))</x:f>
        <x:v>■</x:v>
      </x:c>
      <x:c r="AV32" s="57" t="str">
        <x:f>IF('制度詳細'!$H$32="",IF('制度詳細'!$J$32="","",IF(AND('制度詳細'!$J$32&gt;=AV$5,'制度詳細'!$J$32&lt;=EOMONTH(AV$5,0)),"◆","")),IF(MAX('制度詳細'!$H$32,AV$5)&lt;=MIN(IF('制度詳細'!$I$32="",EOMONTH(AV$5,0),'制度詳細'!$I$32),EOMONTH(AV$5,0)),"■",IF(AND('制度詳細'!$J$32&lt;&gt;"",'制度詳細'!$J$32&gt;=AV$5,'制度詳細'!$J$32&lt;=EOMONTH(AV$5,0)),"◆","")))</x:f>
        <x:v>■</x:v>
      </x:c>
      <x:c r="AW32" s="57" t="str">
        <x:f>IF('制度詳細'!$H$32="",IF('制度詳細'!$J$32="","",IF(AND('制度詳細'!$J$32&gt;=AW$5,'制度詳細'!$J$32&lt;=EOMONTH(AW$5,0)),"◆","")),IF(MAX('制度詳細'!$H$32,AW$5)&lt;=MIN(IF('制度詳細'!$I$32="",EOMONTH(AW$5,0),'制度詳細'!$I$32),EOMONTH(AW$5,0)),"■",IF(AND('制度詳細'!$J$32&lt;&gt;"",'制度詳細'!$J$32&gt;=AW$5,'制度詳細'!$J$32&lt;=EOMONTH(AW$5,0)),"◆","")))</x:f>
        <x:v>■</x:v>
      </x:c>
      <x:c r="AX32" s="57" t="str">
        <x:f>IF('制度詳細'!$H$32="",IF('制度詳細'!$J$32="","",IF(AND('制度詳細'!$J$32&gt;=AX$5,'制度詳細'!$J$32&lt;=EOMONTH(AX$5,0)),"◆","")),IF(MAX('制度詳細'!$H$32,AX$5)&lt;=MIN(IF('制度詳細'!$I$32="",EOMONTH(AX$5,0),'制度詳細'!$I$32),EOMONTH(AX$5,0)),"■",IF(AND('制度詳細'!$J$32&lt;&gt;"",'制度詳細'!$J$32&gt;=AX$5,'制度詳細'!$J$32&lt;=EOMONTH(AX$5,0)),"◆","")))</x:f>
        <x:v>■</x:v>
      </x:c>
      <x:c r="AY32" s="57" t="str">
        <x:f>IF('制度詳細'!$H$32="",IF('制度詳細'!$J$32="","",IF(AND('制度詳細'!$J$32&gt;=AY$5,'制度詳細'!$J$32&lt;=EOMONTH(AY$5,0)),"◆","")),IF(MAX('制度詳細'!$H$32,AY$5)&lt;=MIN(IF('制度詳細'!$I$32="",EOMONTH(AY$5,0),'制度詳細'!$I$32),EOMONTH(AY$5,0)),"■",IF(AND('制度詳細'!$J$32&lt;&gt;"",'制度詳細'!$J$32&gt;=AY$5,'制度詳細'!$J$32&lt;=EOMONTH(AY$5,0)),"◆","")))</x:f>
        <x:v>■</x:v>
      </x:c>
      <x:c r="AZ32" s="57" t="str">
        <x:f>IF('制度詳細'!$H$32="",IF('制度詳細'!$J$32="","",IF(AND('制度詳細'!$J$32&gt;=AZ$5,'制度詳細'!$J$32&lt;=EOMONTH(AZ$5,0)),"◆","")),IF(MAX('制度詳細'!$H$32,AZ$5)&lt;=MIN(IF('制度詳細'!$I$32="",EOMONTH(AZ$5,0),'制度詳細'!$I$32),EOMONTH(AZ$5,0)),"■",IF(AND('制度詳細'!$J$32&lt;&gt;"",'制度詳細'!$J$32&gt;=AZ$5,'制度詳細'!$J$32&lt;=EOMONTH(AZ$5,0)),"◆","")))</x:f>
        <x:v>■</x:v>
      </x:c>
      <x:c r="BA32" s="57" t="str">
        <x:f>IF('制度詳細'!$H$32="",IF('制度詳細'!$J$32="","",IF(AND('制度詳細'!$J$32&gt;=BA$5,'制度詳細'!$J$32&lt;=EOMONTH(BA$5,0)),"◆","")),IF(MAX('制度詳細'!$H$32,BA$5)&lt;=MIN(IF('制度詳細'!$I$32="",EOMONTH(BA$5,0),'制度詳細'!$I$32),EOMONTH(BA$5,0)),"■",IF(AND('制度詳細'!$J$32&lt;&gt;"",'制度詳細'!$J$32&gt;=BA$5,'制度詳細'!$J$32&lt;=EOMONTH(BA$5,0)),"◆","")))</x:f>
        <x:v>■</x:v>
      </x:c>
      <x:c r="BB32" s="57" t="str">
        <x:f>IF('制度詳細'!$H$32="",IF('制度詳細'!$J$32="","",IF(AND('制度詳細'!$J$32&gt;=BB$5,'制度詳細'!$J$32&lt;=EOMONTH(BB$5,0)),"◆","")),IF(MAX('制度詳細'!$H$32,BB$5)&lt;=MIN(IF('制度詳細'!$I$32="",EOMONTH(BB$5,0),'制度詳細'!$I$32),EOMONTH(BB$5,0)),"■",IF(AND('制度詳細'!$J$32&lt;&gt;"",'制度詳細'!$J$32&gt;=BB$5,'制度詳細'!$J$32&lt;=EOMONTH(BB$5,0)),"◆","")))</x:f>
        <x:v>■</x:v>
      </x:c>
      <x:c r="BC32" s="57" t="str">
        <x:f>IF('制度詳細'!$H$32="",IF('制度詳細'!$J$32="","",IF(AND('制度詳細'!$J$32&gt;=BC$5,'制度詳細'!$J$32&lt;=EOMONTH(BC$5,0)),"◆","")),IF(MAX('制度詳細'!$H$32,BC$5)&lt;=MIN(IF('制度詳細'!$I$32="",EOMONTH(BC$5,0),'制度詳細'!$I$32),EOMONTH(BC$5,0)),"■",IF(AND('制度詳細'!$J$32&lt;&gt;"",'制度詳細'!$J$32&gt;=BC$5,'制度詳細'!$J$32&lt;=EOMONTH(BC$5,0)),"◆","")))</x:f>
        <x:v>■</x:v>
      </x:c>
      <x:c r="BD32" s="57" t="str">
        <x:f>IF('制度詳細'!$H$32="",IF('制度詳細'!$J$32="","",IF(AND('制度詳細'!$J$32&gt;=BD$5,'制度詳細'!$J$32&lt;=EOMONTH(BD$5,0)),"◆","")),IF(MAX('制度詳細'!$H$32,BD$5)&lt;=MIN(IF('制度詳細'!$I$32="",EOMONTH(BD$5,0),'制度詳細'!$I$32),EOMONTH(BD$5,0)),"■",IF(AND('制度詳細'!$J$32&lt;&gt;"",'制度詳細'!$J$32&gt;=BD$5,'制度詳細'!$J$32&lt;=EOMONTH(BD$5,0)),"◆","")))</x:f>
        <x:v>■</x:v>
      </x:c>
      <x:c r="BE32" s="57" t="str">
        <x:f>IF('制度詳細'!$H$32="",IF('制度詳細'!$J$32="","",IF(AND('制度詳細'!$J$32&gt;=BE$5,'制度詳細'!$J$32&lt;=EOMONTH(BE$5,0)),"◆","")),IF(MAX('制度詳細'!$H$32,BE$5)&lt;=MIN(IF('制度詳細'!$I$32="",EOMONTH(BE$5,0),'制度詳細'!$I$32),EOMONTH(BE$5,0)),"■",IF(AND('制度詳細'!$J$32&lt;&gt;"",'制度詳細'!$J$32&gt;=BE$5,'制度詳細'!$J$32&lt;=EOMONTH(BE$5,0)),"◆","")))</x:f>
        <x:v>■</x:v>
      </x:c>
      <x:c r="BF32" s="57" t="str">
        <x:f>IF('制度詳細'!$H$32="",IF('制度詳細'!$J$32="","",IF(AND('制度詳細'!$J$32&gt;=BF$5,'制度詳細'!$J$32&lt;=EOMONTH(BF$5,0)),"◆","")),IF(MAX('制度詳細'!$H$32,BF$5)&lt;=MIN(IF('制度詳細'!$I$32="",EOMONTH(BF$5,0),'制度詳細'!$I$32),EOMONTH(BF$5,0)),"■",IF(AND('制度詳細'!$J$32&lt;&gt;"",'制度詳細'!$J$32&gt;=BF$5,'制度詳細'!$J$32&lt;=EOMONTH(BF$5,0)),"◆","")))</x:f>
        <x:v>■</x:v>
      </x:c>
      <x:c r="BG32" s="57" t="str">
        <x:f>IF('制度詳細'!$H$32="",IF('制度詳細'!$J$32="","",IF(AND('制度詳細'!$J$32&gt;=BG$5,'制度詳細'!$J$32&lt;=EOMONTH(BG$5,0)),"◆","")),IF(MAX('制度詳細'!$H$32,BG$5)&lt;=MIN(IF('制度詳細'!$I$32="",EOMONTH(BG$5,0),'制度詳細'!$I$32),EOMONTH(BG$5,0)),"■",IF(AND('制度詳細'!$J$32&lt;&gt;"",'制度詳細'!$J$32&gt;=BG$5,'制度詳細'!$J$32&lt;=EOMONTH(BG$5,0)),"◆","")))</x:f>
        <x:v>■</x:v>
      </x:c>
      <x:c r="BH32" s="57" t="str">
        <x:f>IF('制度詳細'!$H$32="",IF('制度詳細'!$J$32="","",IF(AND('制度詳細'!$J$32&gt;=BH$5,'制度詳細'!$J$32&lt;=EOMONTH(BH$5,0)),"◆","")),IF(MAX('制度詳細'!$H$32,BH$5)&lt;=MIN(IF('制度詳細'!$I$32="",EOMONTH(BH$5,0),'制度詳細'!$I$32),EOMONTH(BH$5,0)),"■",IF(AND('制度詳細'!$J$32&lt;&gt;"",'制度詳細'!$J$32&gt;=BH$5,'制度詳細'!$J$32&lt;=EOMONTH(BH$5,0)),"◆","")))</x:f>
        <x:v>■</x:v>
      </x:c>
      <x:c r="BI32" s="57" t="str">
        <x:f>IF('制度詳細'!$H$32="",IF('制度詳細'!$J$32="","",IF(AND('制度詳細'!$J$32&gt;=BI$5,'制度詳細'!$J$32&lt;=EOMONTH(BI$5,0)),"◆","")),IF(MAX('制度詳細'!$H$32,BI$5)&lt;=MIN(IF('制度詳細'!$I$32="",EOMONTH(BI$5,0),'制度詳細'!$I$32),EOMONTH(BI$5,0)),"■",IF(AND('制度詳細'!$J$32&lt;&gt;"",'制度詳細'!$J$32&gt;=BI$5,'制度詳細'!$J$32&lt;=EOMONTH(BI$5,0)),"◆","")))</x:f>
        <x:v>■</x:v>
      </x:c>
      <x:c r="BJ32" s="57" t="str">
        <x:f>IF('制度詳細'!$H$32="",IF('制度詳細'!$J$32="","",IF(AND('制度詳細'!$J$32&gt;=BJ$5,'制度詳細'!$J$32&lt;=EOMONTH(BJ$5,0)),"◆","")),IF(MAX('制度詳細'!$H$32,BJ$5)&lt;=MIN(IF('制度詳細'!$I$32="",EOMONTH(BJ$5,0),'制度詳細'!$I$32),EOMONTH(BJ$5,0)),"■",IF(AND('制度詳細'!$J$32&lt;&gt;"",'制度詳細'!$J$32&gt;=BJ$5,'制度詳細'!$J$32&lt;=EOMONTH(BJ$5,0)),"◆","")))</x:f>
        <x:v>■</x:v>
      </x:c>
      <x:c r="BK32" s="57" t="str">
        <x:f>IF('制度詳細'!$H$32="",IF('制度詳細'!$J$32="","",IF(AND('制度詳細'!$J$32&gt;=BK$5,'制度詳細'!$J$32&lt;=EOMONTH(BK$5,0)),"◆","")),IF(MAX('制度詳細'!$H$32,BK$5)&lt;=MIN(IF('制度詳細'!$I$32="",EOMONTH(BK$5,0),'制度詳細'!$I$32),EOMONTH(BK$5,0)),"■",IF(AND('制度詳細'!$J$32&lt;&gt;"",'制度詳細'!$J$32&gt;=BK$5,'制度詳細'!$J$32&lt;=EOMONTH(BK$5,0)),"◆","")))</x:f>
        <x:v>■</x:v>
      </x:c>
      <x:c r="BL32" s="57" t="str">
        <x:f>IF('制度詳細'!$H$32="",IF('制度詳細'!$J$32="","",IF(AND('制度詳細'!$J$32&gt;=BL$5,'制度詳細'!$J$32&lt;=EOMONTH(BL$5,0)),"◆","")),IF(MAX('制度詳細'!$H$32,BL$5)&lt;=MIN(IF('制度詳細'!$I$32="",EOMONTH(BL$5,0),'制度詳細'!$I$32),EOMONTH(BL$5,0)),"■",IF(AND('制度詳細'!$J$32&lt;&gt;"",'制度詳細'!$J$32&gt;=BL$5,'制度詳細'!$J$32&lt;=EOMONTH(BL$5,0)),"◆","")))</x:f>
        <x:v>■</x:v>
      </x:c>
      <x:c r="BM32" s="57" t="str">
        <x:f>IF('制度詳細'!$H$32="",IF('制度詳細'!$J$32="","",IF(AND('制度詳細'!$J$32&gt;=BM$5,'制度詳細'!$J$32&lt;=EOMONTH(BM$5,0)),"◆","")),IF(MAX('制度詳細'!$H$32,BM$5)&lt;=MIN(IF('制度詳細'!$I$32="",EOMONTH(BM$5,0),'制度詳細'!$I$32),EOMONTH(BM$5,0)),"■",IF(AND('制度詳細'!$J$32&lt;&gt;"",'制度詳細'!$J$32&gt;=BM$5,'制度詳細'!$J$32&lt;=EOMONTH(BM$5,0)),"◆","")))</x:f>
        <x:v>■</x:v>
      </x:c>
      <x:c r="BN32" s="57" t="str">
        <x:f>IF('制度詳細'!$H$32="",IF('制度詳細'!$J$32="","",IF(AND('制度詳細'!$J$32&gt;=BN$5,'制度詳細'!$J$32&lt;=EOMONTH(BN$5,0)),"◆","")),IF(MAX('制度詳細'!$H$32,BN$5)&lt;=MIN(IF('制度詳細'!$I$32="",EOMONTH(BN$5,0),'制度詳細'!$I$32),EOMONTH(BN$5,0)),"■",IF(AND('制度詳細'!$J$32&lt;&gt;"",'制度詳細'!$J$32&gt;=BN$5,'制度詳細'!$J$32&lt;=EOMONTH(BN$5,0)),"◆","")))</x:f>
        <x:v>■</x:v>
      </x:c>
      <x:c r="BO32" s="57" t="str">
        <x:f>IF('制度詳細'!$H$32="",IF('制度詳細'!$J$32="","",IF(AND('制度詳細'!$J$32&gt;=BO$5,'制度詳細'!$J$32&lt;=EOMONTH(BO$5,0)),"◆","")),IF(MAX('制度詳細'!$H$32,BO$5)&lt;=MIN(IF('制度詳細'!$I$32="",EOMONTH(BO$5,0),'制度詳細'!$I$32),EOMONTH(BO$5,0)),"■",IF(AND('制度詳細'!$J$32&lt;&gt;"",'制度詳細'!$J$32&gt;=BO$5,'制度詳細'!$J$32&lt;=EOMONTH(BO$5,0)),"◆","")))</x:f>
        <x:v>■</x:v>
      </x:c>
      <x:c r="BP32" s="57" t="str">
        <x:f>IF('制度詳細'!$H$32="",IF('制度詳細'!$J$32="","",IF(AND('制度詳細'!$J$32&gt;=BP$5,'制度詳細'!$J$32&lt;=EOMONTH(BP$5,0)),"◆","")),IF(MAX('制度詳細'!$H$32,BP$5)&lt;=MIN(IF('制度詳細'!$I$32="",EOMONTH(BP$5,0),'制度詳細'!$I$32),EOMONTH(BP$5,0)),"■",IF(AND('制度詳細'!$J$32&lt;&gt;"",'制度詳細'!$J$32&gt;=BP$5,'制度詳細'!$J$32&lt;=EOMONTH(BP$5,0)),"◆","")))</x:f>
        <x:v>■</x:v>
      </x:c>
      <x:c r="BQ32" s="57" t="str">
        <x:f>IF('制度詳細'!$H$32="",IF('制度詳細'!$J$32="","",IF(AND('制度詳細'!$J$32&gt;=BQ$5,'制度詳細'!$J$32&lt;=EOMONTH(BQ$5,0)),"◆","")),IF(MAX('制度詳細'!$H$32,BQ$5)&lt;=MIN(IF('制度詳細'!$I$32="",EOMONTH(BQ$5,0),'制度詳細'!$I$32),EOMONTH(BQ$5,0)),"■",IF(AND('制度詳細'!$J$32&lt;&gt;"",'制度詳細'!$J$32&gt;=BQ$5,'制度詳細'!$J$32&lt;=EOMONTH(BQ$5,0)),"◆","")))</x:f>
        <x:v>■</x:v>
      </x:c>
      <x:c r="BR32" s="57" t="str">
        <x:f>IF('制度詳細'!$H$32="",IF('制度詳細'!$J$32="","",IF(AND('制度詳細'!$J$32&gt;=BR$5,'制度詳細'!$J$32&lt;=EOMONTH(BR$5,0)),"◆","")),IF(MAX('制度詳細'!$H$32,BR$5)&lt;=MIN(IF('制度詳細'!$I$32="",EOMONTH(BR$5,0),'制度詳細'!$I$32),EOMONTH(BR$5,0)),"■",IF(AND('制度詳細'!$J$32&lt;&gt;"",'制度詳細'!$J$32&gt;=BR$5,'制度詳細'!$J$32&lt;=EOMONTH(BR$5,0)),"◆","")))</x:f>
        <x:v>■</x:v>
      </x:c>
      <x:c r="BS32" s="57" t="str">
        <x:f>IF('制度詳細'!$H$32="",IF('制度詳細'!$J$32="","",IF(AND('制度詳細'!$J$32&gt;=BS$5,'制度詳細'!$J$32&lt;=EOMONTH(BS$5,0)),"◆","")),IF(MAX('制度詳細'!$H$32,BS$5)&lt;=MIN(IF('制度詳細'!$I$32="",EOMONTH(BS$5,0),'制度詳細'!$I$32),EOMONTH(BS$5,0)),"■",IF(AND('制度詳細'!$J$32&lt;&gt;"",'制度詳細'!$J$32&gt;=BS$5,'制度詳細'!$J$32&lt;=EOMONTH(BS$5,0)),"◆","")))</x:f>
        <x:v>■</x:v>
      </x:c>
      <x:c r="BT32" s="57" t="str">
        <x:f>IF('制度詳細'!$H$32="",IF('制度詳細'!$J$32="","",IF(AND('制度詳細'!$J$32&gt;=BT$5,'制度詳細'!$J$32&lt;=EOMONTH(BT$5,0)),"◆","")),IF(MAX('制度詳細'!$H$32,BT$5)&lt;=MIN(IF('制度詳細'!$I$32="",EOMONTH(BT$5,0),'制度詳細'!$I$32),EOMONTH(BT$5,0)),"■",IF(AND('制度詳細'!$J$32&lt;&gt;"",'制度詳細'!$J$32&gt;=BT$5,'制度詳細'!$J$32&lt;=EOMONTH(BT$5,0)),"◆","")))</x:f>
        <x:v>■</x:v>
      </x:c>
      <x:c r="BU32" s="57" t="str">
        <x:f>IF('制度詳細'!$H$32="",IF('制度詳細'!$J$32="","",IF(AND('制度詳細'!$J$32&gt;=BU$5,'制度詳細'!$J$32&lt;=EOMONTH(BU$5,0)),"◆","")),IF(MAX('制度詳細'!$H$32,BU$5)&lt;=MIN(IF('制度詳細'!$I$32="",EOMONTH(BU$5,0),'制度詳細'!$I$32),EOMONTH(BU$5,0)),"■",IF(AND('制度詳細'!$J$32&lt;&gt;"",'制度詳細'!$J$32&gt;=BU$5,'制度詳細'!$J$32&lt;=EOMONTH(BU$5,0)),"◆","")))</x:f>
        <x:v>■</x:v>
      </x:c>
      <x:c r="BV32" s="57" t="str">
        <x:f>IF('制度詳細'!$H$32="",IF('制度詳細'!$J$32="","",IF(AND('制度詳細'!$J$32&gt;=BV$5,'制度詳細'!$J$32&lt;=EOMONTH(BV$5,0)),"◆","")),IF(MAX('制度詳細'!$H$32,BV$5)&lt;=MIN(IF('制度詳細'!$I$32="",EOMONTH(BV$5,0),'制度詳細'!$I$32),EOMONTH(BV$5,0)),"■",IF(AND('制度詳細'!$J$32&lt;&gt;"",'制度詳細'!$J$32&gt;=BV$5,'制度詳細'!$J$32&lt;=EOMONTH(BV$5,0)),"◆","")))</x:f>
        <x:v>■</x:v>
      </x:c>
      <x:c r="BW32" s="57" t="str">
        <x:f>IF('制度詳細'!$H$32="",IF('制度詳細'!$J$32="","",IF(AND('制度詳細'!$J$32&gt;=BW$5,'制度詳細'!$J$32&lt;=EOMONTH(BW$5,0)),"◆","")),IF(MAX('制度詳細'!$H$32,BW$5)&lt;=MIN(IF('制度詳細'!$I$32="",EOMONTH(BW$5,0),'制度詳細'!$I$32),EOMONTH(BW$5,0)),"■",IF(AND('制度詳細'!$J$32&lt;&gt;"",'制度詳細'!$J$32&gt;=BW$5,'制度詳細'!$J$32&lt;=EOMONTH(BW$5,0)),"◆","")))</x:f>
        <x:v>■</x:v>
      </x:c>
      <x:c r="BX32" s="57" t="str">
        <x:f>IF('制度詳細'!$H$32="",IF('制度詳細'!$J$32="","",IF(AND('制度詳細'!$J$32&gt;=BX$5,'制度詳細'!$J$32&lt;=EOMONTH(BX$5,0)),"◆","")),IF(MAX('制度詳細'!$H$32,BX$5)&lt;=MIN(IF('制度詳細'!$I$32="",EOMONTH(BX$5,0),'制度詳細'!$I$32),EOMONTH(BX$5,0)),"■",IF(AND('制度詳細'!$J$32&lt;&gt;"",'制度詳細'!$J$32&gt;=BX$5,'制度詳細'!$J$32&lt;=EOMONTH(BX$5,0)),"◆","")))</x:f>
        <x:v>■</x:v>
      </x:c>
      <x:c r="BY32" s="57" t="str">
        <x:f>IF('制度詳細'!$H$32="",IF('制度詳細'!$J$32="","",IF(AND('制度詳細'!$J$32&gt;=BY$5,'制度詳細'!$J$32&lt;=EOMONTH(BY$5,0)),"◆","")),IF(MAX('制度詳細'!$H$32,BY$5)&lt;=MIN(IF('制度詳細'!$I$32="",EOMONTH(BY$5,0),'制度詳細'!$I$32),EOMONTH(BY$5,0)),"■",IF(AND('制度詳細'!$J$32&lt;&gt;"",'制度詳細'!$J$32&gt;=BY$5,'制度詳細'!$J$32&lt;=EOMONTH(BY$5,0)),"◆","")))</x:f>
        <x:v>■</x:v>
      </x:c>
      <x:c r="BZ32" s="57" t="str">
        <x:f>IF('制度詳細'!$H$32="",IF('制度詳細'!$J$32="","",IF(AND('制度詳細'!$J$32&gt;=BZ$5,'制度詳細'!$J$32&lt;=EOMONTH(BZ$5,0)),"◆","")),IF(MAX('制度詳細'!$H$32,BZ$5)&lt;=MIN(IF('制度詳細'!$I$32="",EOMONTH(BZ$5,0),'制度詳細'!$I$32),EOMONTH(BZ$5,0)),"■",IF(AND('制度詳細'!$J$32&lt;&gt;"",'制度詳細'!$J$32&gt;=BZ$5,'制度詳細'!$J$32&lt;=EOMONTH(BZ$5,0)),"◆","")))</x:f>
        <x:v>■</x:v>
      </x:c>
      <x:c r="CA32" s="57" t="str">
        <x:f>IF('制度詳細'!$H$32="",IF('制度詳細'!$J$32="","",IF(AND('制度詳細'!$J$32&gt;=CA$5,'制度詳細'!$J$32&lt;=EOMONTH(CA$5,0)),"◆","")),IF(MAX('制度詳細'!$H$32,CA$5)&lt;=MIN(IF('制度詳細'!$I$32="",EOMONTH(CA$5,0),'制度詳細'!$I$32),EOMONTH(CA$5,0)),"■",IF(AND('制度詳細'!$J$32&lt;&gt;"",'制度詳細'!$J$32&gt;=CA$5,'制度詳細'!$J$32&lt;=EOMONTH(CA$5,0)),"◆","")))</x:f>
        <x:v>■</x:v>
      </x:c>
      <x:c r="CB32" s="57" t="str">
        <x:f>IF('制度詳細'!$H$32="",IF('制度詳細'!$J$32="","",IF(AND('制度詳細'!$J$32&gt;=CB$5,'制度詳細'!$J$32&lt;=EOMONTH(CB$5,0)),"◆","")),IF(MAX('制度詳細'!$H$32,CB$5)&lt;=MIN(IF('制度詳細'!$I$32="",EOMONTH(CB$5,0),'制度詳細'!$I$32),EOMONTH(CB$5,0)),"■",IF(AND('制度詳細'!$J$32&lt;&gt;"",'制度詳細'!$J$32&gt;=CB$5,'制度詳細'!$J$32&lt;=EOMONTH(CB$5,0)),"◆","")))</x:f>
        <x:v>■</x:v>
      </x:c>
      <x:c r="CC32" s="57" t="str">
        <x:f>IF('制度詳細'!$H$32="",IF('制度詳細'!$J$32="","",IF(AND('制度詳細'!$J$32&gt;=CC$5,'制度詳細'!$J$32&lt;=EOMONTH(CC$5,0)),"◆","")),IF(MAX('制度詳細'!$H$32,CC$5)&lt;=MIN(IF('制度詳細'!$I$32="",EOMONTH(CC$5,0),'制度詳細'!$I$32),EOMONTH(CC$5,0)),"■",IF(AND('制度詳細'!$J$32&lt;&gt;"",'制度詳細'!$J$32&gt;=CC$5,'制度詳細'!$J$32&lt;=EOMONTH(CC$5,0)),"◆","")))</x:f>
        <x:v>■</x:v>
      </x:c>
      <x:c r="CD32" s="57" t="str">
        <x:f>IF('制度詳細'!$H$32="",IF('制度詳細'!$J$32="","",IF(AND('制度詳細'!$J$32&gt;=CD$5,'制度詳細'!$J$32&lt;=EOMONTH(CD$5,0)),"◆","")),IF(MAX('制度詳細'!$H$32,CD$5)&lt;=MIN(IF('制度詳細'!$I$32="",EOMONTH(CD$5,0),'制度詳細'!$I$32),EOMONTH(CD$5,0)),"■",IF(AND('制度詳細'!$J$32&lt;&gt;"",'制度詳細'!$J$32&gt;=CD$5,'制度詳細'!$J$32&lt;=EOMONTH(CD$5,0)),"◆","")))</x:f>
        <x:v>■</x:v>
      </x:c>
      <x:c r="CE32" s="57" t="str">
        <x:f>IF('制度詳細'!$H$32="",IF('制度詳細'!$J$32="","",IF(AND('制度詳細'!$J$32&gt;=CE$5,'制度詳細'!$J$32&lt;=EOMONTH(CE$5,0)),"◆","")),IF(MAX('制度詳細'!$H$32,CE$5)&lt;=MIN(IF('制度詳細'!$I$32="",EOMONTH(CE$5,0),'制度詳細'!$I$32),EOMONTH(CE$5,0)),"■",IF(AND('制度詳細'!$J$32&lt;&gt;"",'制度詳細'!$J$32&gt;=CE$5,'制度詳細'!$J$32&lt;=EOMONTH(CE$5,0)),"◆","")))</x:f>
        <x:v>■</x:v>
      </x:c>
      <x:c r="CF32" s="57" t="str">
        <x:f>IF('制度詳細'!$H$32="",IF('制度詳細'!$J$32="","",IF(AND('制度詳細'!$J$32&gt;=CF$5,'制度詳細'!$J$32&lt;=EOMONTH(CF$5,0)),"◆","")),IF(MAX('制度詳細'!$H$32,CF$5)&lt;=MIN(IF('制度詳細'!$I$32="",EOMONTH(CF$5,0),'制度詳細'!$I$32),EOMONTH(CF$5,0)),"■",IF(AND('制度詳細'!$J$32&lt;&gt;"",'制度詳細'!$J$32&gt;=CF$5,'制度詳細'!$J$32&lt;=EOMONTH(CF$5,0)),"◆","")))</x:f>
        <x:v>■</x:v>
      </x:c>
      <x:c r="CG32" s="57" t="str">
        <x:f>IF('制度詳細'!$H$32="",IF('制度詳細'!$J$32="","",IF(AND('制度詳細'!$J$32&gt;=CG$5,'制度詳細'!$J$32&lt;=EOMONTH(CG$5,0)),"◆","")),IF(MAX('制度詳細'!$H$32,CG$5)&lt;=MIN(IF('制度詳細'!$I$32="",EOMONTH(CG$5,0),'制度詳細'!$I$32),EOMONTH(CG$5,0)),"■",IF(AND('制度詳細'!$J$32&lt;&gt;"",'制度詳細'!$J$32&gt;=CG$5,'制度詳細'!$J$32&lt;=EOMONTH(CG$5,0)),"◆","")))</x:f>
        <x:v>■</x:v>
      </x:c>
      <x:c r="CH32" s="57" t="str">
        <x:f>IF('制度詳細'!$H$32="",IF('制度詳細'!$J$32="","",IF(AND('制度詳細'!$J$32&gt;=CH$5,'制度詳細'!$J$32&lt;=EOMONTH(CH$5,0)),"◆","")),IF(MAX('制度詳細'!$H$32,CH$5)&lt;=MIN(IF('制度詳細'!$I$32="",EOMONTH(CH$5,0),'制度詳細'!$I$32),EOMONTH(CH$5,0)),"■",IF(AND('制度詳細'!$J$32&lt;&gt;"",'制度詳細'!$J$32&gt;=CH$5,'制度詳細'!$J$32&lt;=EOMONTH(CH$5,0)),"◆","")))</x:f>
        <x:v>■</x:v>
      </x:c>
      <x:c r="CI32" s="57" t="str">
        <x:f>IF('制度詳細'!$H$32="",IF('制度詳細'!$J$32="","",IF(AND('制度詳細'!$J$32&gt;=CI$5,'制度詳細'!$J$32&lt;=EOMONTH(CI$5,0)),"◆","")),IF(MAX('制度詳細'!$H$32,CI$5)&lt;=MIN(IF('制度詳細'!$I$32="",EOMONTH(CI$5,0),'制度詳細'!$I$32),EOMONTH(CI$5,0)),"■",IF(AND('制度詳細'!$J$32&lt;&gt;"",'制度詳細'!$J$32&gt;=CI$5,'制度詳細'!$J$32&lt;=EOMONTH(CI$5,0)),"◆","")))</x:f>
        <x:v>■</x:v>
      </x:c>
      <x:c r="CJ32" s="57" t="str">
        <x:f>IF('制度詳細'!$H$32="",IF('制度詳細'!$J$32="","",IF(AND('制度詳細'!$J$32&gt;=CJ$5,'制度詳細'!$J$32&lt;=EOMONTH(CJ$5,0)),"◆","")),IF(MAX('制度詳細'!$H$32,CJ$5)&lt;=MIN(IF('制度詳細'!$I$32="",EOMONTH(CJ$5,0),'制度詳細'!$I$32),EOMONTH(CJ$5,0)),"■",IF(AND('制度詳細'!$J$32&lt;&gt;"",'制度詳細'!$J$32&gt;=CJ$5,'制度詳細'!$J$32&lt;=EOMONTH(CJ$5,0)),"◆","")))</x:f>
        <x:v>■</x:v>
      </x:c>
      <x:c r="CK32" s="57" t="str">
        <x:f>IF('制度詳細'!$H$32="",IF('制度詳細'!$J$32="","",IF(AND('制度詳細'!$J$32&gt;=CK$5,'制度詳細'!$J$32&lt;=EOMONTH(CK$5,0)),"◆","")),IF(MAX('制度詳細'!$H$32,CK$5)&lt;=MIN(IF('制度詳細'!$I$32="",EOMONTH(CK$5,0),'制度詳細'!$I$32),EOMONTH(CK$5,0)),"■",IF(AND('制度詳細'!$J$32&lt;&gt;"",'制度詳細'!$J$32&gt;=CK$5,'制度詳細'!$J$32&lt;=EOMONTH(CK$5,0)),"◆","")))</x:f>
        <x:v>■</x:v>
      </x:c>
      <x:c r="CL32" s="57" t="str">
        <x:f>IF('制度詳細'!$H$32="",IF('制度詳細'!$J$32="","",IF(AND('制度詳細'!$J$32&gt;=CL$5,'制度詳細'!$J$32&lt;=EOMONTH(CL$5,0)),"◆","")),IF(MAX('制度詳細'!$H$32,CL$5)&lt;=MIN(IF('制度詳細'!$I$32="",EOMONTH(CL$5,0),'制度詳細'!$I$32),EOMONTH(CL$5,0)),"■",IF(AND('制度詳細'!$J$32&lt;&gt;"",'制度詳細'!$J$32&gt;=CL$5,'制度詳細'!$J$32&lt;=EOMONTH(CL$5,0)),"◆","")))</x:f>
        <x:v>■</x:v>
      </x:c>
      <x:c r="CM32" s="57" t="str">
        <x:f>IF('制度詳細'!$H$32="",IF('制度詳細'!$J$32="","",IF(AND('制度詳細'!$J$32&gt;=CM$5,'制度詳細'!$J$32&lt;=EOMONTH(CM$5,0)),"◆","")),IF(MAX('制度詳細'!$H$32,CM$5)&lt;=MIN(IF('制度詳細'!$I$32="",EOMONTH(CM$5,0),'制度詳細'!$I$32),EOMONTH(CM$5,0)),"■",IF(AND('制度詳細'!$J$32&lt;&gt;"",'制度詳細'!$J$32&gt;=CM$5,'制度詳細'!$J$32&lt;=EOMONTH(CM$5,0)),"◆","")))</x:f>
      </x:c>
      <x:c r="CN32" s="57" t="str">
        <x:f>IF('制度詳細'!$H$32="",IF('制度詳細'!$J$32="","",IF(AND('制度詳細'!$J$32&gt;=CN$5,'制度詳細'!$J$32&lt;=EOMONTH(CN$5,0)),"◆","")),IF(MAX('制度詳細'!$H$32,CN$5)&lt;=MIN(IF('制度詳細'!$I$32="",EOMONTH(CN$5,0),'制度詳細'!$I$32),EOMONTH(CN$5,0)),"■",IF(AND('制度詳細'!$J$32&lt;&gt;"",'制度詳細'!$J$32&gt;=CN$5,'制度詳細'!$J$32&lt;=EOMONTH(CN$5,0)),"◆","")))</x:f>
      </x:c>
      <x:c r="CO32" s="57" t="str">
        <x:f>IF('制度詳細'!$H$32="",IF('制度詳細'!$J$32="","",IF(AND('制度詳細'!$J$32&gt;=CO$5,'制度詳細'!$J$32&lt;=EOMONTH(CO$5,0)),"◆","")),IF(MAX('制度詳細'!$H$32,CO$5)&lt;=MIN(IF('制度詳細'!$I$32="",EOMONTH(CO$5,0),'制度詳細'!$I$32),EOMONTH(CO$5,0)),"■",IF(AND('制度詳細'!$J$32&lt;&gt;"",'制度詳細'!$J$32&gt;=CO$5,'制度詳細'!$J$32&lt;=EOMONTH(CO$5,0)),"◆","")))</x:f>
      </x:c>
      <x:c r="CP32" s="57" t="str">
        <x:f>IF('制度詳細'!$H$32="",IF('制度詳細'!$J$32="","",IF(AND('制度詳細'!$J$32&gt;=CP$5,'制度詳細'!$J$32&lt;=EOMONTH(CP$5,0)),"◆","")),IF(MAX('制度詳細'!$H$32,CP$5)&lt;=MIN(IF('制度詳細'!$I$32="",EOMONTH(CP$5,0),'制度詳細'!$I$32),EOMONTH(CP$5,0)),"■",IF(AND('制度詳細'!$J$32&lt;&gt;"",'制度詳細'!$J$32&gt;=CP$5,'制度詳細'!$J$32&lt;=EOMONTH(CP$5,0)),"◆","")))</x:f>
      </x:c>
      <x:c r="CQ32" s="57" t="str">
        <x:f>IF('制度詳細'!$H$32="",IF('制度詳細'!$J$32="","",IF(AND('制度詳細'!$J$32&gt;=CQ$5,'制度詳細'!$J$32&lt;=EOMONTH(CQ$5,0)),"◆","")),IF(MAX('制度詳細'!$H$32,CQ$5)&lt;=MIN(IF('制度詳細'!$I$32="",EOMONTH(CQ$5,0),'制度詳細'!$I$32),EOMONTH(CQ$5,0)),"■",IF(AND('制度詳細'!$J$32&lt;&gt;"",'制度詳細'!$J$32&gt;=CQ$5,'制度詳細'!$J$32&lt;=EOMONTH(CQ$5,0)),"◆","")))</x:f>
      </x:c>
      <x:c r="CR32" s="57" t="str">
        <x:f>IF('制度詳細'!$H$32="",IF('制度詳細'!$J$32="","",IF(AND('制度詳細'!$J$32&gt;=CR$5,'制度詳細'!$J$32&lt;=EOMONTH(CR$5,0)),"◆","")),IF(MAX('制度詳細'!$H$32,CR$5)&lt;=MIN(IF('制度詳細'!$I$32="",EOMONTH(CR$5,0),'制度詳細'!$I$32),EOMONTH(CR$5,0)),"■",IF(AND('制度詳細'!$J$32&lt;&gt;"",'制度詳細'!$J$32&gt;=CR$5,'制度詳細'!$J$32&lt;=EOMONTH(CR$5,0)),"◆","")))</x:f>
      </x:c>
      <x:c r="CS32" s="57" t="str">
        <x:f>IF('制度詳細'!$H$32="",IF('制度詳細'!$J$32="","",IF(AND('制度詳細'!$J$32&gt;=CS$5,'制度詳細'!$J$32&lt;=EOMONTH(CS$5,0)),"◆","")),IF(MAX('制度詳細'!$H$32,CS$5)&lt;=MIN(IF('制度詳細'!$I$32="",EOMONTH(CS$5,0),'制度詳細'!$I$32),EOMONTH(CS$5,0)),"■",IF(AND('制度詳細'!$J$32&lt;&gt;"",'制度詳細'!$J$32&gt;=CS$5,'制度詳細'!$J$32&lt;=EOMONTH(CS$5,0)),"◆","")))</x:f>
      </x:c>
      <x:c r="CT32" s="57" t="str">
        <x:f>IF('制度詳細'!$H$32="",IF('制度詳細'!$J$32="","",IF(AND('制度詳細'!$J$32&gt;=CT$5,'制度詳細'!$J$32&lt;=EOMONTH(CT$5,0)),"◆","")),IF(MAX('制度詳細'!$H$32,CT$5)&lt;=MIN(IF('制度詳細'!$I$32="",EOMONTH(CT$5,0),'制度詳細'!$I$32),EOMONTH(CT$5,0)),"■",IF(AND('制度詳細'!$J$32&lt;&gt;"",'制度詳細'!$J$32&gt;=CT$5,'制度詳細'!$J$32&lt;=EOMONTH(CT$5,0)),"◆","")))</x:f>
      </x:c>
      <x:c r="CU32" s="57" t="str">
        <x:f>IF('制度詳細'!$H$32="",IF('制度詳細'!$J$32="","",IF(AND('制度詳細'!$J$32&gt;=CU$5,'制度詳細'!$J$32&lt;=EOMONTH(CU$5,0)),"◆","")),IF(MAX('制度詳細'!$H$32,CU$5)&lt;=MIN(IF('制度詳細'!$I$32="",EOMONTH(CU$5,0),'制度詳細'!$I$32),EOMONTH(CU$5,0)),"■",IF(AND('制度詳細'!$J$32&lt;&gt;"",'制度詳細'!$J$32&gt;=CU$5,'制度詳細'!$J$32&lt;=EOMONTH(CU$5,0)),"◆","")))</x:f>
      </x:c>
      <x:c r="CV32" s="57" t="str">
        <x:f>IF('制度詳細'!$H$32="",IF('制度詳細'!$J$32="","",IF(AND('制度詳細'!$J$32&gt;=CV$5,'制度詳細'!$J$32&lt;=EOMONTH(CV$5,0)),"◆","")),IF(MAX('制度詳細'!$H$32,CV$5)&lt;=MIN(IF('制度詳細'!$I$32="",EOMONTH(CV$5,0),'制度詳細'!$I$32),EOMONTH(CV$5,0)),"■",IF(AND('制度詳細'!$J$32&lt;&gt;"",'制度詳細'!$J$32&gt;=CV$5,'制度詳細'!$J$32&lt;=EOMONTH(CV$5,0)),"◆","")))</x:f>
      </x:c>
      <x:c r="CW32" s="1"/>
      <x:c r="CX32" s="1"/>
      <x:c r="CY32" s="1"/>
      <x:c r="CZ32" s="1"/>
      <x:c r="DA32" s="1"/>
      <x:c r="DB32" s="1"/>
      <x:c r="DC32" s="1"/>
      <x:c r="DD32" s="1"/>
    </x:row>
    <x:row r="33" ht="27" customHeight="1">
      <x:c r="A33" s="58" t="str">
        <x:v>VN05</x:v>
      </x:c>
      <x:c r="B33" s="58" t="str">
        <x:v>ベトナム</x:v>
      </x:c>
      <x:c r="C33" s="58" t="str">
        <x:v>BEV：特別消費税11%予定</x:v>
      </x:c>
      <x:c r="D33" s="58" t="str">
        <x:v>BEV</x:v>
      </x:c>
      <x:c r="E33" s="57" t="str">
        <x:f>IF('制度詳細'!$H$33="",IF('制度詳細'!$J$33="","",IF(AND('制度詳細'!$J$33&gt;=E$5,'制度詳細'!$J$33&lt;=EOMONTH(E$5,0)),"◆","")),IF(MAX('制度詳細'!$H$33,E$5)&lt;=MIN(IF('制度詳細'!$I$33="",EOMONTH(E$5,0),'制度詳細'!$I$33),EOMONTH(E$5,0)),"■",IF(AND('制度詳細'!$J$33&lt;&gt;"",'制度詳細'!$J$33&gt;=E$5,'制度詳細'!$J$33&lt;=EOMONTH(E$5,0)),"◆","")))</x:f>
      </x:c>
      <x:c r="F33" s="57" t="str">
        <x:f>IF('制度詳細'!$H$33="",IF('制度詳細'!$J$33="","",IF(AND('制度詳細'!$J$33&gt;=F$5,'制度詳細'!$J$33&lt;=EOMONTH(F$5,0)),"◆","")),IF(MAX('制度詳細'!$H$33,F$5)&lt;=MIN(IF('制度詳細'!$I$33="",EOMONTH(F$5,0),'制度詳細'!$I$33),EOMONTH(F$5,0)),"■",IF(AND('制度詳細'!$J$33&lt;&gt;"",'制度詳細'!$J$33&gt;=F$5,'制度詳細'!$J$33&lt;=EOMONTH(F$5,0)),"◆","")))</x:f>
      </x:c>
      <x:c r="G33" s="57" t="str">
        <x:f>IF('制度詳細'!$H$33="",IF('制度詳細'!$J$33="","",IF(AND('制度詳細'!$J$33&gt;=G$5,'制度詳細'!$J$33&lt;=EOMONTH(G$5,0)),"◆","")),IF(MAX('制度詳細'!$H$33,G$5)&lt;=MIN(IF('制度詳細'!$I$33="",EOMONTH(G$5,0),'制度詳細'!$I$33),EOMONTH(G$5,0)),"■",IF(AND('制度詳細'!$J$33&lt;&gt;"",'制度詳細'!$J$33&gt;=G$5,'制度詳細'!$J$33&lt;=EOMONTH(G$5,0)),"◆","")))</x:f>
      </x:c>
      <x:c r="H33" s="57" t="str">
        <x:f>IF('制度詳細'!$H$33="",IF('制度詳細'!$J$33="","",IF(AND('制度詳細'!$J$33&gt;=H$5,'制度詳細'!$J$33&lt;=EOMONTH(H$5,0)),"◆","")),IF(MAX('制度詳細'!$H$33,H$5)&lt;=MIN(IF('制度詳細'!$I$33="",EOMONTH(H$5,0),'制度詳細'!$I$33),EOMONTH(H$5,0)),"■",IF(AND('制度詳細'!$J$33&lt;&gt;"",'制度詳細'!$J$33&gt;=H$5,'制度詳細'!$J$33&lt;=EOMONTH(H$5,0)),"◆","")))</x:f>
      </x:c>
      <x:c r="I33" s="57" t="str">
        <x:f>IF('制度詳細'!$H$33="",IF('制度詳細'!$J$33="","",IF(AND('制度詳細'!$J$33&gt;=I$5,'制度詳細'!$J$33&lt;=EOMONTH(I$5,0)),"◆","")),IF(MAX('制度詳細'!$H$33,I$5)&lt;=MIN(IF('制度詳細'!$I$33="",EOMONTH(I$5,0),'制度詳細'!$I$33),EOMONTH(I$5,0)),"■",IF(AND('制度詳細'!$J$33&lt;&gt;"",'制度詳細'!$J$33&gt;=I$5,'制度詳細'!$J$33&lt;=EOMONTH(I$5,0)),"◆","")))</x:f>
      </x:c>
      <x:c r="J33" s="57" t="str">
        <x:f>IF('制度詳細'!$H$33="",IF('制度詳細'!$J$33="","",IF(AND('制度詳細'!$J$33&gt;=J$5,'制度詳細'!$J$33&lt;=EOMONTH(J$5,0)),"◆","")),IF(MAX('制度詳細'!$H$33,J$5)&lt;=MIN(IF('制度詳細'!$I$33="",EOMONTH(J$5,0),'制度詳細'!$I$33),EOMONTH(J$5,0)),"■",IF(AND('制度詳細'!$J$33&lt;&gt;"",'制度詳細'!$J$33&gt;=J$5,'制度詳細'!$J$33&lt;=EOMONTH(J$5,0)),"◆","")))</x:f>
      </x:c>
      <x:c r="K33" s="57" t="str">
        <x:f>IF('制度詳細'!$H$33="",IF('制度詳細'!$J$33="","",IF(AND('制度詳細'!$J$33&gt;=K$5,'制度詳細'!$J$33&lt;=EOMONTH(K$5,0)),"◆","")),IF(MAX('制度詳細'!$H$33,K$5)&lt;=MIN(IF('制度詳細'!$I$33="",EOMONTH(K$5,0),'制度詳細'!$I$33),EOMONTH(K$5,0)),"■",IF(AND('制度詳細'!$J$33&lt;&gt;"",'制度詳細'!$J$33&gt;=K$5,'制度詳細'!$J$33&lt;=EOMONTH(K$5,0)),"◆","")))</x:f>
      </x:c>
      <x:c r="L33" s="57" t="str">
        <x:f>IF('制度詳細'!$H$33="",IF('制度詳細'!$J$33="","",IF(AND('制度詳細'!$J$33&gt;=L$5,'制度詳細'!$J$33&lt;=EOMONTH(L$5,0)),"◆","")),IF(MAX('制度詳細'!$H$33,L$5)&lt;=MIN(IF('制度詳細'!$I$33="",EOMONTH(L$5,0),'制度詳細'!$I$33),EOMONTH(L$5,0)),"■",IF(AND('制度詳細'!$J$33&lt;&gt;"",'制度詳細'!$J$33&gt;=L$5,'制度詳細'!$J$33&lt;=EOMONTH(L$5,0)),"◆","")))</x:f>
      </x:c>
      <x:c r="M33" s="57" t="str">
        <x:f>IF('制度詳細'!$H$33="",IF('制度詳細'!$J$33="","",IF(AND('制度詳細'!$J$33&gt;=M$5,'制度詳細'!$J$33&lt;=EOMONTH(M$5,0)),"◆","")),IF(MAX('制度詳細'!$H$33,M$5)&lt;=MIN(IF('制度詳細'!$I$33="",EOMONTH(M$5,0),'制度詳細'!$I$33),EOMONTH(M$5,0)),"■",IF(AND('制度詳細'!$J$33&lt;&gt;"",'制度詳細'!$J$33&gt;=M$5,'制度詳細'!$J$33&lt;=EOMONTH(M$5,0)),"◆","")))</x:f>
      </x:c>
      <x:c r="N33" s="57" t="str">
        <x:f>IF('制度詳細'!$H$33="",IF('制度詳細'!$J$33="","",IF(AND('制度詳細'!$J$33&gt;=N$5,'制度詳細'!$J$33&lt;=EOMONTH(N$5,0)),"◆","")),IF(MAX('制度詳細'!$H$33,N$5)&lt;=MIN(IF('制度詳細'!$I$33="",EOMONTH(N$5,0),'制度詳細'!$I$33),EOMONTH(N$5,0)),"■",IF(AND('制度詳細'!$J$33&lt;&gt;"",'制度詳細'!$J$33&gt;=N$5,'制度詳細'!$J$33&lt;=EOMONTH(N$5,0)),"◆","")))</x:f>
      </x:c>
      <x:c r="O33" s="57" t="str">
        <x:f>IF('制度詳細'!$H$33="",IF('制度詳細'!$J$33="","",IF(AND('制度詳細'!$J$33&gt;=O$5,'制度詳細'!$J$33&lt;=EOMONTH(O$5,0)),"◆","")),IF(MAX('制度詳細'!$H$33,O$5)&lt;=MIN(IF('制度詳細'!$I$33="",EOMONTH(O$5,0),'制度詳細'!$I$33),EOMONTH(O$5,0)),"■",IF(AND('制度詳細'!$J$33&lt;&gt;"",'制度詳細'!$J$33&gt;=O$5,'制度詳細'!$J$33&lt;=EOMONTH(O$5,0)),"◆","")))</x:f>
      </x:c>
      <x:c r="P33" s="57" t="str">
        <x:f>IF('制度詳細'!$H$33="",IF('制度詳細'!$J$33="","",IF(AND('制度詳細'!$J$33&gt;=P$5,'制度詳細'!$J$33&lt;=EOMONTH(P$5,0)),"◆","")),IF(MAX('制度詳細'!$H$33,P$5)&lt;=MIN(IF('制度詳細'!$I$33="",EOMONTH(P$5,0),'制度詳細'!$I$33),EOMONTH(P$5,0)),"■",IF(AND('制度詳細'!$J$33&lt;&gt;"",'制度詳細'!$J$33&gt;=P$5,'制度詳細'!$J$33&lt;=EOMONTH(P$5,0)),"◆","")))</x:f>
      </x:c>
      <x:c r="Q33" s="57" t="str">
        <x:f>IF('制度詳細'!$H$33="",IF('制度詳細'!$J$33="","",IF(AND('制度詳細'!$J$33&gt;=Q$5,'制度詳細'!$J$33&lt;=EOMONTH(Q$5,0)),"◆","")),IF(MAX('制度詳細'!$H$33,Q$5)&lt;=MIN(IF('制度詳細'!$I$33="",EOMONTH(Q$5,0),'制度詳細'!$I$33),EOMONTH(Q$5,0)),"■",IF(AND('制度詳細'!$J$33&lt;&gt;"",'制度詳細'!$J$33&gt;=Q$5,'制度詳細'!$J$33&lt;=EOMONTH(Q$5,0)),"◆","")))</x:f>
      </x:c>
      <x:c r="R33" s="57" t="str">
        <x:f>IF('制度詳細'!$H$33="",IF('制度詳細'!$J$33="","",IF(AND('制度詳細'!$J$33&gt;=R$5,'制度詳細'!$J$33&lt;=EOMONTH(R$5,0)),"◆","")),IF(MAX('制度詳細'!$H$33,R$5)&lt;=MIN(IF('制度詳細'!$I$33="",EOMONTH(R$5,0),'制度詳細'!$I$33),EOMONTH(R$5,0)),"■",IF(AND('制度詳細'!$J$33&lt;&gt;"",'制度詳細'!$J$33&gt;=R$5,'制度詳細'!$J$33&lt;=EOMONTH(R$5,0)),"◆","")))</x:f>
      </x:c>
      <x:c r="S33" s="57" t="str">
        <x:f>IF('制度詳細'!$H$33="",IF('制度詳細'!$J$33="","",IF(AND('制度詳細'!$J$33&gt;=S$5,'制度詳細'!$J$33&lt;=EOMONTH(S$5,0)),"◆","")),IF(MAX('制度詳細'!$H$33,S$5)&lt;=MIN(IF('制度詳細'!$I$33="",EOMONTH(S$5,0),'制度詳細'!$I$33),EOMONTH(S$5,0)),"■",IF(AND('制度詳細'!$J$33&lt;&gt;"",'制度詳細'!$J$33&gt;=S$5,'制度詳細'!$J$33&lt;=EOMONTH(S$5,0)),"◆","")))</x:f>
      </x:c>
      <x:c r="T33" s="57" t="str">
        <x:f>IF('制度詳細'!$H$33="",IF('制度詳細'!$J$33="","",IF(AND('制度詳細'!$J$33&gt;=T$5,'制度詳細'!$J$33&lt;=EOMONTH(T$5,0)),"◆","")),IF(MAX('制度詳細'!$H$33,T$5)&lt;=MIN(IF('制度詳細'!$I$33="",EOMONTH(T$5,0),'制度詳細'!$I$33),EOMONTH(T$5,0)),"■",IF(AND('制度詳細'!$J$33&lt;&gt;"",'制度詳細'!$J$33&gt;=T$5,'制度詳細'!$J$33&lt;=EOMONTH(T$5,0)),"◆","")))</x:f>
      </x:c>
      <x:c r="U33" s="57" t="str">
        <x:f>IF('制度詳細'!$H$33="",IF('制度詳細'!$J$33="","",IF(AND('制度詳細'!$J$33&gt;=U$5,'制度詳細'!$J$33&lt;=EOMONTH(U$5,0)),"◆","")),IF(MAX('制度詳細'!$H$33,U$5)&lt;=MIN(IF('制度詳細'!$I$33="",EOMONTH(U$5,0),'制度詳細'!$I$33),EOMONTH(U$5,0)),"■",IF(AND('制度詳細'!$J$33&lt;&gt;"",'制度詳細'!$J$33&gt;=U$5,'制度詳細'!$J$33&lt;=EOMONTH(U$5,0)),"◆","")))</x:f>
      </x:c>
      <x:c r="V33" s="57" t="str">
        <x:f>IF('制度詳細'!$H$33="",IF('制度詳細'!$J$33="","",IF(AND('制度詳細'!$J$33&gt;=V$5,'制度詳細'!$J$33&lt;=EOMONTH(V$5,0)),"◆","")),IF(MAX('制度詳細'!$H$33,V$5)&lt;=MIN(IF('制度詳細'!$I$33="",EOMONTH(V$5,0),'制度詳細'!$I$33),EOMONTH(V$5,0)),"■",IF(AND('制度詳細'!$J$33&lt;&gt;"",'制度詳細'!$J$33&gt;=V$5,'制度詳細'!$J$33&lt;=EOMONTH(V$5,0)),"◆","")))</x:f>
      </x:c>
      <x:c r="W33" s="57" t="str">
        <x:f>IF('制度詳細'!$H$33="",IF('制度詳細'!$J$33="","",IF(AND('制度詳細'!$J$33&gt;=W$5,'制度詳細'!$J$33&lt;=EOMONTH(W$5,0)),"◆","")),IF(MAX('制度詳細'!$H$33,W$5)&lt;=MIN(IF('制度詳細'!$I$33="",EOMONTH(W$5,0),'制度詳細'!$I$33),EOMONTH(W$5,0)),"■",IF(AND('制度詳細'!$J$33&lt;&gt;"",'制度詳細'!$J$33&gt;=W$5,'制度詳細'!$J$33&lt;=EOMONTH(W$5,0)),"◆","")))</x:f>
      </x:c>
      <x:c r="X33" s="57" t="str">
        <x:f>IF('制度詳細'!$H$33="",IF('制度詳細'!$J$33="","",IF(AND('制度詳細'!$J$33&gt;=X$5,'制度詳細'!$J$33&lt;=EOMONTH(X$5,0)),"◆","")),IF(MAX('制度詳細'!$H$33,X$5)&lt;=MIN(IF('制度詳細'!$I$33="",EOMONTH(X$5,0),'制度詳細'!$I$33),EOMONTH(X$5,0)),"■",IF(AND('制度詳細'!$J$33&lt;&gt;"",'制度詳細'!$J$33&gt;=X$5,'制度詳細'!$J$33&lt;=EOMONTH(X$5,0)),"◆","")))</x:f>
      </x:c>
      <x:c r="Y33" s="57" t="str">
        <x:f>IF('制度詳細'!$H$33="",IF('制度詳細'!$J$33="","",IF(AND('制度詳細'!$J$33&gt;=Y$5,'制度詳細'!$J$33&lt;=EOMONTH(Y$5,0)),"◆","")),IF(MAX('制度詳細'!$H$33,Y$5)&lt;=MIN(IF('制度詳細'!$I$33="",EOMONTH(Y$5,0),'制度詳細'!$I$33),EOMONTH(Y$5,0)),"■",IF(AND('制度詳細'!$J$33&lt;&gt;"",'制度詳細'!$J$33&gt;=Y$5,'制度詳細'!$J$33&lt;=EOMONTH(Y$5,0)),"◆","")))</x:f>
      </x:c>
      <x:c r="Z33" s="57" t="str">
        <x:f>IF('制度詳細'!$H$33="",IF('制度詳細'!$J$33="","",IF(AND('制度詳細'!$J$33&gt;=Z$5,'制度詳細'!$J$33&lt;=EOMONTH(Z$5,0)),"◆","")),IF(MAX('制度詳細'!$H$33,Z$5)&lt;=MIN(IF('制度詳細'!$I$33="",EOMONTH(Z$5,0),'制度詳細'!$I$33),EOMONTH(Z$5,0)),"■",IF(AND('制度詳細'!$J$33&lt;&gt;"",'制度詳細'!$J$33&gt;=Z$5,'制度詳細'!$J$33&lt;=EOMONTH(Z$5,0)),"◆","")))</x:f>
      </x:c>
      <x:c r="AA33" s="57" t="str">
        <x:f>IF('制度詳細'!$H$33="",IF('制度詳細'!$J$33="","",IF(AND('制度詳細'!$J$33&gt;=AA$5,'制度詳細'!$J$33&lt;=EOMONTH(AA$5,0)),"◆","")),IF(MAX('制度詳細'!$H$33,AA$5)&lt;=MIN(IF('制度詳細'!$I$33="",EOMONTH(AA$5,0),'制度詳細'!$I$33),EOMONTH(AA$5,0)),"■",IF(AND('制度詳細'!$J$33&lt;&gt;"",'制度詳細'!$J$33&gt;=AA$5,'制度詳細'!$J$33&lt;=EOMONTH(AA$5,0)),"◆","")))</x:f>
      </x:c>
      <x:c r="AB33" s="57" t="str">
        <x:f>IF('制度詳細'!$H$33="",IF('制度詳細'!$J$33="","",IF(AND('制度詳細'!$J$33&gt;=AB$5,'制度詳細'!$J$33&lt;=EOMONTH(AB$5,0)),"◆","")),IF(MAX('制度詳細'!$H$33,AB$5)&lt;=MIN(IF('制度詳細'!$I$33="",EOMONTH(AB$5,0),'制度詳細'!$I$33),EOMONTH(AB$5,0)),"■",IF(AND('制度詳細'!$J$33&lt;&gt;"",'制度詳細'!$J$33&gt;=AB$5,'制度詳細'!$J$33&lt;=EOMONTH(AB$5,0)),"◆","")))</x:f>
      </x:c>
      <x:c r="AC33" s="57" t="str">
        <x:f>IF('制度詳細'!$H$33="",IF('制度詳細'!$J$33="","",IF(AND('制度詳細'!$J$33&gt;=AC$5,'制度詳細'!$J$33&lt;=EOMONTH(AC$5,0)),"◆","")),IF(MAX('制度詳細'!$H$33,AC$5)&lt;=MIN(IF('制度詳細'!$I$33="",EOMONTH(AC$5,0),'制度詳細'!$I$33),EOMONTH(AC$5,0)),"■",IF(AND('制度詳細'!$J$33&lt;&gt;"",'制度詳細'!$J$33&gt;=AC$5,'制度詳細'!$J$33&lt;=EOMONTH(AC$5,0)),"◆","")))</x:f>
      </x:c>
      <x:c r="AD33" s="57" t="str">
        <x:f>IF('制度詳細'!$H$33="",IF('制度詳細'!$J$33="","",IF(AND('制度詳細'!$J$33&gt;=AD$5,'制度詳細'!$J$33&lt;=EOMONTH(AD$5,0)),"◆","")),IF(MAX('制度詳細'!$H$33,AD$5)&lt;=MIN(IF('制度詳細'!$I$33="",EOMONTH(AD$5,0),'制度詳細'!$I$33),EOMONTH(AD$5,0)),"■",IF(AND('制度詳細'!$J$33&lt;&gt;"",'制度詳細'!$J$33&gt;=AD$5,'制度詳細'!$J$33&lt;=EOMONTH(AD$5,0)),"◆","")))</x:f>
      </x:c>
      <x:c r="AE33" s="57" t="str">
        <x:f>IF('制度詳細'!$H$33="",IF('制度詳細'!$J$33="","",IF(AND('制度詳細'!$J$33&gt;=AE$5,'制度詳細'!$J$33&lt;=EOMONTH(AE$5,0)),"◆","")),IF(MAX('制度詳細'!$H$33,AE$5)&lt;=MIN(IF('制度詳細'!$I$33="",EOMONTH(AE$5,0),'制度詳細'!$I$33),EOMONTH(AE$5,0)),"■",IF(AND('制度詳細'!$J$33&lt;&gt;"",'制度詳細'!$J$33&gt;=AE$5,'制度詳細'!$J$33&lt;=EOMONTH(AE$5,0)),"◆","")))</x:f>
      </x:c>
      <x:c r="AF33" s="57" t="str">
        <x:f>IF('制度詳細'!$H$33="",IF('制度詳細'!$J$33="","",IF(AND('制度詳細'!$J$33&gt;=AF$5,'制度詳細'!$J$33&lt;=EOMONTH(AF$5,0)),"◆","")),IF(MAX('制度詳細'!$H$33,AF$5)&lt;=MIN(IF('制度詳細'!$I$33="",EOMONTH(AF$5,0),'制度詳細'!$I$33),EOMONTH(AF$5,0)),"■",IF(AND('制度詳細'!$J$33&lt;&gt;"",'制度詳細'!$J$33&gt;=AF$5,'制度詳細'!$J$33&lt;=EOMONTH(AF$5,0)),"◆","")))</x:f>
      </x:c>
      <x:c r="AG33" s="57" t="str">
        <x:f>IF('制度詳細'!$H$33="",IF('制度詳細'!$J$33="","",IF(AND('制度詳細'!$J$33&gt;=AG$5,'制度詳細'!$J$33&lt;=EOMONTH(AG$5,0)),"◆","")),IF(MAX('制度詳細'!$H$33,AG$5)&lt;=MIN(IF('制度詳細'!$I$33="",EOMONTH(AG$5,0),'制度詳細'!$I$33),EOMONTH(AG$5,0)),"■",IF(AND('制度詳細'!$J$33&lt;&gt;"",'制度詳細'!$J$33&gt;=AG$5,'制度詳細'!$J$33&lt;=EOMONTH(AG$5,0)),"◆","")))</x:f>
      </x:c>
      <x:c r="AH33" s="57" t="str">
        <x:f>IF('制度詳細'!$H$33="",IF('制度詳細'!$J$33="","",IF(AND('制度詳細'!$J$33&gt;=AH$5,'制度詳細'!$J$33&lt;=EOMONTH(AH$5,0)),"◆","")),IF(MAX('制度詳細'!$H$33,AH$5)&lt;=MIN(IF('制度詳細'!$I$33="",EOMONTH(AH$5,0),'制度詳細'!$I$33),EOMONTH(AH$5,0)),"■",IF(AND('制度詳細'!$J$33&lt;&gt;"",'制度詳細'!$J$33&gt;=AH$5,'制度詳細'!$J$33&lt;=EOMONTH(AH$5,0)),"◆","")))</x:f>
      </x:c>
      <x:c r="AI33" s="57" t="str">
        <x:f>IF('制度詳細'!$H$33="",IF('制度詳細'!$J$33="","",IF(AND('制度詳細'!$J$33&gt;=AI$5,'制度詳細'!$J$33&lt;=EOMONTH(AI$5,0)),"◆","")),IF(MAX('制度詳細'!$H$33,AI$5)&lt;=MIN(IF('制度詳細'!$I$33="",EOMONTH(AI$5,0),'制度詳細'!$I$33),EOMONTH(AI$5,0)),"■",IF(AND('制度詳細'!$J$33&lt;&gt;"",'制度詳細'!$J$33&gt;=AI$5,'制度詳細'!$J$33&lt;=EOMONTH(AI$5,0)),"◆","")))</x:f>
      </x:c>
      <x:c r="AJ33" s="57" t="str">
        <x:f>IF('制度詳細'!$H$33="",IF('制度詳細'!$J$33="","",IF(AND('制度詳細'!$J$33&gt;=AJ$5,'制度詳細'!$J$33&lt;=EOMONTH(AJ$5,0)),"◆","")),IF(MAX('制度詳細'!$H$33,AJ$5)&lt;=MIN(IF('制度詳細'!$I$33="",EOMONTH(AJ$5,0),'制度詳細'!$I$33),EOMONTH(AJ$5,0)),"■",IF(AND('制度詳細'!$J$33&lt;&gt;"",'制度詳細'!$J$33&gt;=AJ$5,'制度詳細'!$J$33&lt;=EOMONTH(AJ$5,0)),"◆","")))</x:f>
      </x:c>
      <x:c r="AK33" s="57" t="str">
        <x:f>IF('制度詳細'!$H$33="",IF('制度詳細'!$J$33="","",IF(AND('制度詳細'!$J$33&gt;=AK$5,'制度詳細'!$J$33&lt;=EOMONTH(AK$5,0)),"◆","")),IF(MAX('制度詳細'!$H$33,AK$5)&lt;=MIN(IF('制度詳細'!$I$33="",EOMONTH(AK$5,0),'制度詳細'!$I$33),EOMONTH(AK$5,0)),"■",IF(AND('制度詳細'!$J$33&lt;&gt;"",'制度詳細'!$J$33&gt;=AK$5,'制度詳細'!$J$33&lt;=EOMONTH(AK$5,0)),"◆","")))</x:f>
      </x:c>
      <x:c r="AL33" s="57" t="str">
        <x:f>IF('制度詳細'!$H$33="",IF('制度詳細'!$J$33="","",IF(AND('制度詳細'!$J$33&gt;=AL$5,'制度詳細'!$J$33&lt;=EOMONTH(AL$5,0)),"◆","")),IF(MAX('制度詳細'!$H$33,AL$5)&lt;=MIN(IF('制度詳細'!$I$33="",EOMONTH(AL$5,0),'制度詳細'!$I$33),EOMONTH(AL$5,0)),"■",IF(AND('制度詳細'!$J$33&lt;&gt;"",'制度詳細'!$J$33&gt;=AL$5,'制度詳細'!$J$33&lt;=EOMONTH(AL$5,0)),"◆","")))</x:f>
      </x:c>
      <x:c r="AM33" s="57" t="str">
        <x:f>IF('制度詳細'!$H$33="",IF('制度詳細'!$J$33="","",IF(AND('制度詳細'!$J$33&gt;=AM$5,'制度詳細'!$J$33&lt;=EOMONTH(AM$5,0)),"◆","")),IF(MAX('制度詳細'!$H$33,AM$5)&lt;=MIN(IF('制度詳細'!$I$33="",EOMONTH(AM$5,0),'制度詳細'!$I$33),EOMONTH(AM$5,0)),"■",IF(AND('制度詳細'!$J$33&lt;&gt;"",'制度詳細'!$J$33&gt;=AM$5,'制度詳細'!$J$33&lt;=EOMONTH(AM$5,0)),"◆","")))</x:f>
      </x:c>
      <x:c r="AN33" s="57" t="str">
        <x:f>IF('制度詳細'!$H$33="",IF('制度詳細'!$J$33="","",IF(AND('制度詳細'!$J$33&gt;=AN$5,'制度詳細'!$J$33&lt;=EOMONTH(AN$5,0)),"◆","")),IF(MAX('制度詳細'!$H$33,AN$5)&lt;=MIN(IF('制度詳細'!$I$33="",EOMONTH(AN$5,0),'制度詳細'!$I$33),EOMONTH(AN$5,0)),"■",IF(AND('制度詳細'!$J$33&lt;&gt;"",'制度詳細'!$J$33&gt;=AN$5,'制度詳細'!$J$33&lt;=EOMONTH(AN$5,0)),"◆","")))</x:f>
      </x:c>
      <x:c r="AO33" s="57" t="str">
        <x:f>IF('制度詳細'!$H$33="",IF('制度詳細'!$J$33="","",IF(AND('制度詳細'!$J$33&gt;=AO$5,'制度詳細'!$J$33&lt;=EOMONTH(AO$5,0)),"◆","")),IF(MAX('制度詳細'!$H$33,AO$5)&lt;=MIN(IF('制度詳細'!$I$33="",EOMONTH(AO$5,0),'制度詳細'!$I$33),EOMONTH(AO$5,0)),"■",IF(AND('制度詳細'!$J$33&lt;&gt;"",'制度詳細'!$J$33&gt;=AO$5,'制度詳細'!$J$33&lt;=EOMONTH(AO$5,0)),"◆","")))</x:f>
      </x:c>
      <x:c r="AP33" s="57" t="str">
        <x:f>IF('制度詳細'!$H$33="",IF('制度詳細'!$J$33="","",IF(AND('制度詳細'!$J$33&gt;=AP$5,'制度詳細'!$J$33&lt;=EOMONTH(AP$5,0)),"◆","")),IF(MAX('制度詳細'!$H$33,AP$5)&lt;=MIN(IF('制度詳細'!$I$33="",EOMONTH(AP$5,0),'制度詳細'!$I$33),EOMONTH(AP$5,0)),"■",IF(AND('制度詳細'!$J$33&lt;&gt;"",'制度詳細'!$J$33&gt;=AP$5,'制度詳細'!$J$33&lt;=EOMONTH(AP$5,0)),"◆","")))</x:f>
      </x:c>
      <x:c r="AQ33" s="57" t="str">
        <x:f>IF('制度詳細'!$H$33="",IF('制度詳細'!$J$33="","",IF(AND('制度詳細'!$J$33&gt;=AQ$5,'制度詳細'!$J$33&lt;=EOMONTH(AQ$5,0)),"◆","")),IF(MAX('制度詳細'!$H$33,AQ$5)&lt;=MIN(IF('制度詳細'!$I$33="",EOMONTH(AQ$5,0),'制度詳細'!$I$33),EOMONTH(AQ$5,0)),"■",IF(AND('制度詳細'!$J$33&lt;&gt;"",'制度詳細'!$J$33&gt;=AQ$5,'制度詳細'!$J$33&lt;=EOMONTH(AQ$5,0)),"◆","")))</x:f>
      </x:c>
      <x:c r="AR33" s="57" t="str">
        <x:f>IF('制度詳細'!$H$33="",IF('制度詳細'!$J$33="","",IF(AND('制度詳細'!$J$33&gt;=AR$5,'制度詳細'!$J$33&lt;=EOMONTH(AR$5,0)),"◆","")),IF(MAX('制度詳細'!$H$33,AR$5)&lt;=MIN(IF('制度詳細'!$I$33="",EOMONTH(AR$5,0),'制度詳細'!$I$33),EOMONTH(AR$5,0)),"■",IF(AND('制度詳細'!$J$33&lt;&gt;"",'制度詳細'!$J$33&gt;=AR$5,'制度詳細'!$J$33&lt;=EOMONTH(AR$5,0)),"◆","")))</x:f>
      </x:c>
      <x:c r="AS33" s="57" t="str">
        <x:f>IF('制度詳細'!$H$33="",IF('制度詳細'!$J$33="","",IF(AND('制度詳細'!$J$33&gt;=AS$5,'制度詳細'!$J$33&lt;=EOMONTH(AS$5,0)),"◆","")),IF(MAX('制度詳細'!$H$33,AS$5)&lt;=MIN(IF('制度詳細'!$I$33="",EOMONTH(AS$5,0),'制度詳細'!$I$33),EOMONTH(AS$5,0)),"■",IF(AND('制度詳細'!$J$33&lt;&gt;"",'制度詳細'!$J$33&gt;=AS$5,'制度詳細'!$J$33&lt;=EOMONTH(AS$5,0)),"◆","")))</x:f>
      </x:c>
      <x:c r="AT33" s="57" t="str">
        <x:f>IF('制度詳細'!$H$33="",IF('制度詳細'!$J$33="","",IF(AND('制度詳細'!$J$33&gt;=AT$5,'制度詳細'!$J$33&lt;=EOMONTH(AT$5,0)),"◆","")),IF(MAX('制度詳細'!$H$33,AT$5)&lt;=MIN(IF('制度詳細'!$I$33="",EOMONTH(AT$5,0),'制度詳細'!$I$33),EOMONTH(AT$5,0)),"■",IF(AND('制度詳細'!$J$33&lt;&gt;"",'制度詳細'!$J$33&gt;=AT$5,'制度詳細'!$J$33&lt;=EOMONTH(AT$5,0)),"◆","")))</x:f>
      </x:c>
      <x:c r="AU33" s="57" t="str">
        <x:f>IF('制度詳細'!$H$33="",IF('制度詳細'!$J$33="","",IF(AND('制度詳細'!$J$33&gt;=AU$5,'制度詳細'!$J$33&lt;=EOMONTH(AU$5,0)),"◆","")),IF(MAX('制度詳細'!$H$33,AU$5)&lt;=MIN(IF('制度詳細'!$I$33="",EOMONTH(AU$5,0),'制度詳細'!$I$33),EOMONTH(AU$5,0)),"■",IF(AND('制度詳細'!$J$33&lt;&gt;"",'制度詳細'!$J$33&gt;=AU$5,'制度詳細'!$J$33&lt;=EOMONTH(AU$5,0)),"◆","")))</x:f>
      </x:c>
      <x:c r="AV33" s="57" t="str">
        <x:f>IF('制度詳細'!$H$33="",IF('制度詳細'!$J$33="","",IF(AND('制度詳細'!$J$33&gt;=AV$5,'制度詳細'!$J$33&lt;=EOMONTH(AV$5,0)),"◆","")),IF(MAX('制度詳細'!$H$33,AV$5)&lt;=MIN(IF('制度詳細'!$I$33="",EOMONTH(AV$5,0),'制度詳細'!$I$33),EOMONTH(AV$5,0)),"■",IF(AND('制度詳細'!$J$33&lt;&gt;"",'制度詳細'!$J$33&gt;=AV$5,'制度詳細'!$J$33&lt;=EOMONTH(AV$5,0)),"◆","")))</x:f>
      </x:c>
      <x:c r="AW33" s="57" t="str">
        <x:f>IF('制度詳細'!$H$33="",IF('制度詳細'!$J$33="","",IF(AND('制度詳細'!$J$33&gt;=AW$5,'制度詳細'!$J$33&lt;=EOMONTH(AW$5,0)),"◆","")),IF(MAX('制度詳細'!$H$33,AW$5)&lt;=MIN(IF('制度詳細'!$I$33="",EOMONTH(AW$5,0),'制度詳細'!$I$33),EOMONTH(AW$5,0)),"■",IF(AND('制度詳細'!$J$33&lt;&gt;"",'制度詳細'!$J$33&gt;=AW$5,'制度詳細'!$J$33&lt;=EOMONTH(AW$5,0)),"◆","")))</x:f>
      </x:c>
      <x:c r="AX33" s="57" t="str">
        <x:f>IF('制度詳細'!$H$33="",IF('制度詳細'!$J$33="","",IF(AND('制度詳細'!$J$33&gt;=AX$5,'制度詳細'!$J$33&lt;=EOMONTH(AX$5,0)),"◆","")),IF(MAX('制度詳細'!$H$33,AX$5)&lt;=MIN(IF('制度詳細'!$I$33="",EOMONTH(AX$5,0),'制度詳細'!$I$33),EOMONTH(AX$5,0)),"■",IF(AND('制度詳細'!$J$33&lt;&gt;"",'制度詳細'!$J$33&gt;=AX$5,'制度詳細'!$J$33&lt;=EOMONTH(AX$5,0)),"◆","")))</x:f>
      </x:c>
      <x:c r="AY33" s="57" t="str">
        <x:f>IF('制度詳細'!$H$33="",IF('制度詳細'!$J$33="","",IF(AND('制度詳細'!$J$33&gt;=AY$5,'制度詳細'!$J$33&lt;=EOMONTH(AY$5,0)),"◆","")),IF(MAX('制度詳細'!$H$33,AY$5)&lt;=MIN(IF('制度詳細'!$I$33="",EOMONTH(AY$5,0),'制度詳細'!$I$33),EOMONTH(AY$5,0)),"■",IF(AND('制度詳細'!$J$33&lt;&gt;"",'制度詳細'!$J$33&gt;=AY$5,'制度詳細'!$J$33&lt;=EOMONTH(AY$5,0)),"◆","")))</x:f>
      </x:c>
      <x:c r="AZ33" s="57" t="str">
        <x:f>IF('制度詳細'!$H$33="",IF('制度詳細'!$J$33="","",IF(AND('制度詳細'!$J$33&gt;=AZ$5,'制度詳細'!$J$33&lt;=EOMONTH(AZ$5,0)),"◆","")),IF(MAX('制度詳細'!$H$33,AZ$5)&lt;=MIN(IF('制度詳細'!$I$33="",EOMONTH(AZ$5,0),'制度詳細'!$I$33),EOMONTH(AZ$5,0)),"■",IF(AND('制度詳細'!$J$33&lt;&gt;"",'制度詳細'!$J$33&gt;=AZ$5,'制度詳細'!$J$33&lt;=EOMONTH(AZ$5,0)),"◆","")))</x:f>
      </x:c>
      <x:c r="BA33" s="57" t="str">
        <x:f>IF('制度詳細'!$H$33="",IF('制度詳細'!$J$33="","",IF(AND('制度詳細'!$J$33&gt;=BA$5,'制度詳細'!$J$33&lt;=EOMONTH(BA$5,0)),"◆","")),IF(MAX('制度詳細'!$H$33,BA$5)&lt;=MIN(IF('制度詳細'!$I$33="",EOMONTH(BA$5,0),'制度詳細'!$I$33),EOMONTH(BA$5,0)),"■",IF(AND('制度詳細'!$J$33&lt;&gt;"",'制度詳細'!$J$33&gt;=BA$5,'制度詳細'!$J$33&lt;=EOMONTH(BA$5,0)),"◆","")))</x:f>
      </x:c>
      <x:c r="BB33" s="57" t="str">
        <x:f>IF('制度詳細'!$H$33="",IF('制度詳細'!$J$33="","",IF(AND('制度詳細'!$J$33&gt;=BB$5,'制度詳細'!$J$33&lt;=EOMONTH(BB$5,0)),"◆","")),IF(MAX('制度詳細'!$H$33,BB$5)&lt;=MIN(IF('制度詳細'!$I$33="",EOMONTH(BB$5,0),'制度詳細'!$I$33),EOMONTH(BB$5,0)),"■",IF(AND('制度詳細'!$J$33&lt;&gt;"",'制度詳細'!$J$33&gt;=BB$5,'制度詳細'!$J$33&lt;=EOMONTH(BB$5,0)),"◆","")))</x:f>
      </x:c>
      <x:c r="BC33" s="57" t="str">
        <x:f>IF('制度詳細'!$H$33="",IF('制度詳細'!$J$33="","",IF(AND('制度詳細'!$J$33&gt;=BC$5,'制度詳細'!$J$33&lt;=EOMONTH(BC$5,0)),"◆","")),IF(MAX('制度詳細'!$H$33,BC$5)&lt;=MIN(IF('制度詳細'!$I$33="",EOMONTH(BC$5,0),'制度詳細'!$I$33),EOMONTH(BC$5,0)),"■",IF(AND('制度詳細'!$J$33&lt;&gt;"",'制度詳細'!$J$33&gt;=BC$5,'制度詳細'!$J$33&lt;=EOMONTH(BC$5,0)),"◆","")))</x:f>
      </x:c>
      <x:c r="BD33" s="57" t="str">
        <x:f>IF('制度詳細'!$H$33="",IF('制度詳細'!$J$33="","",IF(AND('制度詳細'!$J$33&gt;=BD$5,'制度詳細'!$J$33&lt;=EOMONTH(BD$5,0)),"◆","")),IF(MAX('制度詳細'!$H$33,BD$5)&lt;=MIN(IF('制度詳細'!$I$33="",EOMONTH(BD$5,0),'制度詳細'!$I$33),EOMONTH(BD$5,0)),"■",IF(AND('制度詳細'!$J$33&lt;&gt;"",'制度詳細'!$J$33&gt;=BD$5,'制度詳細'!$J$33&lt;=EOMONTH(BD$5,0)),"◆","")))</x:f>
      </x:c>
      <x:c r="BE33" s="57" t="str">
        <x:f>IF('制度詳細'!$H$33="",IF('制度詳細'!$J$33="","",IF(AND('制度詳細'!$J$33&gt;=BE$5,'制度詳細'!$J$33&lt;=EOMONTH(BE$5,0)),"◆","")),IF(MAX('制度詳細'!$H$33,BE$5)&lt;=MIN(IF('制度詳細'!$I$33="",EOMONTH(BE$5,0),'制度詳細'!$I$33),EOMONTH(BE$5,0)),"■",IF(AND('制度詳細'!$J$33&lt;&gt;"",'制度詳細'!$J$33&gt;=BE$5,'制度詳細'!$J$33&lt;=EOMONTH(BE$5,0)),"◆","")))</x:f>
      </x:c>
      <x:c r="BF33" s="57" t="str">
        <x:f>IF('制度詳細'!$H$33="",IF('制度詳細'!$J$33="","",IF(AND('制度詳細'!$J$33&gt;=BF$5,'制度詳細'!$J$33&lt;=EOMONTH(BF$5,0)),"◆","")),IF(MAX('制度詳細'!$H$33,BF$5)&lt;=MIN(IF('制度詳細'!$I$33="",EOMONTH(BF$5,0),'制度詳細'!$I$33),EOMONTH(BF$5,0)),"■",IF(AND('制度詳細'!$J$33&lt;&gt;"",'制度詳細'!$J$33&gt;=BF$5,'制度詳細'!$J$33&lt;=EOMONTH(BF$5,0)),"◆","")))</x:f>
      </x:c>
      <x:c r="BG33" s="57" t="str">
        <x:f>IF('制度詳細'!$H$33="",IF('制度詳細'!$J$33="","",IF(AND('制度詳細'!$J$33&gt;=BG$5,'制度詳細'!$J$33&lt;=EOMONTH(BG$5,0)),"◆","")),IF(MAX('制度詳細'!$H$33,BG$5)&lt;=MIN(IF('制度詳細'!$I$33="",EOMONTH(BG$5,0),'制度詳細'!$I$33),EOMONTH(BG$5,0)),"■",IF(AND('制度詳細'!$J$33&lt;&gt;"",'制度詳細'!$J$33&gt;=BG$5,'制度詳細'!$J$33&lt;=EOMONTH(BG$5,0)),"◆","")))</x:f>
      </x:c>
      <x:c r="BH33" s="57" t="str">
        <x:f>IF('制度詳細'!$H$33="",IF('制度詳細'!$J$33="","",IF(AND('制度詳細'!$J$33&gt;=BH$5,'制度詳細'!$J$33&lt;=EOMONTH(BH$5,0)),"◆","")),IF(MAX('制度詳細'!$H$33,BH$5)&lt;=MIN(IF('制度詳細'!$I$33="",EOMONTH(BH$5,0),'制度詳細'!$I$33),EOMONTH(BH$5,0)),"■",IF(AND('制度詳細'!$J$33&lt;&gt;"",'制度詳細'!$J$33&gt;=BH$5,'制度詳細'!$J$33&lt;=EOMONTH(BH$5,0)),"◆","")))</x:f>
      </x:c>
      <x:c r="BI33" s="57" t="str">
        <x:f>IF('制度詳細'!$H$33="",IF('制度詳細'!$J$33="","",IF(AND('制度詳細'!$J$33&gt;=BI$5,'制度詳細'!$J$33&lt;=EOMONTH(BI$5,0)),"◆","")),IF(MAX('制度詳細'!$H$33,BI$5)&lt;=MIN(IF('制度詳細'!$I$33="",EOMONTH(BI$5,0),'制度詳細'!$I$33),EOMONTH(BI$5,0)),"■",IF(AND('制度詳細'!$J$33&lt;&gt;"",'制度詳細'!$J$33&gt;=BI$5,'制度詳細'!$J$33&lt;=EOMONTH(BI$5,0)),"◆","")))</x:f>
      </x:c>
      <x:c r="BJ33" s="57" t="str">
        <x:f>IF('制度詳細'!$H$33="",IF('制度詳細'!$J$33="","",IF(AND('制度詳細'!$J$33&gt;=BJ$5,'制度詳細'!$J$33&lt;=EOMONTH(BJ$5,0)),"◆","")),IF(MAX('制度詳細'!$H$33,BJ$5)&lt;=MIN(IF('制度詳細'!$I$33="",EOMONTH(BJ$5,0),'制度詳細'!$I$33),EOMONTH(BJ$5,0)),"■",IF(AND('制度詳細'!$J$33&lt;&gt;"",'制度詳細'!$J$33&gt;=BJ$5,'制度詳細'!$J$33&lt;=EOMONTH(BJ$5,0)),"◆","")))</x:f>
      </x:c>
      <x:c r="BK33" s="57" t="str">
        <x:f>IF('制度詳細'!$H$33="",IF('制度詳細'!$J$33="","",IF(AND('制度詳細'!$J$33&gt;=BK$5,'制度詳細'!$J$33&lt;=EOMONTH(BK$5,0)),"◆","")),IF(MAX('制度詳細'!$H$33,BK$5)&lt;=MIN(IF('制度詳細'!$I$33="",EOMONTH(BK$5,0),'制度詳細'!$I$33),EOMONTH(BK$5,0)),"■",IF(AND('制度詳細'!$J$33&lt;&gt;"",'制度詳細'!$J$33&gt;=BK$5,'制度詳細'!$J$33&lt;=EOMONTH(BK$5,0)),"◆","")))</x:f>
      </x:c>
      <x:c r="BL33" s="57" t="str">
        <x:f>IF('制度詳細'!$H$33="",IF('制度詳細'!$J$33="","",IF(AND('制度詳細'!$J$33&gt;=BL$5,'制度詳細'!$J$33&lt;=EOMONTH(BL$5,0)),"◆","")),IF(MAX('制度詳細'!$H$33,BL$5)&lt;=MIN(IF('制度詳細'!$I$33="",EOMONTH(BL$5,0),'制度詳細'!$I$33),EOMONTH(BL$5,0)),"■",IF(AND('制度詳細'!$J$33&lt;&gt;"",'制度詳細'!$J$33&gt;=BL$5,'制度詳細'!$J$33&lt;=EOMONTH(BL$5,0)),"◆","")))</x:f>
      </x:c>
      <x:c r="BM33" s="57" t="str">
        <x:f>IF('制度詳細'!$H$33="",IF('制度詳細'!$J$33="","",IF(AND('制度詳細'!$J$33&gt;=BM$5,'制度詳細'!$J$33&lt;=EOMONTH(BM$5,0)),"◆","")),IF(MAX('制度詳細'!$H$33,BM$5)&lt;=MIN(IF('制度詳細'!$I$33="",EOMONTH(BM$5,0),'制度詳細'!$I$33),EOMONTH(BM$5,0)),"■",IF(AND('制度詳細'!$J$33&lt;&gt;"",'制度詳細'!$J$33&gt;=BM$5,'制度詳細'!$J$33&lt;=EOMONTH(BM$5,0)),"◆","")))</x:f>
      </x:c>
      <x:c r="BN33" s="57" t="str">
        <x:f>IF('制度詳細'!$H$33="",IF('制度詳細'!$J$33="","",IF(AND('制度詳細'!$J$33&gt;=BN$5,'制度詳細'!$J$33&lt;=EOMONTH(BN$5,0)),"◆","")),IF(MAX('制度詳細'!$H$33,BN$5)&lt;=MIN(IF('制度詳細'!$I$33="",EOMONTH(BN$5,0),'制度詳細'!$I$33),EOMONTH(BN$5,0)),"■",IF(AND('制度詳細'!$J$33&lt;&gt;"",'制度詳細'!$J$33&gt;=BN$5,'制度詳細'!$J$33&lt;=EOMONTH(BN$5,0)),"◆","")))</x:f>
      </x:c>
      <x:c r="BO33" s="57" t="str">
        <x:f>IF('制度詳細'!$H$33="",IF('制度詳細'!$J$33="","",IF(AND('制度詳細'!$J$33&gt;=BO$5,'制度詳細'!$J$33&lt;=EOMONTH(BO$5,0)),"◆","")),IF(MAX('制度詳細'!$H$33,BO$5)&lt;=MIN(IF('制度詳細'!$I$33="",EOMONTH(BO$5,0),'制度詳細'!$I$33),EOMONTH(BO$5,0)),"■",IF(AND('制度詳細'!$J$33&lt;&gt;"",'制度詳細'!$J$33&gt;=BO$5,'制度詳細'!$J$33&lt;=EOMONTH(BO$5,0)),"◆","")))</x:f>
      </x:c>
      <x:c r="BP33" s="57" t="str">
        <x:f>IF('制度詳細'!$H$33="",IF('制度詳細'!$J$33="","",IF(AND('制度詳細'!$J$33&gt;=BP$5,'制度詳細'!$J$33&lt;=EOMONTH(BP$5,0)),"◆","")),IF(MAX('制度詳細'!$H$33,BP$5)&lt;=MIN(IF('制度詳細'!$I$33="",EOMONTH(BP$5,0),'制度詳細'!$I$33),EOMONTH(BP$5,0)),"■",IF(AND('制度詳細'!$J$33&lt;&gt;"",'制度詳細'!$J$33&gt;=BP$5,'制度詳細'!$J$33&lt;=EOMONTH(BP$5,0)),"◆","")))</x:f>
      </x:c>
      <x:c r="BQ33" s="57" t="str">
        <x:f>IF('制度詳細'!$H$33="",IF('制度詳細'!$J$33="","",IF(AND('制度詳細'!$J$33&gt;=BQ$5,'制度詳細'!$J$33&lt;=EOMONTH(BQ$5,0)),"◆","")),IF(MAX('制度詳細'!$H$33,BQ$5)&lt;=MIN(IF('制度詳細'!$I$33="",EOMONTH(BQ$5,0),'制度詳細'!$I$33),EOMONTH(BQ$5,0)),"■",IF(AND('制度詳細'!$J$33&lt;&gt;"",'制度詳細'!$J$33&gt;=BQ$5,'制度詳細'!$J$33&lt;=EOMONTH(BQ$5,0)),"◆","")))</x:f>
      </x:c>
      <x:c r="BR33" s="57" t="str">
        <x:f>IF('制度詳細'!$H$33="",IF('制度詳細'!$J$33="","",IF(AND('制度詳細'!$J$33&gt;=BR$5,'制度詳細'!$J$33&lt;=EOMONTH(BR$5,0)),"◆","")),IF(MAX('制度詳細'!$H$33,BR$5)&lt;=MIN(IF('制度詳細'!$I$33="",EOMONTH(BR$5,0),'制度詳細'!$I$33),EOMONTH(BR$5,0)),"■",IF(AND('制度詳細'!$J$33&lt;&gt;"",'制度詳細'!$J$33&gt;=BR$5,'制度詳細'!$J$33&lt;=EOMONTH(BR$5,0)),"◆","")))</x:f>
      </x:c>
      <x:c r="BS33" s="57" t="str">
        <x:f>IF('制度詳細'!$H$33="",IF('制度詳細'!$J$33="","",IF(AND('制度詳細'!$J$33&gt;=BS$5,'制度詳細'!$J$33&lt;=EOMONTH(BS$5,0)),"◆","")),IF(MAX('制度詳細'!$H$33,BS$5)&lt;=MIN(IF('制度詳細'!$I$33="",EOMONTH(BS$5,0),'制度詳細'!$I$33),EOMONTH(BS$5,0)),"■",IF(AND('制度詳細'!$J$33&lt;&gt;"",'制度詳細'!$J$33&gt;=BS$5,'制度詳細'!$J$33&lt;=EOMONTH(BS$5,0)),"◆","")))</x:f>
      </x:c>
      <x:c r="BT33" s="57" t="str">
        <x:f>IF('制度詳細'!$H$33="",IF('制度詳細'!$J$33="","",IF(AND('制度詳細'!$J$33&gt;=BT$5,'制度詳細'!$J$33&lt;=EOMONTH(BT$5,0)),"◆","")),IF(MAX('制度詳細'!$H$33,BT$5)&lt;=MIN(IF('制度詳細'!$I$33="",EOMONTH(BT$5,0),'制度詳細'!$I$33),EOMONTH(BT$5,0)),"■",IF(AND('制度詳細'!$J$33&lt;&gt;"",'制度詳細'!$J$33&gt;=BT$5,'制度詳細'!$J$33&lt;=EOMONTH(BT$5,0)),"◆","")))</x:f>
      </x:c>
      <x:c r="BU33" s="57" t="str">
        <x:f>IF('制度詳細'!$H$33="",IF('制度詳細'!$J$33="","",IF(AND('制度詳細'!$J$33&gt;=BU$5,'制度詳細'!$J$33&lt;=EOMONTH(BU$5,0)),"◆","")),IF(MAX('制度詳細'!$H$33,BU$5)&lt;=MIN(IF('制度詳細'!$I$33="",EOMONTH(BU$5,0),'制度詳細'!$I$33),EOMONTH(BU$5,0)),"■",IF(AND('制度詳細'!$J$33&lt;&gt;"",'制度詳細'!$J$33&gt;=BU$5,'制度詳細'!$J$33&lt;=EOMONTH(BU$5,0)),"◆","")))</x:f>
      </x:c>
      <x:c r="BV33" s="57" t="str">
        <x:f>IF('制度詳細'!$H$33="",IF('制度詳細'!$J$33="","",IF(AND('制度詳細'!$J$33&gt;=BV$5,'制度詳細'!$J$33&lt;=EOMONTH(BV$5,0)),"◆","")),IF(MAX('制度詳細'!$H$33,BV$5)&lt;=MIN(IF('制度詳細'!$I$33="",EOMONTH(BV$5,0),'制度詳細'!$I$33),EOMONTH(BV$5,0)),"■",IF(AND('制度詳細'!$J$33&lt;&gt;"",'制度詳細'!$J$33&gt;=BV$5,'制度詳細'!$J$33&lt;=EOMONTH(BV$5,0)),"◆","")))</x:f>
      </x:c>
      <x:c r="BW33" s="57" t="str">
        <x:f>IF('制度詳細'!$H$33="",IF('制度詳細'!$J$33="","",IF(AND('制度詳細'!$J$33&gt;=BW$5,'制度詳細'!$J$33&lt;=EOMONTH(BW$5,0)),"◆","")),IF(MAX('制度詳細'!$H$33,BW$5)&lt;=MIN(IF('制度詳細'!$I$33="",EOMONTH(BW$5,0),'制度詳細'!$I$33),EOMONTH(BW$5,0)),"■",IF(AND('制度詳細'!$J$33&lt;&gt;"",'制度詳細'!$J$33&gt;=BW$5,'制度詳細'!$J$33&lt;=EOMONTH(BW$5,0)),"◆","")))</x:f>
      </x:c>
      <x:c r="BX33" s="57" t="str">
        <x:f>IF('制度詳細'!$H$33="",IF('制度詳細'!$J$33="","",IF(AND('制度詳細'!$J$33&gt;=BX$5,'制度詳細'!$J$33&lt;=EOMONTH(BX$5,0)),"◆","")),IF(MAX('制度詳細'!$H$33,BX$5)&lt;=MIN(IF('制度詳細'!$I$33="",EOMONTH(BX$5,0),'制度詳細'!$I$33),EOMONTH(BX$5,0)),"■",IF(AND('制度詳細'!$J$33&lt;&gt;"",'制度詳細'!$J$33&gt;=BX$5,'制度詳細'!$J$33&lt;=EOMONTH(BX$5,0)),"◆","")))</x:f>
      </x:c>
      <x:c r="BY33" s="57" t="str">
        <x:f>IF('制度詳細'!$H$33="",IF('制度詳細'!$J$33="","",IF(AND('制度詳細'!$J$33&gt;=BY$5,'制度詳細'!$J$33&lt;=EOMONTH(BY$5,0)),"◆","")),IF(MAX('制度詳細'!$H$33,BY$5)&lt;=MIN(IF('制度詳細'!$I$33="",EOMONTH(BY$5,0),'制度詳細'!$I$33),EOMONTH(BY$5,0)),"■",IF(AND('制度詳細'!$J$33&lt;&gt;"",'制度詳細'!$J$33&gt;=BY$5,'制度詳細'!$J$33&lt;=EOMONTH(BY$5,0)),"◆","")))</x:f>
      </x:c>
      <x:c r="BZ33" s="57" t="str">
        <x:f>IF('制度詳細'!$H$33="",IF('制度詳細'!$J$33="","",IF(AND('制度詳細'!$J$33&gt;=BZ$5,'制度詳細'!$J$33&lt;=EOMONTH(BZ$5,0)),"◆","")),IF(MAX('制度詳細'!$H$33,BZ$5)&lt;=MIN(IF('制度詳細'!$I$33="",EOMONTH(BZ$5,0),'制度詳細'!$I$33),EOMONTH(BZ$5,0)),"■",IF(AND('制度詳細'!$J$33&lt;&gt;"",'制度詳細'!$J$33&gt;=BZ$5,'制度詳細'!$J$33&lt;=EOMONTH(BZ$5,0)),"◆","")))</x:f>
      </x:c>
      <x:c r="CA33" s="57" t="str">
        <x:f>IF('制度詳細'!$H$33="",IF('制度詳細'!$J$33="","",IF(AND('制度詳細'!$J$33&gt;=CA$5,'制度詳細'!$J$33&lt;=EOMONTH(CA$5,0)),"◆","")),IF(MAX('制度詳細'!$H$33,CA$5)&lt;=MIN(IF('制度詳細'!$I$33="",EOMONTH(CA$5,0),'制度詳細'!$I$33),EOMONTH(CA$5,0)),"■",IF(AND('制度詳細'!$J$33&lt;&gt;"",'制度詳細'!$J$33&gt;=CA$5,'制度詳細'!$J$33&lt;=EOMONTH(CA$5,0)),"◆","")))</x:f>
      </x:c>
      <x:c r="CB33" s="57" t="str">
        <x:f>IF('制度詳細'!$H$33="",IF('制度詳細'!$J$33="","",IF(AND('制度詳細'!$J$33&gt;=CB$5,'制度詳細'!$J$33&lt;=EOMONTH(CB$5,0)),"◆","")),IF(MAX('制度詳細'!$H$33,CB$5)&lt;=MIN(IF('制度詳細'!$I$33="",EOMONTH(CB$5,0),'制度詳細'!$I$33),EOMONTH(CB$5,0)),"■",IF(AND('制度詳細'!$J$33&lt;&gt;"",'制度詳細'!$J$33&gt;=CB$5,'制度詳細'!$J$33&lt;=EOMONTH(CB$5,0)),"◆","")))</x:f>
      </x:c>
      <x:c r="CC33" s="57" t="str">
        <x:f>IF('制度詳細'!$H$33="",IF('制度詳細'!$J$33="","",IF(AND('制度詳細'!$J$33&gt;=CC$5,'制度詳細'!$J$33&lt;=EOMONTH(CC$5,0)),"◆","")),IF(MAX('制度詳細'!$H$33,CC$5)&lt;=MIN(IF('制度詳細'!$I$33="",EOMONTH(CC$5,0),'制度詳細'!$I$33),EOMONTH(CC$5,0)),"■",IF(AND('制度詳細'!$J$33&lt;&gt;"",'制度詳細'!$J$33&gt;=CC$5,'制度詳細'!$J$33&lt;=EOMONTH(CC$5,0)),"◆","")))</x:f>
      </x:c>
      <x:c r="CD33" s="57" t="str">
        <x:f>IF('制度詳細'!$H$33="",IF('制度詳細'!$J$33="","",IF(AND('制度詳細'!$J$33&gt;=CD$5,'制度詳細'!$J$33&lt;=EOMONTH(CD$5,0)),"◆","")),IF(MAX('制度詳細'!$H$33,CD$5)&lt;=MIN(IF('制度詳細'!$I$33="",EOMONTH(CD$5,0),'制度詳細'!$I$33),EOMONTH(CD$5,0)),"■",IF(AND('制度詳細'!$J$33&lt;&gt;"",'制度詳細'!$J$33&gt;=CD$5,'制度詳細'!$J$33&lt;=EOMONTH(CD$5,0)),"◆","")))</x:f>
      </x:c>
      <x:c r="CE33" s="57" t="str">
        <x:f>IF('制度詳細'!$H$33="",IF('制度詳細'!$J$33="","",IF(AND('制度詳細'!$J$33&gt;=CE$5,'制度詳細'!$J$33&lt;=EOMONTH(CE$5,0)),"◆","")),IF(MAX('制度詳細'!$H$33,CE$5)&lt;=MIN(IF('制度詳細'!$I$33="",EOMONTH(CE$5,0),'制度詳細'!$I$33),EOMONTH(CE$5,0)),"■",IF(AND('制度詳細'!$J$33&lt;&gt;"",'制度詳細'!$J$33&gt;=CE$5,'制度詳細'!$J$33&lt;=EOMONTH(CE$5,0)),"◆","")))</x:f>
      </x:c>
      <x:c r="CF33" s="57" t="str">
        <x:f>IF('制度詳細'!$H$33="",IF('制度詳細'!$J$33="","",IF(AND('制度詳細'!$J$33&gt;=CF$5,'制度詳細'!$J$33&lt;=EOMONTH(CF$5,0)),"◆","")),IF(MAX('制度詳細'!$H$33,CF$5)&lt;=MIN(IF('制度詳細'!$I$33="",EOMONTH(CF$5,0),'制度詳細'!$I$33),EOMONTH(CF$5,0)),"■",IF(AND('制度詳細'!$J$33&lt;&gt;"",'制度詳細'!$J$33&gt;=CF$5,'制度詳細'!$J$33&lt;=EOMONTH(CF$5,0)),"◆","")))</x:f>
      </x:c>
      <x:c r="CG33" s="57" t="str">
        <x:f>IF('制度詳細'!$H$33="",IF('制度詳細'!$J$33="","",IF(AND('制度詳細'!$J$33&gt;=CG$5,'制度詳細'!$J$33&lt;=EOMONTH(CG$5,0)),"◆","")),IF(MAX('制度詳細'!$H$33,CG$5)&lt;=MIN(IF('制度詳細'!$I$33="",EOMONTH(CG$5,0),'制度詳細'!$I$33),EOMONTH(CG$5,0)),"■",IF(AND('制度詳細'!$J$33&lt;&gt;"",'制度詳細'!$J$33&gt;=CG$5,'制度詳細'!$J$33&lt;=EOMONTH(CG$5,0)),"◆","")))</x:f>
      </x:c>
      <x:c r="CH33" s="57" t="str">
        <x:f>IF('制度詳細'!$H$33="",IF('制度詳細'!$J$33="","",IF(AND('制度詳細'!$J$33&gt;=CH$5,'制度詳細'!$J$33&lt;=EOMONTH(CH$5,0)),"◆","")),IF(MAX('制度詳細'!$H$33,CH$5)&lt;=MIN(IF('制度詳細'!$I$33="",EOMONTH(CH$5,0),'制度詳細'!$I$33),EOMONTH(CH$5,0)),"■",IF(AND('制度詳細'!$J$33&lt;&gt;"",'制度詳細'!$J$33&gt;=CH$5,'制度詳細'!$J$33&lt;=EOMONTH(CH$5,0)),"◆","")))</x:f>
      </x:c>
      <x:c r="CI33" s="57" t="str">
        <x:f>IF('制度詳細'!$H$33="",IF('制度詳細'!$J$33="","",IF(AND('制度詳細'!$J$33&gt;=CI$5,'制度詳細'!$J$33&lt;=EOMONTH(CI$5,0)),"◆","")),IF(MAX('制度詳細'!$H$33,CI$5)&lt;=MIN(IF('制度詳細'!$I$33="",EOMONTH(CI$5,0),'制度詳細'!$I$33),EOMONTH(CI$5,0)),"■",IF(AND('制度詳細'!$J$33&lt;&gt;"",'制度詳細'!$J$33&gt;=CI$5,'制度詳細'!$J$33&lt;=EOMONTH(CI$5,0)),"◆","")))</x:f>
      </x:c>
      <x:c r="CJ33" s="57" t="str">
        <x:f>IF('制度詳細'!$H$33="",IF('制度詳細'!$J$33="","",IF(AND('制度詳細'!$J$33&gt;=CJ$5,'制度詳細'!$J$33&lt;=EOMONTH(CJ$5,0)),"◆","")),IF(MAX('制度詳細'!$H$33,CJ$5)&lt;=MIN(IF('制度詳細'!$I$33="",EOMONTH(CJ$5,0),'制度詳細'!$I$33),EOMONTH(CJ$5,0)),"■",IF(AND('制度詳細'!$J$33&lt;&gt;"",'制度詳細'!$J$33&gt;=CJ$5,'制度詳細'!$J$33&lt;=EOMONTH(CJ$5,0)),"◆","")))</x:f>
      </x:c>
      <x:c r="CK33" s="57" t="str">
        <x:f>IF('制度詳細'!$H$33="",IF('制度詳細'!$J$33="","",IF(AND('制度詳細'!$J$33&gt;=CK$5,'制度詳細'!$J$33&lt;=EOMONTH(CK$5,0)),"◆","")),IF(MAX('制度詳細'!$H$33,CK$5)&lt;=MIN(IF('制度詳細'!$I$33="",EOMONTH(CK$5,0),'制度詳細'!$I$33),EOMONTH(CK$5,0)),"■",IF(AND('制度詳細'!$J$33&lt;&gt;"",'制度詳細'!$J$33&gt;=CK$5,'制度詳細'!$J$33&lt;=EOMONTH(CK$5,0)),"◆","")))</x:f>
      </x:c>
      <x:c r="CL33" s="57" t="str">
        <x:f>IF('制度詳細'!$H$33="",IF('制度詳細'!$J$33="","",IF(AND('制度詳細'!$J$33&gt;=CL$5,'制度詳細'!$J$33&lt;=EOMONTH(CL$5,0)),"◆","")),IF(MAX('制度詳細'!$H$33,CL$5)&lt;=MIN(IF('制度詳細'!$I$33="",EOMONTH(CL$5,0),'制度詳細'!$I$33),EOMONTH(CL$5,0)),"■",IF(AND('制度詳細'!$J$33&lt;&gt;"",'制度詳細'!$J$33&gt;=CL$5,'制度詳細'!$J$33&lt;=EOMONTH(CL$5,0)),"◆","")))</x:f>
      </x:c>
      <x:c r="CM33" s="57" t="str">
        <x:f>IF('制度詳細'!$H$33="",IF('制度詳細'!$J$33="","",IF(AND('制度詳細'!$J$33&gt;=CM$5,'制度詳細'!$J$33&lt;=EOMONTH(CM$5,0)),"◆","")),IF(MAX('制度詳細'!$H$33,CM$5)&lt;=MIN(IF('制度詳細'!$I$33="",EOMONTH(CM$5,0),'制度詳細'!$I$33),EOMONTH(CM$5,0)),"■",IF(AND('制度詳細'!$J$33&lt;&gt;"",'制度詳細'!$J$33&gt;=CM$5,'制度詳細'!$J$33&lt;=EOMONTH(CM$5,0)),"◆","")))</x:f>
        <x:v>■</x:v>
      </x:c>
      <x:c r="CN33" s="57" t="str">
        <x:f>IF('制度詳細'!$H$33="",IF('制度詳細'!$J$33="","",IF(AND('制度詳細'!$J$33&gt;=CN$5,'制度詳細'!$J$33&lt;=EOMONTH(CN$5,0)),"◆","")),IF(MAX('制度詳細'!$H$33,CN$5)&lt;=MIN(IF('制度詳細'!$I$33="",EOMONTH(CN$5,0),'制度詳細'!$I$33),EOMONTH(CN$5,0)),"■",IF(AND('制度詳細'!$J$33&lt;&gt;"",'制度詳細'!$J$33&gt;=CN$5,'制度詳細'!$J$33&lt;=EOMONTH(CN$5,0)),"◆","")))</x:f>
        <x:v>■</x:v>
      </x:c>
      <x:c r="CO33" s="57" t="str">
        <x:f>IF('制度詳細'!$H$33="",IF('制度詳細'!$J$33="","",IF(AND('制度詳細'!$J$33&gt;=CO$5,'制度詳細'!$J$33&lt;=EOMONTH(CO$5,0)),"◆","")),IF(MAX('制度詳細'!$H$33,CO$5)&lt;=MIN(IF('制度詳細'!$I$33="",EOMONTH(CO$5,0),'制度詳細'!$I$33),EOMONTH(CO$5,0)),"■",IF(AND('制度詳細'!$J$33&lt;&gt;"",'制度詳細'!$J$33&gt;=CO$5,'制度詳細'!$J$33&lt;=EOMONTH(CO$5,0)),"◆","")))</x:f>
        <x:v>■</x:v>
      </x:c>
      <x:c r="CP33" s="57" t="str">
        <x:f>IF('制度詳細'!$H$33="",IF('制度詳細'!$J$33="","",IF(AND('制度詳細'!$J$33&gt;=CP$5,'制度詳細'!$J$33&lt;=EOMONTH(CP$5,0)),"◆","")),IF(MAX('制度詳細'!$H$33,CP$5)&lt;=MIN(IF('制度詳細'!$I$33="",EOMONTH(CP$5,0),'制度詳細'!$I$33),EOMONTH(CP$5,0)),"■",IF(AND('制度詳細'!$J$33&lt;&gt;"",'制度詳細'!$J$33&gt;=CP$5,'制度詳細'!$J$33&lt;=EOMONTH(CP$5,0)),"◆","")))</x:f>
        <x:v>■</x:v>
      </x:c>
      <x:c r="CQ33" s="57" t="str">
        <x:f>IF('制度詳細'!$H$33="",IF('制度詳細'!$J$33="","",IF(AND('制度詳細'!$J$33&gt;=CQ$5,'制度詳細'!$J$33&lt;=EOMONTH(CQ$5,0)),"◆","")),IF(MAX('制度詳細'!$H$33,CQ$5)&lt;=MIN(IF('制度詳細'!$I$33="",EOMONTH(CQ$5,0),'制度詳細'!$I$33),EOMONTH(CQ$5,0)),"■",IF(AND('制度詳細'!$J$33&lt;&gt;"",'制度詳細'!$J$33&gt;=CQ$5,'制度詳細'!$J$33&lt;=EOMONTH(CQ$5,0)),"◆","")))</x:f>
        <x:v>■</x:v>
      </x:c>
      <x:c r="CR33" s="57" t="str">
        <x:f>IF('制度詳細'!$H$33="",IF('制度詳細'!$J$33="","",IF(AND('制度詳細'!$J$33&gt;=CR$5,'制度詳細'!$J$33&lt;=EOMONTH(CR$5,0)),"◆","")),IF(MAX('制度詳細'!$H$33,CR$5)&lt;=MIN(IF('制度詳細'!$I$33="",EOMONTH(CR$5,0),'制度詳細'!$I$33),EOMONTH(CR$5,0)),"■",IF(AND('制度詳細'!$J$33&lt;&gt;"",'制度詳細'!$J$33&gt;=CR$5,'制度詳細'!$J$33&lt;=EOMONTH(CR$5,0)),"◆","")))</x:f>
        <x:v>■</x:v>
      </x:c>
      <x:c r="CS33" s="57" t="str">
        <x:f>IF('制度詳細'!$H$33="",IF('制度詳細'!$J$33="","",IF(AND('制度詳細'!$J$33&gt;=CS$5,'制度詳細'!$J$33&lt;=EOMONTH(CS$5,0)),"◆","")),IF(MAX('制度詳細'!$H$33,CS$5)&lt;=MIN(IF('制度詳細'!$I$33="",EOMONTH(CS$5,0),'制度詳細'!$I$33),EOMONTH(CS$5,0)),"■",IF(AND('制度詳細'!$J$33&lt;&gt;"",'制度詳細'!$J$33&gt;=CS$5,'制度詳細'!$J$33&lt;=EOMONTH(CS$5,0)),"◆","")))</x:f>
        <x:v>■</x:v>
      </x:c>
      <x:c r="CT33" s="57" t="str">
        <x:f>IF('制度詳細'!$H$33="",IF('制度詳細'!$J$33="","",IF(AND('制度詳細'!$J$33&gt;=CT$5,'制度詳細'!$J$33&lt;=EOMONTH(CT$5,0)),"◆","")),IF(MAX('制度詳細'!$H$33,CT$5)&lt;=MIN(IF('制度詳細'!$I$33="",EOMONTH(CT$5,0),'制度詳細'!$I$33),EOMONTH(CT$5,0)),"■",IF(AND('制度詳細'!$J$33&lt;&gt;"",'制度詳細'!$J$33&gt;=CT$5,'制度詳細'!$J$33&lt;=EOMONTH(CT$5,0)),"◆","")))</x:f>
        <x:v>■</x:v>
      </x:c>
      <x:c r="CU33" s="57" t="str">
        <x:f>IF('制度詳細'!$H$33="",IF('制度詳細'!$J$33="","",IF(AND('制度詳細'!$J$33&gt;=CU$5,'制度詳細'!$J$33&lt;=EOMONTH(CU$5,0)),"◆","")),IF(MAX('制度詳細'!$H$33,CU$5)&lt;=MIN(IF('制度詳細'!$I$33="",EOMONTH(CU$5,0),'制度詳細'!$I$33),EOMONTH(CU$5,0)),"■",IF(AND('制度詳細'!$J$33&lt;&gt;"",'制度詳細'!$J$33&gt;=CU$5,'制度詳細'!$J$33&lt;=EOMONTH(CU$5,0)),"◆","")))</x:f>
        <x:v>■</x:v>
      </x:c>
      <x:c r="CV33" s="57" t="str">
        <x:f>IF('制度詳細'!$H$33="",IF('制度詳細'!$J$33="","",IF(AND('制度詳細'!$J$33&gt;=CV$5,'制度詳細'!$J$33&lt;=EOMONTH(CV$5,0)),"◆","")),IF(MAX('制度詳細'!$H$33,CV$5)&lt;=MIN(IF('制度詳細'!$I$33="",EOMONTH(CV$5,0),'制度詳細'!$I$33),EOMONTH(CV$5,0)),"■",IF(AND('制度詳細'!$J$33&lt;&gt;"",'制度詳細'!$J$33&gt;=CV$5,'制度詳細'!$J$33&lt;=EOMONTH(CV$5,0)),"◆","")))</x:f>
        <x:v>■</x:v>
      </x:c>
      <x:c r="CW33" s="1"/>
      <x:c r="CX33" s="1"/>
      <x:c r="CY33" s="1"/>
      <x:c r="CZ33" s="1"/>
      <x:c r="DA33" s="1"/>
      <x:c r="DB33" s="1"/>
      <x:c r="DC33" s="1"/>
      <x:c r="DD33" s="1"/>
    </x:row>
    <x:row r="34" ht="27" customHeight="1">
      <x:c r="A34" s="53" t="str">
        <x:v>VN06</x:v>
      </x:c>
      <x:c r="B34" s="53" t="str">
        <x:v>ベトナム</x:v>
      </x:c>
      <x:c r="C34" s="53" t="str">
        <x:v>特別消費税3%の延長提案</x:v>
      </x:c>
      <x:c r="D34" s="53" t="str">
        <x:v>BEV</x:v>
      </x:c>
      <x:c r="E34" s="57" t="str">
        <x:f>IF('制度詳細'!$H$34="",IF('制度詳細'!$J$34="","",IF(AND('制度詳細'!$J$34&gt;=E$5,'制度詳細'!$J$34&lt;=EOMONTH(E$5,0)),"◆","")),IF(MAX('制度詳細'!$H$34,E$5)&lt;=MIN(IF('制度詳細'!$I$34="",EOMONTH(E$5,0),'制度詳細'!$I$34),EOMONTH(E$5,0)),"■",IF(AND('制度詳細'!$J$34&lt;&gt;"",'制度詳細'!$J$34&gt;=E$5,'制度詳細'!$J$34&lt;=EOMONTH(E$5,0)),"◆","")))</x:f>
      </x:c>
      <x:c r="F34" s="57" t="str">
        <x:f>IF('制度詳細'!$H$34="",IF('制度詳細'!$J$34="","",IF(AND('制度詳細'!$J$34&gt;=F$5,'制度詳細'!$J$34&lt;=EOMONTH(F$5,0)),"◆","")),IF(MAX('制度詳細'!$H$34,F$5)&lt;=MIN(IF('制度詳細'!$I$34="",EOMONTH(F$5,0),'制度詳細'!$I$34),EOMONTH(F$5,0)),"■",IF(AND('制度詳細'!$J$34&lt;&gt;"",'制度詳細'!$J$34&gt;=F$5,'制度詳細'!$J$34&lt;=EOMONTH(F$5,0)),"◆","")))</x:f>
      </x:c>
      <x:c r="G34" s="57" t="str">
        <x:f>IF('制度詳細'!$H$34="",IF('制度詳細'!$J$34="","",IF(AND('制度詳細'!$J$34&gt;=G$5,'制度詳細'!$J$34&lt;=EOMONTH(G$5,0)),"◆","")),IF(MAX('制度詳細'!$H$34,G$5)&lt;=MIN(IF('制度詳細'!$I$34="",EOMONTH(G$5,0),'制度詳細'!$I$34),EOMONTH(G$5,0)),"■",IF(AND('制度詳細'!$J$34&lt;&gt;"",'制度詳細'!$J$34&gt;=G$5,'制度詳細'!$J$34&lt;=EOMONTH(G$5,0)),"◆","")))</x:f>
      </x:c>
      <x:c r="H34" s="57" t="str">
        <x:f>IF('制度詳細'!$H$34="",IF('制度詳細'!$J$34="","",IF(AND('制度詳細'!$J$34&gt;=H$5,'制度詳細'!$J$34&lt;=EOMONTH(H$5,0)),"◆","")),IF(MAX('制度詳細'!$H$34,H$5)&lt;=MIN(IF('制度詳細'!$I$34="",EOMONTH(H$5,0),'制度詳細'!$I$34),EOMONTH(H$5,0)),"■",IF(AND('制度詳細'!$J$34&lt;&gt;"",'制度詳細'!$J$34&gt;=H$5,'制度詳細'!$J$34&lt;=EOMONTH(H$5,0)),"◆","")))</x:f>
      </x:c>
      <x:c r="I34" s="57" t="str">
        <x:f>IF('制度詳細'!$H$34="",IF('制度詳細'!$J$34="","",IF(AND('制度詳細'!$J$34&gt;=I$5,'制度詳細'!$J$34&lt;=EOMONTH(I$5,0)),"◆","")),IF(MAX('制度詳細'!$H$34,I$5)&lt;=MIN(IF('制度詳細'!$I$34="",EOMONTH(I$5,0),'制度詳細'!$I$34),EOMONTH(I$5,0)),"■",IF(AND('制度詳細'!$J$34&lt;&gt;"",'制度詳細'!$J$34&gt;=I$5,'制度詳細'!$J$34&lt;=EOMONTH(I$5,0)),"◆","")))</x:f>
      </x:c>
      <x:c r="J34" s="57" t="str">
        <x:f>IF('制度詳細'!$H$34="",IF('制度詳細'!$J$34="","",IF(AND('制度詳細'!$J$34&gt;=J$5,'制度詳細'!$J$34&lt;=EOMONTH(J$5,0)),"◆","")),IF(MAX('制度詳細'!$H$34,J$5)&lt;=MIN(IF('制度詳細'!$I$34="",EOMONTH(J$5,0),'制度詳細'!$I$34),EOMONTH(J$5,0)),"■",IF(AND('制度詳細'!$J$34&lt;&gt;"",'制度詳細'!$J$34&gt;=J$5,'制度詳細'!$J$34&lt;=EOMONTH(J$5,0)),"◆","")))</x:f>
      </x:c>
      <x:c r="K34" s="57" t="str">
        <x:f>IF('制度詳細'!$H$34="",IF('制度詳細'!$J$34="","",IF(AND('制度詳細'!$J$34&gt;=K$5,'制度詳細'!$J$34&lt;=EOMONTH(K$5,0)),"◆","")),IF(MAX('制度詳細'!$H$34,K$5)&lt;=MIN(IF('制度詳細'!$I$34="",EOMONTH(K$5,0),'制度詳細'!$I$34),EOMONTH(K$5,0)),"■",IF(AND('制度詳細'!$J$34&lt;&gt;"",'制度詳細'!$J$34&gt;=K$5,'制度詳細'!$J$34&lt;=EOMONTH(K$5,0)),"◆","")))</x:f>
      </x:c>
      <x:c r="L34" s="57" t="str">
        <x:f>IF('制度詳細'!$H$34="",IF('制度詳細'!$J$34="","",IF(AND('制度詳細'!$J$34&gt;=L$5,'制度詳細'!$J$34&lt;=EOMONTH(L$5,0)),"◆","")),IF(MAX('制度詳細'!$H$34,L$5)&lt;=MIN(IF('制度詳細'!$I$34="",EOMONTH(L$5,0),'制度詳細'!$I$34),EOMONTH(L$5,0)),"■",IF(AND('制度詳細'!$J$34&lt;&gt;"",'制度詳細'!$J$34&gt;=L$5,'制度詳細'!$J$34&lt;=EOMONTH(L$5,0)),"◆","")))</x:f>
      </x:c>
      <x:c r="M34" s="57" t="str">
        <x:f>IF('制度詳細'!$H$34="",IF('制度詳細'!$J$34="","",IF(AND('制度詳細'!$J$34&gt;=M$5,'制度詳細'!$J$34&lt;=EOMONTH(M$5,0)),"◆","")),IF(MAX('制度詳細'!$H$34,M$5)&lt;=MIN(IF('制度詳細'!$I$34="",EOMONTH(M$5,0),'制度詳細'!$I$34),EOMONTH(M$5,0)),"■",IF(AND('制度詳細'!$J$34&lt;&gt;"",'制度詳細'!$J$34&gt;=M$5,'制度詳細'!$J$34&lt;=EOMONTH(M$5,0)),"◆","")))</x:f>
      </x:c>
      <x:c r="N34" s="57" t="str">
        <x:f>IF('制度詳細'!$H$34="",IF('制度詳細'!$J$34="","",IF(AND('制度詳細'!$J$34&gt;=N$5,'制度詳細'!$J$34&lt;=EOMONTH(N$5,0)),"◆","")),IF(MAX('制度詳細'!$H$34,N$5)&lt;=MIN(IF('制度詳細'!$I$34="",EOMONTH(N$5,0),'制度詳細'!$I$34),EOMONTH(N$5,0)),"■",IF(AND('制度詳細'!$J$34&lt;&gt;"",'制度詳細'!$J$34&gt;=N$5,'制度詳細'!$J$34&lt;=EOMONTH(N$5,0)),"◆","")))</x:f>
      </x:c>
      <x:c r="O34" s="57" t="str">
        <x:f>IF('制度詳細'!$H$34="",IF('制度詳細'!$J$34="","",IF(AND('制度詳細'!$J$34&gt;=O$5,'制度詳細'!$J$34&lt;=EOMONTH(O$5,0)),"◆","")),IF(MAX('制度詳細'!$H$34,O$5)&lt;=MIN(IF('制度詳細'!$I$34="",EOMONTH(O$5,0),'制度詳細'!$I$34),EOMONTH(O$5,0)),"■",IF(AND('制度詳細'!$J$34&lt;&gt;"",'制度詳細'!$J$34&gt;=O$5,'制度詳細'!$J$34&lt;=EOMONTH(O$5,0)),"◆","")))</x:f>
      </x:c>
      <x:c r="P34" s="57" t="str">
        <x:f>IF('制度詳細'!$H$34="",IF('制度詳細'!$J$34="","",IF(AND('制度詳細'!$J$34&gt;=P$5,'制度詳細'!$J$34&lt;=EOMONTH(P$5,0)),"◆","")),IF(MAX('制度詳細'!$H$34,P$5)&lt;=MIN(IF('制度詳細'!$I$34="",EOMONTH(P$5,0),'制度詳細'!$I$34),EOMONTH(P$5,0)),"■",IF(AND('制度詳細'!$J$34&lt;&gt;"",'制度詳細'!$J$34&gt;=P$5,'制度詳細'!$J$34&lt;=EOMONTH(P$5,0)),"◆","")))</x:f>
      </x:c>
      <x:c r="Q34" s="57" t="str">
        <x:f>IF('制度詳細'!$H$34="",IF('制度詳細'!$J$34="","",IF(AND('制度詳細'!$J$34&gt;=Q$5,'制度詳細'!$J$34&lt;=EOMONTH(Q$5,0)),"◆","")),IF(MAX('制度詳細'!$H$34,Q$5)&lt;=MIN(IF('制度詳細'!$I$34="",EOMONTH(Q$5,0),'制度詳細'!$I$34),EOMONTH(Q$5,0)),"■",IF(AND('制度詳細'!$J$34&lt;&gt;"",'制度詳細'!$J$34&gt;=Q$5,'制度詳細'!$J$34&lt;=EOMONTH(Q$5,0)),"◆","")))</x:f>
      </x:c>
      <x:c r="R34" s="57" t="str">
        <x:f>IF('制度詳細'!$H$34="",IF('制度詳細'!$J$34="","",IF(AND('制度詳細'!$J$34&gt;=R$5,'制度詳細'!$J$34&lt;=EOMONTH(R$5,0)),"◆","")),IF(MAX('制度詳細'!$H$34,R$5)&lt;=MIN(IF('制度詳細'!$I$34="",EOMONTH(R$5,0),'制度詳細'!$I$34),EOMONTH(R$5,0)),"■",IF(AND('制度詳細'!$J$34&lt;&gt;"",'制度詳細'!$J$34&gt;=R$5,'制度詳細'!$J$34&lt;=EOMONTH(R$5,0)),"◆","")))</x:f>
      </x:c>
      <x:c r="S34" s="57" t="str">
        <x:f>IF('制度詳細'!$H$34="",IF('制度詳細'!$J$34="","",IF(AND('制度詳細'!$J$34&gt;=S$5,'制度詳細'!$J$34&lt;=EOMONTH(S$5,0)),"◆","")),IF(MAX('制度詳細'!$H$34,S$5)&lt;=MIN(IF('制度詳細'!$I$34="",EOMONTH(S$5,0),'制度詳細'!$I$34),EOMONTH(S$5,0)),"■",IF(AND('制度詳細'!$J$34&lt;&gt;"",'制度詳細'!$J$34&gt;=S$5,'制度詳細'!$J$34&lt;=EOMONTH(S$5,0)),"◆","")))</x:f>
      </x:c>
      <x:c r="T34" s="57" t="str">
        <x:f>IF('制度詳細'!$H$34="",IF('制度詳細'!$J$34="","",IF(AND('制度詳細'!$J$34&gt;=T$5,'制度詳細'!$J$34&lt;=EOMONTH(T$5,0)),"◆","")),IF(MAX('制度詳細'!$H$34,T$5)&lt;=MIN(IF('制度詳細'!$I$34="",EOMONTH(T$5,0),'制度詳細'!$I$34),EOMONTH(T$5,0)),"■",IF(AND('制度詳細'!$J$34&lt;&gt;"",'制度詳細'!$J$34&gt;=T$5,'制度詳細'!$J$34&lt;=EOMONTH(T$5,0)),"◆","")))</x:f>
      </x:c>
      <x:c r="U34" s="57" t="str">
        <x:f>IF('制度詳細'!$H$34="",IF('制度詳細'!$J$34="","",IF(AND('制度詳細'!$J$34&gt;=U$5,'制度詳細'!$J$34&lt;=EOMONTH(U$5,0)),"◆","")),IF(MAX('制度詳細'!$H$34,U$5)&lt;=MIN(IF('制度詳細'!$I$34="",EOMONTH(U$5,0),'制度詳細'!$I$34),EOMONTH(U$5,0)),"■",IF(AND('制度詳細'!$J$34&lt;&gt;"",'制度詳細'!$J$34&gt;=U$5,'制度詳細'!$J$34&lt;=EOMONTH(U$5,0)),"◆","")))</x:f>
      </x:c>
      <x:c r="V34" s="57" t="str">
        <x:f>IF('制度詳細'!$H$34="",IF('制度詳細'!$J$34="","",IF(AND('制度詳細'!$J$34&gt;=V$5,'制度詳細'!$J$34&lt;=EOMONTH(V$5,0)),"◆","")),IF(MAX('制度詳細'!$H$34,V$5)&lt;=MIN(IF('制度詳細'!$I$34="",EOMONTH(V$5,0),'制度詳細'!$I$34),EOMONTH(V$5,0)),"■",IF(AND('制度詳細'!$J$34&lt;&gt;"",'制度詳細'!$J$34&gt;=V$5,'制度詳細'!$J$34&lt;=EOMONTH(V$5,0)),"◆","")))</x:f>
      </x:c>
      <x:c r="W34" s="57" t="str">
        <x:f>IF('制度詳細'!$H$34="",IF('制度詳細'!$J$34="","",IF(AND('制度詳細'!$J$34&gt;=W$5,'制度詳細'!$J$34&lt;=EOMONTH(W$5,0)),"◆","")),IF(MAX('制度詳細'!$H$34,W$5)&lt;=MIN(IF('制度詳細'!$I$34="",EOMONTH(W$5,0),'制度詳細'!$I$34),EOMONTH(W$5,0)),"■",IF(AND('制度詳細'!$J$34&lt;&gt;"",'制度詳細'!$J$34&gt;=W$5,'制度詳細'!$J$34&lt;=EOMONTH(W$5,0)),"◆","")))</x:f>
      </x:c>
      <x:c r="X34" s="57" t="str">
        <x:f>IF('制度詳細'!$H$34="",IF('制度詳細'!$J$34="","",IF(AND('制度詳細'!$J$34&gt;=X$5,'制度詳細'!$J$34&lt;=EOMONTH(X$5,0)),"◆","")),IF(MAX('制度詳細'!$H$34,X$5)&lt;=MIN(IF('制度詳細'!$I$34="",EOMONTH(X$5,0),'制度詳細'!$I$34),EOMONTH(X$5,0)),"■",IF(AND('制度詳細'!$J$34&lt;&gt;"",'制度詳細'!$J$34&gt;=X$5,'制度詳細'!$J$34&lt;=EOMONTH(X$5,0)),"◆","")))</x:f>
      </x:c>
      <x:c r="Y34" s="57" t="str">
        <x:f>IF('制度詳細'!$H$34="",IF('制度詳細'!$J$34="","",IF(AND('制度詳細'!$J$34&gt;=Y$5,'制度詳細'!$J$34&lt;=EOMONTH(Y$5,0)),"◆","")),IF(MAX('制度詳細'!$H$34,Y$5)&lt;=MIN(IF('制度詳細'!$I$34="",EOMONTH(Y$5,0),'制度詳細'!$I$34),EOMONTH(Y$5,0)),"■",IF(AND('制度詳細'!$J$34&lt;&gt;"",'制度詳細'!$J$34&gt;=Y$5,'制度詳細'!$J$34&lt;=EOMONTH(Y$5,0)),"◆","")))</x:f>
      </x:c>
      <x:c r="Z34" s="57" t="str">
        <x:f>IF('制度詳細'!$H$34="",IF('制度詳細'!$J$34="","",IF(AND('制度詳細'!$J$34&gt;=Z$5,'制度詳細'!$J$34&lt;=EOMONTH(Z$5,0)),"◆","")),IF(MAX('制度詳細'!$H$34,Z$5)&lt;=MIN(IF('制度詳細'!$I$34="",EOMONTH(Z$5,0),'制度詳細'!$I$34),EOMONTH(Z$5,0)),"■",IF(AND('制度詳細'!$J$34&lt;&gt;"",'制度詳細'!$J$34&gt;=Z$5,'制度詳細'!$J$34&lt;=EOMONTH(Z$5,0)),"◆","")))</x:f>
      </x:c>
      <x:c r="AA34" s="57" t="str">
        <x:f>IF('制度詳細'!$H$34="",IF('制度詳細'!$J$34="","",IF(AND('制度詳細'!$J$34&gt;=AA$5,'制度詳細'!$J$34&lt;=EOMONTH(AA$5,0)),"◆","")),IF(MAX('制度詳細'!$H$34,AA$5)&lt;=MIN(IF('制度詳細'!$I$34="",EOMONTH(AA$5,0),'制度詳細'!$I$34),EOMONTH(AA$5,0)),"■",IF(AND('制度詳細'!$J$34&lt;&gt;"",'制度詳細'!$J$34&gt;=AA$5,'制度詳細'!$J$34&lt;=EOMONTH(AA$5,0)),"◆","")))</x:f>
      </x:c>
      <x:c r="AB34" s="57" t="str">
        <x:f>IF('制度詳細'!$H$34="",IF('制度詳細'!$J$34="","",IF(AND('制度詳細'!$J$34&gt;=AB$5,'制度詳細'!$J$34&lt;=EOMONTH(AB$5,0)),"◆","")),IF(MAX('制度詳細'!$H$34,AB$5)&lt;=MIN(IF('制度詳細'!$I$34="",EOMONTH(AB$5,0),'制度詳細'!$I$34),EOMONTH(AB$5,0)),"■",IF(AND('制度詳細'!$J$34&lt;&gt;"",'制度詳細'!$J$34&gt;=AB$5,'制度詳細'!$J$34&lt;=EOMONTH(AB$5,0)),"◆","")))</x:f>
      </x:c>
      <x:c r="AC34" s="57" t="str">
        <x:f>IF('制度詳細'!$H$34="",IF('制度詳細'!$J$34="","",IF(AND('制度詳細'!$J$34&gt;=AC$5,'制度詳細'!$J$34&lt;=EOMONTH(AC$5,0)),"◆","")),IF(MAX('制度詳細'!$H$34,AC$5)&lt;=MIN(IF('制度詳細'!$I$34="",EOMONTH(AC$5,0),'制度詳細'!$I$34),EOMONTH(AC$5,0)),"■",IF(AND('制度詳細'!$J$34&lt;&gt;"",'制度詳細'!$J$34&gt;=AC$5,'制度詳細'!$J$34&lt;=EOMONTH(AC$5,0)),"◆","")))</x:f>
      </x:c>
      <x:c r="AD34" s="57" t="str">
        <x:f>IF('制度詳細'!$H$34="",IF('制度詳細'!$J$34="","",IF(AND('制度詳細'!$J$34&gt;=AD$5,'制度詳細'!$J$34&lt;=EOMONTH(AD$5,0)),"◆","")),IF(MAX('制度詳細'!$H$34,AD$5)&lt;=MIN(IF('制度詳細'!$I$34="",EOMONTH(AD$5,0),'制度詳細'!$I$34),EOMONTH(AD$5,0)),"■",IF(AND('制度詳細'!$J$34&lt;&gt;"",'制度詳細'!$J$34&gt;=AD$5,'制度詳細'!$J$34&lt;=EOMONTH(AD$5,0)),"◆","")))</x:f>
      </x:c>
      <x:c r="AE34" s="57" t="str">
        <x:f>IF('制度詳細'!$H$34="",IF('制度詳細'!$J$34="","",IF(AND('制度詳細'!$J$34&gt;=AE$5,'制度詳細'!$J$34&lt;=EOMONTH(AE$5,0)),"◆","")),IF(MAX('制度詳細'!$H$34,AE$5)&lt;=MIN(IF('制度詳細'!$I$34="",EOMONTH(AE$5,0),'制度詳細'!$I$34),EOMONTH(AE$5,0)),"■",IF(AND('制度詳細'!$J$34&lt;&gt;"",'制度詳細'!$J$34&gt;=AE$5,'制度詳細'!$J$34&lt;=EOMONTH(AE$5,0)),"◆","")))</x:f>
      </x:c>
      <x:c r="AF34" s="57" t="str">
        <x:f>IF('制度詳細'!$H$34="",IF('制度詳細'!$J$34="","",IF(AND('制度詳細'!$J$34&gt;=AF$5,'制度詳細'!$J$34&lt;=EOMONTH(AF$5,0)),"◆","")),IF(MAX('制度詳細'!$H$34,AF$5)&lt;=MIN(IF('制度詳細'!$I$34="",EOMONTH(AF$5,0),'制度詳細'!$I$34),EOMONTH(AF$5,0)),"■",IF(AND('制度詳細'!$J$34&lt;&gt;"",'制度詳細'!$J$34&gt;=AF$5,'制度詳細'!$J$34&lt;=EOMONTH(AF$5,0)),"◆","")))</x:f>
      </x:c>
      <x:c r="AG34" s="57" t="str">
        <x:f>IF('制度詳細'!$H$34="",IF('制度詳細'!$J$34="","",IF(AND('制度詳細'!$J$34&gt;=AG$5,'制度詳細'!$J$34&lt;=EOMONTH(AG$5,0)),"◆","")),IF(MAX('制度詳細'!$H$34,AG$5)&lt;=MIN(IF('制度詳細'!$I$34="",EOMONTH(AG$5,0),'制度詳細'!$I$34),EOMONTH(AG$5,0)),"■",IF(AND('制度詳細'!$J$34&lt;&gt;"",'制度詳細'!$J$34&gt;=AG$5,'制度詳細'!$J$34&lt;=EOMONTH(AG$5,0)),"◆","")))</x:f>
      </x:c>
      <x:c r="AH34" s="57" t="str">
        <x:f>IF('制度詳細'!$H$34="",IF('制度詳細'!$J$34="","",IF(AND('制度詳細'!$J$34&gt;=AH$5,'制度詳細'!$J$34&lt;=EOMONTH(AH$5,0)),"◆","")),IF(MAX('制度詳細'!$H$34,AH$5)&lt;=MIN(IF('制度詳細'!$I$34="",EOMONTH(AH$5,0),'制度詳細'!$I$34),EOMONTH(AH$5,0)),"■",IF(AND('制度詳細'!$J$34&lt;&gt;"",'制度詳細'!$J$34&gt;=AH$5,'制度詳細'!$J$34&lt;=EOMONTH(AH$5,0)),"◆","")))</x:f>
      </x:c>
      <x:c r="AI34" s="57" t="str">
        <x:f>IF('制度詳細'!$H$34="",IF('制度詳細'!$J$34="","",IF(AND('制度詳細'!$J$34&gt;=AI$5,'制度詳細'!$J$34&lt;=EOMONTH(AI$5,0)),"◆","")),IF(MAX('制度詳細'!$H$34,AI$5)&lt;=MIN(IF('制度詳細'!$I$34="",EOMONTH(AI$5,0),'制度詳細'!$I$34),EOMONTH(AI$5,0)),"■",IF(AND('制度詳細'!$J$34&lt;&gt;"",'制度詳細'!$J$34&gt;=AI$5,'制度詳細'!$J$34&lt;=EOMONTH(AI$5,0)),"◆","")))</x:f>
      </x:c>
      <x:c r="AJ34" s="57" t="str">
        <x:f>IF('制度詳細'!$H$34="",IF('制度詳細'!$J$34="","",IF(AND('制度詳細'!$J$34&gt;=AJ$5,'制度詳細'!$J$34&lt;=EOMONTH(AJ$5,0)),"◆","")),IF(MAX('制度詳細'!$H$34,AJ$5)&lt;=MIN(IF('制度詳細'!$I$34="",EOMONTH(AJ$5,0),'制度詳細'!$I$34),EOMONTH(AJ$5,0)),"■",IF(AND('制度詳細'!$J$34&lt;&gt;"",'制度詳細'!$J$34&gt;=AJ$5,'制度詳細'!$J$34&lt;=EOMONTH(AJ$5,0)),"◆","")))</x:f>
      </x:c>
      <x:c r="AK34" s="57" t="str">
        <x:f>IF('制度詳細'!$H$34="",IF('制度詳細'!$J$34="","",IF(AND('制度詳細'!$J$34&gt;=AK$5,'制度詳細'!$J$34&lt;=EOMONTH(AK$5,0)),"◆","")),IF(MAX('制度詳細'!$H$34,AK$5)&lt;=MIN(IF('制度詳細'!$I$34="",EOMONTH(AK$5,0),'制度詳細'!$I$34),EOMONTH(AK$5,0)),"■",IF(AND('制度詳細'!$J$34&lt;&gt;"",'制度詳細'!$J$34&gt;=AK$5,'制度詳細'!$J$34&lt;=EOMONTH(AK$5,0)),"◆","")))</x:f>
      </x:c>
      <x:c r="AL34" s="57" t="str">
        <x:f>IF('制度詳細'!$H$34="",IF('制度詳細'!$J$34="","",IF(AND('制度詳細'!$J$34&gt;=AL$5,'制度詳細'!$J$34&lt;=EOMONTH(AL$5,0)),"◆","")),IF(MAX('制度詳細'!$H$34,AL$5)&lt;=MIN(IF('制度詳細'!$I$34="",EOMONTH(AL$5,0),'制度詳細'!$I$34),EOMONTH(AL$5,0)),"■",IF(AND('制度詳細'!$J$34&lt;&gt;"",'制度詳細'!$J$34&gt;=AL$5,'制度詳細'!$J$34&lt;=EOMONTH(AL$5,0)),"◆","")))</x:f>
      </x:c>
      <x:c r="AM34" s="57" t="str">
        <x:f>IF('制度詳細'!$H$34="",IF('制度詳細'!$J$34="","",IF(AND('制度詳細'!$J$34&gt;=AM$5,'制度詳細'!$J$34&lt;=EOMONTH(AM$5,0)),"◆","")),IF(MAX('制度詳細'!$H$34,AM$5)&lt;=MIN(IF('制度詳細'!$I$34="",EOMONTH(AM$5,0),'制度詳細'!$I$34),EOMONTH(AM$5,0)),"■",IF(AND('制度詳細'!$J$34&lt;&gt;"",'制度詳細'!$J$34&gt;=AM$5,'制度詳細'!$J$34&lt;=EOMONTH(AM$5,0)),"◆","")))</x:f>
      </x:c>
      <x:c r="AN34" s="57" t="str">
        <x:f>IF('制度詳細'!$H$34="",IF('制度詳細'!$J$34="","",IF(AND('制度詳細'!$J$34&gt;=AN$5,'制度詳細'!$J$34&lt;=EOMONTH(AN$5,0)),"◆","")),IF(MAX('制度詳細'!$H$34,AN$5)&lt;=MIN(IF('制度詳細'!$I$34="",EOMONTH(AN$5,0),'制度詳細'!$I$34),EOMONTH(AN$5,0)),"■",IF(AND('制度詳細'!$J$34&lt;&gt;"",'制度詳細'!$J$34&gt;=AN$5,'制度詳細'!$J$34&lt;=EOMONTH(AN$5,0)),"◆","")))</x:f>
      </x:c>
      <x:c r="AO34" s="57" t="str">
        <x:f>IF('制度詳細'!$H$34="",IF('制度詳細'!$J$34="","",IF(AND('制度詳細'!$J$34&gt;=AO$5,'制度詳細'!$J$34&lt;=EOMONTH(AO$5,0)),"◆","")),IF(MAX('制度詳細'!$H$34,AO$5)&lt;=MIN(IF('制度詳細'!$I$34="",EOMONTH(AO$5,0),'制度詳細'!$I$34),EOMONTH(AO$5,0)),"■",IF(AND('制度詳細'!$J$34&lt;&gt;"",'制度詳細'!$J$34&gt;=AO$5,'制度詳細'!$J$34&lt;=EOMONTH(AO$5,0)),"◆","")))</x:f>
      </x:c>
      <x:c r="AP34" s="57" t="str">
        <x:f>IF('制度詳細'!$H$34="",IF('制度詳細'!$J$34="","",IF(AND('制度詳細'!$J$34&gt;=AP$5,'制度詳細'!$J$34&lt;=EOMONTH(AP$5,0)),"◆","")),IF(MAX('制度詳細'!$H$34,AP$5)&lt;=MIN(IF('制度詳細'!$I$34="",EOMONTH(AP$5,0),'制度詳細'!$I$34),EOMONTH(AP$5,0)),"■",IF(AND('制度詳細'!$J$34&lt;&gt;"",'制度詳細'!$J$34&gt;=AP$5,'制度詳細'!$J$34&lt;=EOMONTH(AP$5,0)),"◆","")))</x:f>
      </x:c>
      <x:c r="AQ34" s="57" t="str">
        <x:f>IF('制度詳細'!$H$34="",IF('制度詳細'!$J$34="","",IF(AND('制度詳細'!$J$34&gt;=AQ$5,'制度詳細'!$J$34&lt;=EOMONTH(AQ$5,0)),"◆","")),IF(MAX('制度詳細'!$H$34,AQ$5)&lt;=MIN(IF('制度詳細'!$I$34="",EOMONTH(AQ$5,0),'制度詳細'!$I$34),EOMONTH(AQ$5,0)),"■",IF(AND('制度詳細'!$J$34&lt;&gt;"",'制度詳細'!$J$34&gt;=AQ$5,'制度詳細'!$J$34&lt;=EOMONTH(AQ$5,0)),"◆","")))</x:f>
      </x:c>
      <x:c r="AR34" s="57" t="str">
        <x:f>IF('制度詳細'!$H$34="",IF('制度詳細'!$J$34="","",IF(AND('制度詳細'!$J$34&gt;=AR$5,'制度詳細'!$J$34&lt;=EOMONTH(AR$5,0)),"◆","")),IF(MAX('制度詳細'!$H$34,AR$5)&lt;=MIN(IF('制度詳細'!$I$34="",EOMONTH(AR$5,0),'制度詳細'!$I$34),EOMONTH(AR$5,0)),"■",IF(AND('制度詳細'!$J$34&lt;&gt;"",'制度詳細'!$J$34&gt;=AR$5,'制度詳細'!$J$34&lt;=EOMONTH(AR$5,0)),"◆","")))</x:f>
      </x:c>
      <x:c r="AS34" s="57" t="str">
        <x:f>IF('制度詳細'!$H$34="",IF('制度詳細'!$J$34="","",IF(AND('制度詳細'!$J$34&gt;=AS$5,'制度詳細'!$J$34&lt;=EOMONTH(AS$5,0)),"◆","")),IF(MAX('制度詳細'!$H$34,AS$5)&lt;=MIN(IF('制度詳細'!$I$34="",EOMONTH(AS$5,0),'制度詳細'!$I$34),EOMONTH(AS$5,0)),"■",IF(AND('制度詳細'!$J$34&lt;&gt;"",'制度詳細'!$J$34&gt;=AS$5,'制度詳細'!$J$34&lt;=EOMONTH(AS$5,0)),"◆","")))</x:f>
      </x:c>
      <x:c r="AT34" s="57" t="str">
        <x:f>IF('制度詳細'!$H$34="",IF('制度詳細'!$J$34="","",IF(AND('制度詳細'!$J$34&gt;=AT$5,'制度詳細'!$J$34&lt;=EOMONTH(AT$5,0)),"◆","")),IF(MAX('制度詳細'!$H$34,AT$5)&lt;=MIN(IF('制度詳細'!$I$34="",EOMONTH(AT$5,0),'制度詳細'!$I$34),EOMONTH(AT$5,0)),"■",IF(AND('制度詳細'!$J$34&lt;&gt;"",'制度詳細'!$J$34&gt;=AT$5,'制度詳細'!$J$34&lt;=EOMONTH(AT$5,0)),"◆","")))</x:f>
      </x:c>
      <x:c r="AU34" s="57" t="str">
        <x:f>IF('制度詳細'!$H$34="",IF('制度詳細'!$J$34="","",IF(AND('制度詳細'!$J$34&gt;=AU$5,'制度詳細'!$J$34&lt;=EOMONTH(AU$5,0)),"◆","")),IF(MAX('制度詳細'!$H$34,AU$5)&lt;=MIN(IF('制度詳細'!$I$34="",EOMONTH(AU$5,0),'制度詳細'!$I$34),EOMONTH(AU$5,0)),"■",IF(AND('制度詳細'!$J$34&lt;&gt;"",'制度詳細'!$J$34&gt;=AU$5,'制度詳細'!$J$34&lt;=EOMONTH(AU$5,0)),"◆","")))</x:f>
      </x:c>
      <x:c r="AV34" s="57" t="str">
        <x:f>IF('制度詳細'!$H$34="",IF('制度詳細'!$J$34="","",IF(AND('制度詳細'!$J$34&gt;=AV$5,'制度詳細'!$J$34&lt;=EOMONTH(AV$5,0)),"◆","")),IF(MAX('制度詳細'!$H$34,AV$5)&lt;=MIN(IF('制度詳細'!$I$34="",EOMONTH(AV$5,0),'制度詳細'!$I$34),EOMONTH(AV$5,0)),"■",IF(AND('制度詳細'!$J$34&lt;&gt;"",'制度詳細'!$J$34&gt;=AV$5,'制度詳細'!$J$34&lt;=EOMONTH(AV$5,0)),"◆","")))</x:f>
      </x:c>
      <x:c r="AW34" s="57" t="str">
        <x:f>IF('制度詳細'!$H$34="",IF('制度詳細'!$J$34="","",IF(AND('制度詳細'!$J$34&gt;=AW$5,'制度詳細'!$J$34&lt;=EOMONTH(AW$5,0)),"◆","")),IF(MAX('制度詳細'!$H$34,AW$5)&lt;=MIN(IF('制度詳細'!$I$34="",EOMONTH(AW$5,0),'制度詳細'!$I$34),EOMONTH(AW$5,0)),"■",IF(AND('制度詳細'!$J$34&lt;&gt;"",'制度詳細'!$J$34&gt;=AW$5,'制度詳細'!$J$34&lt;=EOMONTH(AW$5,0)),"◆","")))</x:f>
      </x:c>
      <x:c r="AX34" s="57" t="str">
        <x:f>IF('制度詳細'!$H$34="",IF('制度詳細'!$J$34="","",IF(AND('制度詳細'!$J$34&gt;=AX$5,'制度詳細'!$J$34&lt;=EOMONTH(AX$5,0)),"◆","")),IF(MAX('制度詳細'!$H$34,AX$5)&lt;=MIN(IF('制度詳細'!$I$34="",EOMONTH(AX$5,0),'制度詳細'!$I$34),EOMONTH(AX$5,0)),"■",IF(AND('制度詳細'!$J$34&lt;&gt;"",'制度詳細'!$J$34&gt;=AX$5,'制度詳細'!$J$34&lt;=EOMONTH(AX$5,0)),"◆","")))</x:f>
      </x:c>
      <x:c r="AY34" s="57" t="str">
        <x:f>IF('制度詳細'!$H$34="",IF('制度詳細'!$J$34="","",IF(AND('制度詳細'!$J$34&gt;=AY$5,'制度詳細'!$J$34&lt;=EOMONTH(AY$5,0)),"◆","")),IF(MAX('制度詳細'!$H$34,AY$5)&lt;=MIN(IF('制度詳細'!$I$34="",EOMONTH(AY$5,0),'制度詳細'!$I$34),EOMONTH(AY$5,0)),"■",IF(AND('制度詳細'!$J$34&lt;&gt;"",'制度詳細'!$J$34&gt;=AY$5,'制度詳細'!$J$34&lt;=EOMONTH(AY$5,0)),"◆","")))</x:f>
      </x:c>
      <x:c r="AZ34" s="57" t="str">
        <x:f>IF('制度詳細'!$H$34="",IF('制度詳細'!$J$34="","",IF(AND('制度詳細'!$J$34&gt;=AZ$5,'制度詳細'!$J$34&lt;=EOMONTH(AZ$5,0)),"◆","")),IF(MAX('制度詳細'!$H$34,AZ$5)&lt;=MIN(IF('制度詳細'!$I$34="",EOMONTH(AZ$5,0),'制度詳細'!$I$34),EOMONTH(AZ$5,0)),"■",IF(AND('制度詳細'!$J$34&lt;&gt;"",'制度詳細'!$J$34&gt;=AZ$5,'制度詳細'!$J$34&lt;=EOMONTH(AZ$5,0)),"◆","")))</x:f>
      </x:c>
      <x:c r="BA34" s="57" t="str">
        <x:f>IF('制度詳細'!$H$34="",IF('制度詳細'!$J$34="","",IF(AND('制度詳細'!$J$34&gt;=BA$5,'制度詳細'!$J$34&lt;=EOMONTH(BA$5,0)),"◆","")),IF(MAX('制度詳細'!$H$34,BA$5)&lt;=MIN(IF('制度詳細'!$I$34="",EOMONTH(BA$5,0),'制度詳細'!$I$34),EOMONTH(BA$5,0)),"■",IF(AND('制度詳細'!$J$34&lt;&gt;"",'制度詳細'!$J$34&gt;=BA$5,'制度詳細'!$J$34&lt;=EOMONTH(BA$5,0)),"◆","")))</x:f>
      </x:c>
      <x:c r="BB34" s="57" t="str">
        <x:f>IF('制度詳細'!$H$34="",IF('制度詳細'!$J$34="","",IF(AND('制度詳細'!$J$34&gt;=BB$5,'制度詳細'!$J$34&lt;=EOMONTH(BB$5,0)),"◆","")),IF(MAX('制度詳細'!$H$34,BB$5)&lt;=MIN(IF('制度詳細'!$I$34="",EOMONTH(BB$5,0),'制度詳細'!$I$34),EOMONTH(BB$5,0)),"■",IF(AND('制度詳細'!$J$34&lt;&gt;"",'制度詳細'!$J$34&gt;=BB$5,'制度詳細'!$J$34&lt;=EOMONTH(BB$5,0)),"◆","")))</x:f>
      </x:c>
      <x:c r="BC34" s="57" t="str">
        <x:f>IF('制度詳細'!$H$34="",IF('制度詳細'!$J$34="","",IF(AND('制度詳細'!$J$34&gt;=BC$5,'制度詳細'!$J$34&lt;=EOMONTH(BC$5,0)),"◆","")),IF(MAX('制度詳細'!$H$34,BC$5)&lt;=MIN(IF('制度詳細'!$I$34="",EOMONTH(BC$5,0),'制度詳細'!$I$34),EOMONTH(BC$5,0)),"■",IF(AND('制度詳細'!$J$34&lt;&gt;"",'制度詳細'!$J$34&gt;=BC$5,'制度詳細'!$J$34&lt;=EOMONTH(BC$5,0)),"◆","")))</x:f>
      </x:c>
      <x:c r="BD34" s="57" t="str">
        <x:f>IF('制度詳細'!$H$34="",IF('制度詳細'!$J$34="","",IF(AND('制度詳細'!$J$34&gt;=BD$5,'制度詳細'!$J$34&lt;=EOMONTH(BD$5,0)),"◆","")),IF(MAX('制度詳細'!$H$34,BD$5)&lt;=MIN(IF('制度詳細'!$I$34="",EOMONTH(BD$5,0),'制度詳細'!$I$34),EOMONTH(BD$5,0)),"■",IF(AND('制度詳細'!$J$34&lt;&gt;"",'制度詳細'!$J$34&gt;=BD$5,'制度詳細'!$J$34&lt;=EOMONTH(BD$5,0)),"◆","")))</x:f>
      </x:c>
      <x:c r="BE34" s="57" t="str">
        <x:f>IF('制度詳細'!$H$34="",IF('制度詳細'!$J$34="","",IF(AND('制度詳細'!$J$34&gt;=BE$5,'制度詳細'!$J$34&lt;=EOMONTH(BE$5,0)),"◆","")),IF(MAX('制度詳細'!$H$34,BE$5)&lt;=MIN(IF('制度詳細'!$I$34="",EOMONTH(BE$5,0),'制度詳細'!$I$34),EOMONTH(BE$5,0)),"■",IF(AND('制度詳細'!$J$34&lt;&gt;"",'制度詳細'!$J$34&gt;=BE$5,'制度詳細'!$J$34&lt;=EOMONTH(BE$5,0)),"◆","")))</x:f>
      </x:c>
      <x:c r="BF34" s="57" t="str">
        <x:f>IF('制度詳細'!$H$34="",IF('制度詳細'!$J$34="","",IF(AND('制度詳細'!$J$34&gt;=BF$5,'制度詳細'!$J$34&lt;=EOMONTH(BF$5,0)),"◆","")),IF(MAX('制度詳細'!$H$34,BF$5)&lt;=MIN(IF('制度詳細'!$I$34="",EOMONTH(BF$5,0),'制度詳細'!$I$34),EOMONTH(BF$5,0)),"■",IF(AND('制度詳細'!$J$34&lt;&gt;"",'制度詳細'!$J$34&gt;=BF$5,'制度詳細'!$J$34&lt;=EOMONTH(BF$5,0)),"◆","")))</x:f>
      </x:c>
      <x:c r="BG34" s="57" t="str">
        <x:f>IF('制度詳細'!$H$34="",IF('制度詳細'!$J$34="","",IF(AND('制度詳細'!$J$34&gt;=BG$5,'制度詳細'!$J$34&lt;=EOMONTH(BG$5,0)),"◆","")),IF(MAX('制度詳細'!$H$34,BG$5)&lt;=MIN(IF('制度詳細'!$I$34="",EOMONTH(BG$5,0),'制度詳細'!$I$34),EOMONTH(BG$5,0)),"■",IF(AND('制度詳細'!$J$34&lt;&gt;"",'制度詳細'!$J$34&gt;=BG$5,'制度詳細'!$J$34&lt;=EOMONTH(BG$5,0)),"◆","")))</x:f>
      </x:c>
      <x:c r="BH34" s="57" t="str">
        <x:f>IF('制度詳細'!$H$34="",IF('制度詳細'!$J$34="","",IF(AND('制度詳細'!$J$34&gt;=BH$5,'制度詳細'!$J$34&lt;=EOMONTH(BH$5,0)),"◆","")),IF(MAX('制度詳細'!$H$34,BH$5)&lt;=MIN(IF('制度詳細'!$I$34="",EOMONTH(BH$5,0),'制度詳細'!$I$34),EOMONTH(BH$5,0)),"■",IF(AND('制度詳細'!$J$34&lt;&gt;"",'制度詳細'!$J$34&gt;=BH$5,'制度詳細'!$J$34&lt;=EOMONTH(BH$5,0)),"◆","")))</x:f>
      </x:c>
      <x:c r="BI34" s="57" t="str">
        <x:f>IF('制度詳細'!$H$34="",IF('制度詳細'!$J$34="","",IF(AND('制度詳細'!$J$34&gt;=BI$5,'制度詳細'!$J$34&lt;=EOMONTH(BI$5,0)),"◆","")),IF(MAX('制度詳細'!$H$34,BI$5)&lt;=MIN(IF('制度詳細'!$I$34="",EOMONTH(BI$5,0),'制度詳細'!$I$34),EOMONTH(BI$5,0)),"■",IF(AND('制度詳細'!$J$34&lt;&gt;"",'制度詳細'!$J$34&gt;=BI$5,'制度詳細'!$J$34&lt;=EOMONTH(BI$5,0)),"◆","")))</x:f>
      </x:c>
      <x:c r="BJ34" s="57" t="str">
        <x:f>IF('制度詳細'!$H$34="",IF('制度詳細'!$J$34="","",IF(AND('制度詳細'!$J$34&gt;=BJ$5,'制度詳細'!$J$34&lt;=EOMONTH(BJ$5,0)),"◆","")),IF(MAX('制度詳細'!$H$34,BJ$5)&lt;=MIN(IF('制度詳細'!$I$34="",EOMONTH(BJ$5,0),'制度詳細'!$I$34),EOMONTH(BJ$5,0)),"■",IF(AND('制度詳細'!$J$34&lt;&gt;"",'制度詳細'!$J$34&gt;=BJ$5,'制度詳細'!$J$34&lt;=EOMONTH(BJ$5,0)),"◆","")))</x:f>
      </x:c>
      <x:c r="BK34" s="57" t="str">
        <x:f>IF('制度詳細'!$H$34="",IF('制度詳細'!$J$34="","",IF(AND('制度詳細'!$J$34&gt;=BK$5,'制度詳細'!$J$34&lt;=EOMONTH(BK$5,0)),"◆","")),IF(MAX('制度詳細'!$H$34,BK$5)&lt;=MIN(IF('制度詳細'!$I$34="",EOMONTH(BK$5,0),'制度詳細'!$I$34),EOMONTH(BK$5,0)),"■",IF(AND('制度詳細'!$J$34&lt;&gt;"",'制度詳細'!$J$34&gt;=BK$5,'制度詳細'!$J$34&lt;=EOMONTH(BK$5,0)),"◆","")))</x:f>
      </x:c>
      <x:c r="BL34" s="57" t="str">
        <x:f>IF('制度詳細'!$H$34="",IF('制度詳細'!$J$34="","",IF(AND('制度詳細'!$J$34&gt;=BL$5,'制度詳細'!$J$34&lt;=EOMONTH(BL$5,0)),"◆","")),IF(MAX('制度詳細'!$H$34,BL$5)&lt;=MIN(IF('制度詳細'!$I$34="",EOMONTH(BL$5,0),'制度詳細'!$I$34),EOMONTH(BL$5,0)),"■",IF(AND('制度詳細'!$J$34&lt;&gt;"",'制度詳細'!$J$34&gt;=BL$5,'制度詳細'!$J$34&lt;=EOMONTH(BL$5,0)),"◆","")))</x:f>
      </x:c>
      <x:c r="BM34" s="57" t="str">
        <x:f>IF('制度詳細'!$H$34="",IF('制度詳細'!$J$34="","",IF(AND('制度詳細'!$J$34&gt;=BM$5,'制度詳細'!$J$34&lt;=EOMONTH(BM$5,0)),"◆","")),IF(MAX('制度詳細'!$H$34,BM$5)&lt;=MIN(IF('制度詳細'!$I$34="",EOMONTH(BM$5,0),'制度詳細'!$I$34),EOMONTH(BM$5,0)),"■",IF(AND('制度詳細'!$J$34&lt;&gt;"",'制度詳細'!$J$34&gt;=BM$5,'制度詳細'!$J$34&lt;=EOMONTH(BM$5,0)),"◆","")))</x:f>
      </x:c>
      <x:c r="BN34" s="57" t="str">
        <x:f>IF('制度詳細'!$H$34="",IF('制度詳細'!$J$34="","",IF(AND('制度詳細'!$J$34&gt;=BN$5,'制度詳細'!$J$34&lt;=EOMONTH(BN$5,0)),"◆","")),IF(MAX('制度詳細'!$H$34,BN$5)&lt;=MIN(IF('制度詳細'!$I$34="",EOMONTH(BN$5,0),'制度詳細'!$I$34),EOMONTH(BN$5,0)),"■",IF(AND('制度詳細'!$J$34&lt;&gt;"",'制度詳細'!$J$34&gt;=BN$5,'制度詳細'!$J$34&lt;=EOMONTH(BN$5,0)),"◆","")))</x:f>
      </x:c>
      <x:c r="BO34" s="57" t="str">
        <x:f>IF('制度詳細'!$H$34="",IF('制度詳細'!$J$34="","",IF(AND('制度詳細'!$J$34&gt;=BO$5,'制度詳細'!$J$34&lt;=EOMONTH(BO$5,0)),"◆","")),IF(MAX('制度詳細'!$H$34,BO$5)&lt;=MIN(IF('制度詳細'!$I$34="",EOMONTH(BO$5,0),'制度詳細'!$I$34),EOMONTH(BO$5,0)),"■",IF(AND('制度詳細'!$J$34&lt;&gt;"",'制度詳細'!$J$34&gt;=BO$5,'制度詳細'!$J$34&lt;=EOMONTH(BO$5,0)),"◆","")))</x:f>
      </x:c>
      <x:c r="BP34" s="57" t="str">
        <x:f>IF('制度詳細'!$H$34="",IF('制度詳細'!$J$34="","",IF(AND('制度詳細'!$J$34&gt;=BP$5,'制度詳細'!$J$34&lt;=EOMONTH(BP$5,0)),"◆","")),IF(MAX('制度詳細'!$H$34,BP$5)&lt;=MIN(IF('制度詳細'!$I$34="",EOMONTH(BP$5,0),'制度詳細'!$I$34),EOMONTH(BP$5,0)),"■",IF(AND('制度詳細'!$J$34&lt;&gt;"",'制度詳細'!$J$34&gt;=BP$5,'制度詳細'!$J$34&lt;=EOMONTH(BP$5,0)),"◆","")))</x:f>
      </x:c>
      <x:c r="BQ34" s="57" t="str">
        <x:f>IF('制度詳細'!$H$34="",IF('制度詳細'!$J$34="","",IF(AND('制度詳細'!$J$34&gt;=BQ$5,'制度詳細'!$J$34&lt;=EOMONTH(BQ$5,0)),"◆","")),IF(MAX('制度詳細'!$H$34,BQ$5)&lt;=MIN(IF('制度詳細'!$I$34="",EOMONTH(BQ$5,0),'制度詳細'!$I$34),EOMONTH(BQ$5,0)),"■",IF(AND('制度詳細'!$J$34&lt;&gt;"",'制度詳細'!$J$34&gt;=BQ$5,'制度詳細'!$J$34&lt;=EOMONTH(BQ$5,0)),"◆","")))</x:f>
      </x:c>
      <x:c r="BR34" s="57" t="str">
        <x:f>IF('制度詳細'!$H$34="",IF('制度詳細'!$J$34="","",IF(AND('制度詳細'!$J$34&gt;=BR$5,'制度詳細'!$J$34&lt;=EOMONTH(BR$5,0)),"◆","")),IF(MAX('制度詳細'!$H$34,BR$5)&lt;=MIN(IF('制度詳細'!$I$34="",EOMONTH(BR$5,0),'制度詳細'!$I$34),EOMONTH(BR$5,0)),"■",IF(AND('制度詳細'!$J$34&lt;&gt;"",'制度詳細'!$J$34&gt;=BR$5,'制度詳細'!$J$34&lt;=EOMONTH(BR$5,0)),"◆","")))</x:f>
      </x:c>
      <x:c r="BS34" s="57" t="str">
        <x:f>IF('制度詳細'!$H$34="",IF('制度詳細'!$J$34="","",IF(AND('制度詳細'!$J$34&gt;=BS$5,'制度詳細'!$J$34&lt;=EOMONTH(BS$5,0)),"◆","")),IF(MAX('制度詳細'!$H$34,BS$5)&lt;=MIN(IF('制度詳細'!$I$34="",EOMONTH(BS$5,0),'制度詳細'!$I$34),EOMONTH(BS$5,0)),"■",IF(AND('制度詳細'!$J$34&lt;&gt;"",'制度詳細'!$J$34&gt;=BS$5,'制度詳細'!$J$34&lt;=EOMONTH(BS$5,0)),"◆","")))</x:f>
      </x:c>
      <x:c r="BT34" s="57" t="str">
        <x:f>IF('制度詳細'!$H$34="",IF('制度詳細'!$J$34="","",IF(AND('制度詳細'!$J$34&gt;=BT$5,'制度詳細'!$J$34&lt;=EOMONTH(BT$5,0)),"◆","")),IF(MAX('制度詳細'!$H$34,BT$5)&lt;=MIN(IF('制度詳細'!$I$34="",EOMONTH(BT$5,0),'制度詳細'!$I$34),EOMONTH(BT$5,0)),"■",IF(AND('制度詳細'!$J$34&lt;&gt;"",'制度詳細'!$J$34&gt;=BT$5,'制度詳細'!$J$34&lt;=EOMONTH(BT$5,0)),"◆","")))</x:f>
      </x:c>
      <x:c r="BU34" s="57" t="str">
        <x:f>IF('制度詳細'!$H$34="",IF('制度詳細'!$J$34="","",IF(AND('制度詳細'!$J$34&gt;=BU$5,'制度詳細'!$J$34&lt;=EOMONTH(BU$5,0)),"◆","")),IF(MAX('制度詳細'!$H$34,BU$5)&lt;=MIN(IF('制度詳細'!$I$34="",EOMONTH(BU$5,0),'制度詳細'!$I$34),EOMONTH(BU$5,0)),"■",IF(AND('制度詳細'!$J$34&lt;&gt;"",'制度詳細'!$J$34&gt;=BU$5,'制度詳細'!$J$34&lt;=EOMONTH(BU$5,0)),"◆","")))</x:f>
      </x:c>
      <x:c r="BV34" s="57" t="str">
        <x:f>IF('制度詳細'!$H$34="",IF('制度詳細'!$J$34="","",IF(AND('制度詳細'!$J$34&gt;=BV$5,'制度詳細'!$J$34&lt;=EOMONTH(BV$5,0)),"◆","")),IF(MAX('制度詳細'!$H$34,BV$5)&lt;=MIN(IF('制度詳細'!$I$34="",EOMONTH(BV$5,0),'制度詳細'!$I$34),EOMONTH(BV$5,0)),"■",IF(AND('制度詳細'!$J$34&lt;&gt;"",'制度詳細'!$J$34&gt;=BV$5,'制度詳細'!$J$34&lt;=EOMONTH(BV$5,0)),"◆","")))</x:f>
      </x:c>
      <x:c r="BW34" s="57" t="str">
        <x:f>IF('制度詳細'!$H$34="",IF('制度詳細'!$J$34="","",IF(AND('制度詳細'!$J$34&gt;=BW$5,'制度詳細'!$J$34&lt;=EOMONTH(BW$5,0)),"◆","")),IF(MAX('制度詳細'!$H$34,BW$5)&lt;=MIN(IF('制度詳細'!$I$34="",EOMONTH(BW$5,0),'制度詳細'!$I$34),EOMONTH(BW$5,0)),"■",IF(AND('制度詳細'!$J$34&lt;&gt;"",'制度詳細'!$J$34&gt;=BW$5,'制度詳細'!$J$34&lt;=EOMONTH(BW$5,0)),"◆","")))</x:f>
      </x:c>
      <x:c r="BX34" s="57" t="str">
        <x:f>IF('制度詳細'!$H$34="",IF('制度詳細'!$J$34="","",IF(AND('制度詳細'!$J$34&gt;=BX$5,'制度詳細'!$J$34&lt;=EOMONTH(BX$5,0)),"◆","")),IF(MAX('制度詳細'!$H$34,BX$5)&lt;=MIN(IF('制度詳細'!$I$34="",EOMONTH(BX$5,0),'制度詳細'!$I$34),EOMONTH(BX$5,0)),"■",IF(AND('制度詳細'!$J$34&lt;&gt;"",'制度詳細'!$J$34&gt;=BX$5,'制度詳細'!$J$34&lt;=EOMONTH(BX$5,0)),"◆","")))</x:f>
      </x:c>
      <x:c r="BY34" s="57" t="str">
        <x:f>IF('制度詳細'!$H$34="",IF('制度詳細'!$J$34="","",IF(AND('制度詳細'!$J$34&gt;=BY$5,'制度詳細'!$J$34&lt;=EOMONTH(BY$5,0)),"◆","")),IF(MAX('制度詳細'!$H$34,BY$5)&lt;=MIN(IF('制度詳細'!$I$34="",EOMONTH(BY$5,0),'制度詳細'!$I$34),EOMONTH(BY$5,0)),"■",IF(AND('制度詳細'!$J$34&lt;&gt;"",'制度詳細'!$J$34&gt;=BY$5,'制度詳細'!$J$34&lt;=EOMONTH(BY$5,0)),"◆","")))</x:f>
      </x:c>
      <x:c r="BZ34" s="57" t="str">
        <x:f>IF('制度詳細'!$H$34="",IF('制度詳細'!$J$34="","",IF(AND('制度詳細'!$J$34&gt;=BZ$5,'制度詳細'!$J$34&lt;=EOMONTH(BZ$5,0)),"◆","")),IF(MAX('制度詳細'!$H$34,BZ$5)&lt;=MIN(IF('制度詳細'!$I$34="",EOMONTH(BZ$5,0),'制度詳細'!$I$34),EOMONTH(BZ$5,0)),"■",IF(AND('制度詳細'!$J$34&lt;&gt;"",'制度詳細'!$J$34&gt;=BZ$5,'制度詳細'!$J$34&lt;=EOMONTH(BZ$5,0)),"◆","")))</x:f>
      </x:c>
      <x:c r="CA34" s="57" t="str">
        <x:f>IF('制度詳細'!$H$34="",IF('制度詳細'!$J$34="","",IF(AND('制度詳細'!$J$34&gt;=CA$5,'制度詳細'!$J$34&lt;=EOMONTH(CA$5,0)),"◆","")),IF(MAX('制度詳細'!$H$34,CA$5)&lt;=MIN(IF('制度詳細'!$I$34="",EOMONTH(CA$5,0),'制度詳細'!$I$34),EOMONTH(CA$5,0)),"■",IF(AND('制度詳細'!$J$34&lt;&gt;"",'制度詳細'!$J$34&gt;=CA$5,'制度詳細'!$J$34&lt;=EOMONTH(CA$5,0)),"◆","")))</x:f>
      </x:c>
      <x:c r="CB34" s="57" t="str">
        <x:f>IF('制度詳細'!$H$34="",IF('制度詳細'!$J$34="","",IF(AND('制度詳細'!$J$34&gt;=CB$5,'制度詳細'!$J$34&lt;=EOMONTH(CB$5,0)),"◆","")),IF(MAX('制度詳細'!$H$34,CB$5)&lt;=MIN(IF('制度詳細'!$I$34="",EOMONTH(CB$5,0),'制度詳細'!$I$34),EOMONTH(CB$5,0)),"■",IF(AND('制度詳細'!$J$34&lt;&gt;"",'制度詳細'!$J$34&gt;=CB$5,'制度詳細'!$J$34&lt;=EOMONTH(CB$5,0)),"◆","")))</x:f>
        <x:v>◆</x:v>
      </x:c>
      <x:c r="CC34" s="57" t="str">
        <x:f>IF('制度詳細'!$H$34="",IF('制度詳細'!$J$34="","",IF(AND('制度詳細'!$J$34&gt;=CC$5,'制度詳細'!$J$34&lt;=EOMONTH(CC$5,0)),"◆","")),IF(MAX('制度詳細'!$H$34,CC$5)&lt;=MIN(IF('制度詳細'!$I$34="",EOMONTH(CC$5,0),'制度詳細'!$I$34),EOMONTH(CC$5,0)),"■",IF(AND('制度詳細'!$J$34&lt;&gt;"",'制度詳細'!$J$34&gt;=CC$5,'制度詳細'!$J$34&lt;=EOMONTH(CC$5,0)),"◆","")))</x:f>
      </x:c>
      <x:c r="CD34" s="57" t="str">
        <x:f>IF('制度詳細'!$H$34="",IF('制度詳細'!$J$34="","",IF(AND('制度詳細'!$J$34&gt;=CD$5,'制度詳細'!$J$34&lt;=EOMONTH(CD$5,0)),"◆","")),IF(MAX('制度詳細'!$H$34,CD$5)&lt;=MIN(IF('制度詳細'!$I$34="",EOMONTH(CD$5,0),'制度詳細'!$I$34),EOMONTH(CD$5,0)),"■",IF(AND('制度詳細'!$J$34&lt;&gt;"",'制度詳細'!$J$34&gt;=CD$5,'制度詳細'!$J$34&lt;=EOMONTH(CD$5,0)),"◆","")))</x:f>
      </x:c>
      <x:c r="CE34" s="57" t="str">
        <x:f>IF('制度詳細'!$H$34="",IF('制度詳細'!$J$34="","",IF(AND('制度詳細'!$J$34&gt;=CE$5,'制度詳細'!$J$34&lt;=EOMONTH(CE$5,0)),"◆","")),IF(MAX('制度詳細'!$H$34,CE$5)&lt;=MIN(IF('制度詳細'!$I$34="",EOMONTH(CE$5,0),'制度詳細'!$I$34),EOMONTH(CE$5,0)),"■",IF(AND('制度詳細'!$J$34&lt;&gt;"",'制度詳細'!$J$34&gt;=CE$5,'制度詳細'!$J$34&lt;=EOMONTH(CE$5,0)),"◆","")))</x:f>
      </x:c>
      <x:c r="CF34" s="57" t="str">
        <x:f>IF('制度詳細'!$H$34="",IF('制度詳細'!$J$34="","",IF(AND('制度詳細'!$J$34&gt;=CF$5,'制度詳細'!$J$34&lt;=EOMONTH(CF$5,0)),"◆","")),IF(MAX('制度詳細'!$H$34,CF$5)&lt;=MIN(IF('制度詳細'!$I$34="",EOMONTH(CF$5,0),'制度詳細'!$I$34),EOMONTH(CF$5,0)),"■",IF(AND('制度詳細'!$J$34&lt;&gt;"",'制度詳細'!$J$34&gt;=CF$5,'制度詳細'!$J$34&lt;=EOMONTH(CF$5,0)),"◆","")))</x:f>
      </x:c>
      <x:c r="CG34" s="57" t="str">
        <x:f>IF('制度詳細'!$H$34="",IF('制度詳細'!$J$34="","",IF(AND('制度詳細'!$J$34&gt;=CG$5,'制度詳細'!$J$34&lt;=EOMONTH(CG$5,0)),"◆","")),IF(MAX('制度詳細'!$H$34,CG$5)&lt;=MIN(IF('制度詳細'!$I$34="",EOMONTH(CG$5,0),'制度詳細'!$I$34),EOMONTH(CG$5,0)),"■",IF(AND('制度詳細'!$J$34&lt;&gt;"",'制度詳細'!$J$34&gt;=CG$5,'制度詳細'!$J$34&lt;=EOMONTH(CG$5,0)),"◆","")))</x:f>
      </x:c>
      <x:c r="CH34" s="57" t="str">
        <x:f>IF('制度詳細'!$H$34="",IF('制度詳細'!$J$34="","",IF(AND('制度詳細'!$J$34&gt;=CH$5,'制度詳細'!$J$34&lt;=EOMONTH(CH$5,0)),"◆","")),IF(MAX('制度詳細'!$H$34,CH$5)&lt;=MIN(IF('制度詳細'!$I$34="",EOMONTH(CH$5,0),'制度詳細'!$I$34),EOMONTH(CH$5,0)),"■",IF(AND('制度詳細'!$J$34&lt;&gt;"",'制度詳細'!$J$34&gt;=CH$5,'制度詳細'!$J$34&lt;=EOMONTH(CH$5,0)),"◆","")))</x:f>
      </x:c>
      <x:c r="CI34" s="57" t="str">
        <x:f>IF('制度詳細'!$H$34="",IF('制度詳細'!$J$34="","",IF(AND('制度詳細'!$J$34&gt;=CI$5,'制度詳細'!$J$34&lt;=EOMONTH(CI$5,0)),"◆","")),IF(MAX('制度詳細'!$H$34,CI$5)&lt;=MIN(IF('制度詳細'!$I$34="",EOMONTH(CI$5,0),'制度詳細'!$I$34),EOMONTH(CI$5,0)),"■",IF(AND('制度詳細'!$J$34&lt;&gt;"",'制度詳細'!$J$34&gt;=CI$5,'制度詳細'!$J$34&lt;=EOMONTH(CI$5,0)),"◆","")))</x:f>
      </x:c>
      <x:c r="CJ34" s="57" t="str">
        <x:f>IF('制度詳細'!$H$34="",IF('制度詳細'!$J$34="","",IF(AND('制度詳細'!$J$34&gt;=CJ$5,'制度詳細'!$J$34&lt;=EOMONTH(CJ$5,0)),"◆","")),IF(MAX('制度詳細'!$H$34,CJ$5)&lt;=MIN(IF('制度詳細'!$I$34="",EOMONTH(CJ$5,0),'制度詳細'!$I$34),EOMONTH(CJ$5,0)),"■",IF(AND('制度詳細'!$J$34&lt;&gt;"",'制度詳細'!$J$34&gt;=CJ$5,'制度詳細'!$J$34&lt;=EOMONTH(CJ$5,0)),"◆","")))</x:f>
      </x:c>
      <x:c r="CK34" s="57" t="str">
        <x:f>IF('制度詳細'!$H$34="",IF('制度詳細'!$J$34="","",IF(AND('制度詳細'!$J$34&gt;=CK$5,'制度詳細'!$J$34&lt;=EOMONTH(CK$5,0)),"◆","")),IF(MAX('制度詳細'!$H$34,CK$5)&lt;=MIN(IF('制度詳細'!$I$34="",EOMONTH(CK$5,0),'制度詳細'!$I$34),EOMONTH(CK$5,0)),"■",IF(AND('制度詳細'!$J$34&lt;&gt;"",'制度詳細'!$J$34&gt;=CK$5,'制度詳細'!$J$34&lt;=EOMONTH(CK$5,0)),"◆","")))</x:f>
      </x:c>
      <x:c r="CL34" s="57" t="str">
        <x:f>IF('制度詳細'!$H$34="",IF('制度詳細'!$J$34="","",IF(AND('制度詳細'!$J$34&gt;=CL$5,'制度詳細'!$J$34&lt;=EOMONTH(CL$5,0)),"◆","")),IF(MAX('制度詳細'!$H$34,CL$5)&lt;=MIN(IF('制度詳細'!$I$34="",EOMONTH(CL$5,0),'制度詳細'!$I$34),EOMONTH(CL$5,0)),"■",IF(AND('制度詳細'!$J$34&lt;&gt;"",'制度詳細'!$J$34&gt;=CL$5,'制度詳細'!$J$34&lt;=EOMONTH(CL$5,0)),"◆","")))</x:f>
      </x:c>
      <x:c r="CM34" s="57" t="str">
        <x:f>IF('制度詳細'!$H$34="",IF('制度詳細'!$J$34="","",IF(AND('制度詳細'!$J$34&gt;=CM$5,'制度詳細'!$J$34&lt;=EOMONTH(CM$5,0)),"◆","")),IF(MAX('制度詳細'!$H$34,CM$5)&lt;=MIN(IF('制度詳細'!$I$34="",EOMONTH(CM$5,0),'制度詳細'!$I$34),EOMONTH(CM$5,0)),"■",IF(AND('制度詳細'!$J$34&lt;&gt;"",'制度詳細'!$J$34&gt;=CM$5,'制度詳細'!$J$34&lt;=EOMONTH(CM$5,0)),"◆","")))</x:f>
      </x:c>
      <x:c r="CN34" s="57" t="str">
        <x:f>IF('制度詳細'!$H$34="",IF('制度詳細'!$J$34="","",IF(AND('制度詳細'!$J$34&gt;=CN$5,'制度詳細'!$J$34&lt;=EOMONTH(CN$5,0)),"◆","")),IF(MAX('制度詳細'!$H$34,CN$5)&lt;=MIN(IF('制度詳細'!$I$34="",EOMONTH(CN$5,0),'制度詳細'!$I$34),EOMONTH(CN$5,0)),"■",IF(AND('制度詳細'!$J$34&lt;&gt;"",'制度詳細'!$J$34&gt;=CN$5,'制度詳細'!$J$34&lt;=EOMONTH(CN$5,0)),"◆","")))</x:f>
      </x:c>
      <x:c r="CO34" s="57" t="str">
        <x:f>IF('制度詳細'!$H$34="",IF('制度詳細'!$J$34="","",IF(AND('制度詳細'!$J$34&gt;=CO$5,'制度詳細'!$J$34&lt;=EOMONTH(CO$5,0)),"◆","")),IF(MAX('制度詳細'!$H$34,CO$5)&lt;=MIN(IF('制度詳細'!$I$34="",EOMONTH(CO$5,0),'制度詳細'!$I$34),EOMONTH(CO$5,0)),"■",IF(AND('制度詳細'!$J$34&lt;&gt;"",'制度詳細'!$J$34&gt;=CO$5,'制度詳細'!$J$34&lt;=EOMONTH(CO$5,0)),"◆","")))</x:f>
      </x:c>
      <x:c r="CP34" s="57" t="str">
        <x:f>IF('制度詳細'!$H$34="",IF('制度詳細'!$J$34="","",IF(AND('制度詳細'!$J$34&gt;=CP$5,'制度詳細'!$J$34&lt;=EOMONTH(CP$5,0)),"◆","")),IF(MAX('制度詳細'!$H$34,CP$5)&lt;=MIN(IF('制度詳細'!$I$34="",EOMONTH(CP$5,0),'制度詳細'!$I$34),EOMONTH(CP$5,0)),"■",IF(AND('制度詳細'!$J$34&lt;&gt;"",'制度詳細'!$J$34&gt;=CP$5,'制度詳細'!$J$34&lt;=EOMONTH(CP$5,0)),"◆","")))</x:f>
      </x:c>
      <x:c r="CQ34" s="57" t="str">
        <x:f>IF('制度詳細'!$H$34="",IF('制度詳細'!$J$34="","",IF(AND('制度詳細'!$J$34&gt;=CQ$5,'制度詳細'!$J$34&lt;=EOMONTH(CQ$5,0)),"◆","")),IF(MAX('制度詳細'!$H$34,CQ$5)&lt;=MIN(IF('制度詳細'!$I$34="",EOMONTH(CQ$5,0),'制度詳細'!$I$34),EOMONTH(CQ$5,0)),"■",IF(AND('制度詳細'!$J$34&lt;&gt;"",'制度詳細'!$J$34&gt;=CQ$5,'制度詳細'!$J$34&lt;=EOMONTH(CQ$5,0)),"◆","")))</x:f>
      </x:c>
      <x:c r="CR34" s="57" t="str">
        <x:f>IF('制度詳細'!$H$34="",IF('制度詳細'!$J$34="","",IF(AND('制度詳細'!$J$34&gt;=CR$5,'制度詳細'!$J$34&lt;=EOMONTH(CR$5,0)),"◆","")),IF(MAX('制度詳細'!$H$34,CR$5)&lt;=MIN(IF('制度詳細'!$I$34="",EOMONTH(CR$5,0),'制度詳細'!$I$34),EOMONTH(CR$5,0)),"■",IF(AND('制度詳細'!$J$34&lt;&gt;"",'制度詳細'!$J$34&gt;=CR$5,'制度詳細'!$J$34&lt;=EOMONTH(CR$5,0)),"◆","")))</x:f>
      </x:c>
      <x:c r="CS34" s="57" t="str">
        <x:f>IF('制度詳細'!$H$34="",IF('制度詳細'!$J$34="","",IF(AND('制度詳細'!$J$34&gt;=CS$5,'制度詳細'!$J$34&lt;=EOMONTH(CS$5,0)),"◆","")),IF(MAX('制度詳細'!$H$34,CS$5)&lt;=MIN(IF('制度詳細'!$I$34="",EOMONTH(CS$5,0),'制度詳細'!$I$34),EOMONTH(CS$5,0)),"■",IF(AND('制度詳細'!$J$34&lt;&gt;"",'制度詳細'!$J$34&gt;=CS$5,'制度詳細'!$J$34&lt;=EOMONTH(CS$5,0)),"◆","")))</x:f>
      </x:c>
      <x:c r="CT34" s="57" t="str">
        <x:f>IF('制度詳細'!$H$34="",IF('制度詳細'!$J$34="","",IF(AND('制度詳細'!$J$34&gt;=CT$5,'制度詳細'!$J$34&lt;=EOMONTH(CT$5,0)),"◆","")),IF(MAX('制度詳細'!$H$34,CT$5)&lt;=MIN(IF('制度詳細'!$I$34="",EOMONTH(CT$5,0),'制度詳細'!$I$34),EOMONTH(CT$5,0)),"■",IF(AND('制度詳細'!$J$34&lt;&gt;"",'制度詳細'!$J$34&gt;=CT$5,'制度詳細'!$J$34&lt;=EOMONTH(CT$5,0)),"◆","")))</x:f>
      </x:c>
      <x:c r="CU34" s="57" t="str">
        <x:f>IF('制度詳細'!$H$34="",IF('制度詳細'!$J$34="","",IF(AND('制度詳細'!$J$34&gt;=CU$5,'制度詳細'!$J$34&lt;=EOMONTH(CU$5,0)),"◆","")),IF(MAX('制度詳細'!$H$34,CU$5)&lt;=MIN(IF('制度詳細'!$I$34="",EOMONTH(CU$5,0),'制度詳細'!$I$34),EOMONTH(CU$5,0)),"■",IF(AND('制度詳細'!$J$34&lt;&gt;"",'制度詳細'!$J$34&gt;=CU$5,'制度詳細'!$J$34&lt;=EOMONTH(CU$5,0)),"◆","")))</x:f>
      </x:c>
      <x:c r="CV34" s="57" t="str">
        <x:f>IF('制度詳細'!$H$34="",IF('制度詳細'!$J$34="","",IF(AND('制度詳細'!$J$34&gt;=CV$5,'制度詳細'!$J$34&lt;=EOMONTH(CV$5,0)),"◆","")),IF(MAX('制度詳細'!$H$34,CV$5)&lt;=MIN(IF('制度詳細'!$I$34="",EOMONTH(CV$5,0),'制度詳細'!$I$34),EOMONTH(CV$5,0)),"■",IF(AND('制度詳細'!$J$34&lt;&gt;"",'制度詳細'!$J$34&gt;=CV$5,'制度詳細'!$J$34&lt;=EOMONTH(CV$5,0)),"◆","")))</x:f>
      </x:c>
      <x:c r="CW34" s="1"/>
      <x:c r="CX34" s="1"/>
      <x:c r="CY34" s="1"/>
      <x:c r="CZ34" s="1"/>
      <x:c r="DA34" s="1"/>
      <x:c r="DB34" s="1"/>
      <x:c r="DC34" s="1"/>
      <x:c r="DD34" s="1"/>
    </x:row>
    <x:row r="35" ht="27" customHeight="1">
      <x:c r="A35" s="58" t="str">
        <x:v>VN07</x:v>
      </x:c>
      <x:c r="B35" s="58" t="str">
        <x:v>ベトナム</x:v>
      </x:c>
      <x:c r="C35" s="58" t="str">
        <x:v>国内車：登録料50%減2020</x:v>
      </x:c>
      <x:c r="D35" s="58" t="str">
        <x:v>ICE/HEV等</x:v>
      </x:c>
      <x:c r="E35" s="57" t="str">
        <x:f>IF('制度詳細'!$H$35="",IF('制度詳細'!$J$35="","",IF(AND('制度詳細'!$J$35&gt;=E$5,'制度詳細'!$J$35&lt;=EOMONTH(E$5,0)),"◆","")),IF(MAX('制度詳細'!$H$35,E$5)&lt;=MIN(IF('制度詳細'!$I$35="",EOMONTH(E$5,0),'制度詳細'!$I$35),EOMONTH(E$5,0)),"■",IF(AND('制度詳細'!$J$35&lt;&gt;"",'制度詳細'!$J$35&gt;=E$5,'制度詳細'!$J$35&lt;=EOMONTH(E$5,0)),"◆","")))</x:f>
      </x:c>
      <x:c r="F35" s="57" t="str">
        <x:f>IF('制度詳細'!$H$35="",IF('制度詳細'!$J$35="","",IF(AND('制度詳細'!$J$35&gt;=F$5,'制度詳細'!$J$35&lt;=EOMONTH(F$5,0)),"◆","")),IF(MAX('制度詳細'!$H$35,F$5)&lt;=MIN(IF('制度詳細'!$I$35="",EOMONTH(F$5,0),'制度詳細'!$I$35),EOMONTH(F$5,0)),"■",IF(AND('制度詳細'!$J$35&lt;&gt;"",'制度詳細'!$J$35&gt;=F$5,'制度詳細'!$J$35&lt;=EOMONTH(F$5,0)),"◆","")))</x:f>
      </x:c>
      <x:c r="G35" s="57" t="str">
        <x:f>IF('制度詳細'!$H$35="",IF('制度詳細'!$J$35="","",IF(AND('制度詳細'!$J$35&gt;=G$5,'制度詳細'!$J$35&lt;=EOMONTH(G$5,0)),"◆","")),IF(MAX('制度詳細'!$H$35,G$5)&lt;=MIN(IF('制度詳細'!$I$35="",EOMONTH(G$5,0),'制度詳細'!$I$35),EOMONTH(G$5,0)),"■",IF(AND('制度詳細'!$J$35&lt;&gt;"",'制度詳細'!$J$35&gt;=G$5,'制度詳細'!$J$35&lt;=EOMONTH(G$5,0)),"◆","")))</x:f>
      </x:c>
      <x:c r="H35" s="57" t="str">
        <x:f>IF('制度詳細'!$H$35="",IF('制度詳細'!$J$35="","",IF(AND('制度詳細'!$J$35&gt;=H$5,'制度詳細'!$J$35&lt;=EOMONTH(H$5,0)),"◆","")),IF(MAX('制度詳細'!$H$35,H$5)&lt;=MIN(IF('制度詳細'!$I$35="",EOMONTH(H$5,0),'制度詳細'!$I$35),EOMONTH(H$5,0)),"■",IF(AND('制度詳細'!$J$35&lt;&gt;"",'制度詳細'!$J$35&gt;=H$5,'制度詳細'!$J$35&lt;=EOMONTH(H$5,0)),"◆","")))</x:f>
      </x:c>
      <x:c r="I35" s="57" t="str">
        <x:f>IF('制度詳細'!$H$35="",IF('制度詳細'!$J$35="","",IF(AND('制度詳細'!$J$35&gt;=I$5,'制度詳細'!$J$35&lt;=EOMONTH(I$5,0)),"◆","")),IF(MAX('制度詳細'!$H$35,I$5)&lt;=MIN(IF('制度詳細'!$I$35="",EOMONTH(I$5,0),'制度詳細'!$I$35),EOMONTH(I$5,0)),"■",IF(AND('制度詳細'!$J$35&lt;&gt;"",'制度詳細'!$J$35&gt;=I$5,'制度詳細'!$J$35&lt;=EOMONTH(I$5,0)),"◆","")))</x:f>
      </x:c>
      <x:c r="J35" s="57" t="str">
        <x:f>IF('制度詳細'!$H$35="",IF('制度詳細'!$J$35="","",IF(AND('制度詳細'!$J$35&gt;=J$5,'制度詳細'!$J$35&lt;=EOMONTH(J$5,0)),"◆","")),IF(MAX('制度詳細'!$H$35,J$5)&lt;=MIN(IF('制度詳細'!$I$35="",EOMONTH(J$5,0),'制度詳細'!$I$35),EOMONTH(J$5,0)),"■",IF(AND('制度詳細'!$J$35&lt;&gt;"",'制度詳細'!$J$35&gt;=J$5,'制度詳細'!$J$35&lt;=EOMONTH(J$5,0)),"◆","")))</x:f>
        <x:v>■</x:v>
      </x:c>
      <x:c r="K35" s="57" t="str">
        <x:f>IF('制度詳細'!$H$35="",IF('制度詳細'!$J$35="","",IF(AND('制度詳細'!$J$35&gt;=K$5,'制度詳細'!$J$35&lt;=EOMONTH(K$5,0)),"◆","")),IF(MAX('制度詳細'!$H$35,K$5)&lt;=MIN(IF('制度詳細'!$I$35="",EOMONTH(K$5,0),'制度詳細'!$I$35),EOMONTH(K$5,0)),"■",IF(AND('制度詳細'!$J$35&lt;&gt;"",'制度詳細'!$J$35&gt;=K$5,'制度詳細'!$J$35&lt;=EOMONTH(K$5,0)),"◆","")))</x:f>
        <x:v>■</x:v>
      </x:c>
      <x:c r="L35" s="57" t="str">
        <x:f>IF('制度詳細'!$H$35="",IF('制度詳細'!$J$35="","",IF(AND('制度詳細'!$J$35&gt;=L$5,'制度詳細'!$J$35&lt;=EOMONTH(L$5,0)),"◆","")),IF(MAX('制度詳細'!$H$35,L$5)&lt;=MIN(IF('制度詳細'!$I$35="",EOMONTH(L$5,0),'制度詳細'!$I$35),EOMONTH(L$5,0)),"■",IF(AND('制度詳細'!$J$35&lt;&gt;"",'制度詳細'!$J$35&gt;=L$5,'制度詳細'!$J$35&lt;=EOMONTH(L$5,0)),"◆","")))</x:f>
        <x:v>■</x:v>
      </x:c>
      <x:c r="M35" s="57" t="str">
        <x:f>IF('制度詳細'!$H$35="",IF('制度詳細'!$J$35="","",IF(AND('制度詳細'!$J$35&gt;=M$5,'制度詳細'!$J$35&lt;=EOMONTH(M$5,0)),"◆","")),IF(MAX('制度詳細'!$H$35,M$5)&lt;=MIN(IF('制度詳細'!$I$35="",EOMONTH(M$5,0),'制度詳細'!$I$35),EOMONTH(M$5,0)),"■",IF(AND('制度詳細'!$J$35&lt;&gt;"",'制度詳細'!$J$35&gt;=M$5,'制度詳細'!$J$35&lt;=EOMONTH(M$5,0)),"◆","")))</x:f>
        <x:v>■</x:v>
      </x:c>
      <x:c r="N35" s="57" t="str">
        <x:f>IF('制度詳細'!$H$35="",IF('制度詳細'!$J$35="","",IF(AND('制度詳細'!$J$35&gt;=N$5,'制度詳細'!$J$35&lt;=EOMONTH(N$5,0)),"◆","")),IF(MAX('制度詳細'!$H$35,N$5)&lt;=MIN(IF('制度詳細'!$I$35="",EOMONTH(N$5,0),'制度詳細'!$I$35),EOMONTH(N$5,0)),"■",IF(AND('制度詳細'!$J$35&lt;&gt;"",'制度詳細'!$J$35&gt;=N$5,'制度詳細'!$J$35&lt;=EOMONTH(N$5,0)),"◆","")))</x:f>
        <x:v>■</x:v>
      </x:c>
      <x:c r="O35" s="57" t="str">
        <x:f>IF('制度詳細'!$H$35="",IF('制度詳細'!$J$35="","",IF(AND('制度詳細'!$J$35&gt;=O$5,'制度詳細'!$J$35&lt;=EOMONTH(O$5,0)),"◆","")),IF(MAX('制度詳細'!$H$35,O$5)&lt;=MIN(IF('制度詳細'!$I$35="",EOMONTH(O$5,0),'制度詳細'!$I$35),EOMONTH(O$5,0)),"■",IF(AND('制度詳細'!$J$35&lt;&gt;"",'制度詳細'!$J$35&gt;=O$5,'制度詳細'!$J$35&lt;=EOMONTH(O$5,0)),"◆","")))</x:f>
        <x:v>■</x:v>
      </x:c>
      <x:c r="P35" s="57" t="str">
        <x:f>IF('制度詳細'!$H$35="",IF('制度詳細'!$J$35="","",IF(AND('制度詳細'!$J$35&gt;=P$5,'制度詳細'!$J$35&lt;=EOMONTH(P$5,0)),"◆","")),IF(MAX('制度詳細'!$H$35,P$5)&lt;=MIN(IF('制度詳細'!$I$35="",EOMONTH(P$5,0),'制度詳細'!$I$35),EOMONTH(P$5,0)),"■",IF(AND('制度詳細'!$J$35&lt;&gt;"",'制度詳細'!$J$35&gt;=P$5,'制度詳細'!$J$35&lt;=EOMONTH(P$5,0)),"◆","")))</x:f>
        <x:v>■</x:v>
      </x:c>
      <x:c r="Q35" s="57" t="str">
        <x:f>IF('制度詳細'!$H$35="",IF('制度詳細'!$J$35="","",IF(AND('制度詳細'!$J$35&gt;=Q$5,'制度詳細'!$J$35&lt;=EOMONTH(Q$5,0)),"◆","")),IF(MAX('制度詳細'!$H$35,Q$5)&lt;=MIN(IF('制度詳細'!$I$35="",EOMONTH(Q$5,0),'制度詳細'!$I$35),EOMONTH(Q$5,0)),"■",IF(AND('制度詳細'!$J$35&lt;&gt;"",'制度詳細'!$J$35&gt;=Q$5,'制度詳細'!$J$35&lt;=EOMONTH(Q$5,0)),"◆","")))</x:f>
      </x:c>
      <x:c r="R35" s="57" t="str">
        <x:f>IF('制度詳細'!$H$35="",IF('制度詳細'!$J$35="","",IF(AND('制度詳細'!$J$35&gt;=R$5,'制度詳細'!$J$35&lt;=EOMONTH(R$5,0)),"◆","")),IF(MAX('制度詳細'!$H$35,R$5)&lt;=MIN(IF('制度詳細'!$I$35="",EOMONTH(R$5,0),'制度詳細'!$I$35),EOMONTH(R$5,0)),"■",IF(AND('制度詳細'!$J$35&lt;&gt;"",'制度詳細'!$J$35&gt;=R$5,'制度詳細'!$J$35&lt;=EOMONTH(R$5,0)),"◆","")))</x:f>
      </x:c>
      <x:c r="S35" s="57" t="str">
        <x:f>IF('制度詳細'!$H$35="",IF('制度詳細'!$J$35="","",IF(AND('制度詳細'!$J$35&gt;=S$5,'制度詳細'!$J$35&lt;=EOMONTH(S$5,0)),"◆","")),IF(MAX('制度詳細'!$H$35,S$5)&lt;=MIN(IF('制度詳細'!$I$35="",EOMONTH(S$5,0),'制度詳細'!$I$35),EOMONTH(S$5,0)),"■",IF(AND('制度詳細'!$J$35&lt;&gt;"",'制度詳細'!$J$35&gt;=S$5,'制度詳細'!$J$35&lt;=EOMONTH(S$5,0)),"◆","")))</x:f>
      </x:c>
      <x:c r="T35" s="57" t="str">
        <x:f>IF('制度詳細'!$H$35="",IF('制度詳細'!$J$35="","",IF(AND('制度詳細'!$J$35&gt;=T$5,'制度詳細'!$J$35&lt;=EOMONTH(T$5,0)),"◆","")),IF(MAX('制度詳細'!$H$35,T$5)&lt;=MIN(IF('制度詳細'!$I$35="",EOMONTH(T$5,0),'制度詳細'!$I$35),EOMONTH(T$5,0)),"■",IF(AND('制度詳細'!$J$35&lt;&gt;"",'制度詳細'!$J$35&gt;=T$5,'制度詳細'!$J$35&lt;=EOMONTH(T$5,0)),"◆","")))</x:f>
      </x:c>
      <x:c r="U35" s="57" t="str">
        <x:f>IF('制度詳細'!$H$35="",IF('制度詳細'!$J$35="","",IF(AND('制度詳細'!$J$35&gt;=U$5,'制度詳細'!$J$35&lt;=EOMONTH(U$5,0)),"◆","")),IF(MAX('制度詳細'!$H$35,U$5)&lt;=MIN(IF('制度詳細'!$I$35="",EOMONTH(U$5,0),'制度詳細'!$I$35),EOMONTH(U$5,0)),"■",IF(AND('制度詳細'!$J$35&lt;&gt;"",'制度詳細'!$J$35&gt;=U$5,'制度詳細'!$J$35&lt;=EOMONTH(U$5,0)),"◆","")))</x:f>
      </x:c>
      <x:c r="V35" s="57" t="str">
        <x:f>IF('制度詳細'!$H$35="",IF('制度詳細'!$J$35="","",IF(AND('制度詳細'!$J$35&gt;=V$5,'制度詳細'!$J$35&lt;=EOMONTH(V$5,0)),"◆","")),IF(MAX('制度詳細'!$H$35,V$5)&lt;=MIN(IF('制度詳細'!$I$35="",EOMONTH(V$5,0),'制度詳細'!$I$35),EOMONTH(V$5,0)),"■",IF(AND('制度詳細'!$J$35&lt;&gt;"",'制度詳細'!$J$35&gt;=V$5,'制度詳細'!$J$35&lt;=EOMONTH(V$5,0)),"◆","")))</x:f>
      </x:c>
      <x:c r="W35" s="57" t="str">
        <x:f>IF('制度詳細'!$H$35="",IF('制度詳細'!$J$35="","",IF(AND('制度詳細'!$J$35&gt;=W$5,'制度詳細'!$J$35&lt;=EOMONTH(W$5,0)),"◆","")),IF(MAX('制度詳細'!$H$35,W$5)&lt;=MIN(IF('制度詳細'!$I$35="",EOMONTH(W$5,0),'制度詳細'!$I$35),EOMONTH(W$5,0)),"■",IF(AND('制度詳細'!$J$35&lt;&gt;"",'制度詳細'!$J$35&gt;=W$5,'制度詳細'!$J$35&lt;=EOMONTH(W$5,0)),"◆","")))</x:f>
      </x:c>
      <x:c r="X35" s="57" t="str">
        <x:f>IF('制度詳細'!$H$35="",IF('制度詳細'!$J$35="","",IF(AND('制度詳細'!$J$35&gt;=X$5,'制度詳細'!$J$35&lt;=EOMONTH(X$5,0)),"◆","")),IF(MAX('制度詳細'!$H$35,X$5)&lt;=MIN(IF('制度詳細'!$I$35="",EOMONTH(X$5,0),'制度詳細'!$I$35),EOMONTH(X$5,0)),"■",IF(AND('制度詳細'!$J$35&lt;&gt;"",'制度詳細'!$J$35&gt;=X$5,'制度詳細'!$J$35&lt;=EOMONTH(X$5,0)),"◆","")))</x:f>
      </x:c>
      <x:c r="Y35" s="57" t="str">
        <x:f>IF('制度詳細'!$H$35="",IF('制度詳細'!$J$35="","",IF(AND('制度詳細'!$J$35&gt;=Y$5,'制度詳細'!$J$35&lt;=EOMONTH(Y$5,0)),"◆","")),IF(MAX('制度詳細'!$H$35,Y$5)&lt;=MIN(IF('制度詳細'!$I$35="",EOMONTH(Y$5,0),'制度詳細'!$I$35),EOMONTH(Y$5,0)),"■",IF(AND('制度詳細'!$J$35&lt;&gt;"",'制度詳細'!$J$35&gt;=Y$5,'制度詳細'!$J$35&lt;=EOMONTH(Y$5,0)),"◆","")))</x:f>
      </x:c>
      <x:c r="Z35" s="57" t="str">
        <x:f>IF('制度詳細'!$H$35="",IF('制度詳細'!$J$35="","",IF(AND('制度詳細'!$J$35&gt;=Z$5,'制度詳細'!$J$35&lt;=EOMONTH(Z$5,0)),"◆","")),IF(MAX('制度詳細'!$H$35,Z$5)&lt;=MIN(IF('制度詳細'!$I$35="",EOMONTH(Z$5,0),'制度詳細'!$I$35),EOMONTH(Z$5,0)),"■",IF(AND('制度詳細'!$J$35&lt;&gt;"",'制度詳細'!$J$35&gt;=Z$5,'制度詳細'!$J$35&lt;=EOMONTH(Z$5,0)),"◆","")))</x:f>
      </x:c>
      <x:c r="AA35" s="57" t="str">
        <x:f>IF('制度詳細'!$H$35="",IF('制度詳細'!$J$35="","",IF(AND('制度詳細'!$J$35&gt;=AA$5,'制度詳細'!$J$35&lt;=EOMONTH(AA$5,0)),"◆","")),IF(MAX('制度詳細'!$H$35,AA$5)&lt;=MIN(IF('制度詳細'!$I$35="",EOMONTH(AA$5,0),'制度詳細'!$I$35),EOMONTH(AA$5,0)),"■",IF(AND('制度詳細'!$J$35&lt;&gt;"",'制度詳細'!$J$35&gt;=AA$5,'制度詳細'!$J$35&lt;=EOMONTH(AA$5,0)),"◆","")))</x:f>
      </x:c>
      <x:c r="AB35" s="57" t="str">
        <x:f>IF('制度詳細'!$H$35="",IF('制度詳細'!$J$35="","",IF(AND('制度詳細'!$J$35&gt;=AB$5,'制度詳細'!$J$35&lt;=EOMONTH(AB$5,0)),"◆","")),IF(MAX('制度詳細'!$H$35,AB$5)&lt;=MIN(IF('制度詳細'!$I$35="",EOMONTH(AB$5,0),'制度詳細'!$I$35),EOMONTH(AB$5,0)),"■",IF(AND('制度詳細'!$J$35&lt;&gt;"",'制度詳細'!$J$35&gt;=AB$5,'制度詳細'!$J$35&lt;=EOMONTH(AB$5,0)),"◆","")))</x:f>
      </x:c>
      <x:c r="AC35" s="57" t="str">
        <x:f>IF('制度詳細'!$H$35="",IF('制度詳細'!$J$35="","",IF(AND('制度詳細'!$J$35&gt;=AC$5,'制度詳細'!$J$35&lt;=EOMONTH(AC$5,0)),"◆","")),IF(MAX('制度詳細'!$H$35,AC$5)&lt;=MIN(IF('制度詳細'!$I$35="",EOMONTH(AC$5,0),'制度詳細'!$I$35),EOMONTH(AC$5,0)),"■",IF(AND('制度詳細'!$J$35&lt;&gt;"",'制度詳細'!$J$35&gt;=AC$5,'制度詳細'!$J$35&lt;=EOMONTH(AC$5,0)),"◆","")))</x:f>
      </x:c>
      <x:c r="AD35" s="57" t="str">
        <x:f>IF('制度詳細'!$H$35="",IF('制度詳細'!$J$35="","",IF(AND('制度詳細'!$J$35&gt;=AD$5,'制度詳細'!$J$35&lt;=EOMONTH(AD$5,0)),"◆","")),IF(MAX('制度詳細'!$H$35,AD$5)&lt;=MIN(IF('制度詳細'!$I$35="",EOMONTH(AD$5,0),'制度詳細'!$I$35),EOMONTH(AD$5,0)),"■",IF(AND('制度詳細'!$J$35&lt;&gt;"",'制度詳細'!$J$35&gt;=AD$5,'制度詳細'!$J$35&lt;=EOMONTH(AD$5,0)),"◆","")))</x:f>
      </x:c>
      <x:c r="AE35" s="57" t="str">
        <x:f>IF('制度詳細'!$H$35="",IF('制度詳細'!$J$35="","",IF(AND('制度詳細'!$J$35&gt;=AE$5,'制度詳細'!$J$35&lt;=EOMONTH(AE$5,0)),"◆","")),IF(MAX('制度詳細'!$H$35,AE$5)&lt;=MIN(IF('制度詳細'!$I$35="",EOMONTH(AE$5,0),'制度詳細'!$I$35),EOMONTH(AE$5,0)),"■",IF(AND('制度詳細'!$J$35&lt;&gt;"",'制度詳細'!$J$35&gt;=AE$5,'制度詳細'!$J$35&lt;=EOMONTH(AE$5,0)),"◆","")))</x:f>
      </x:c>
      <x:c r="AF35" s="57" t="str">
        <x:f>IF('制度詳細'!$H$35="",IF('制度詳細'!$J$35="","",IF(AND('制度詳細'!$J$35&gt;=AF$5,'制度詳細'!$J$35&lt;=EOMONTH(AF$5,0)),"◆","")),IF(MAX('制度詳細'!$H$35,AF$5)&lt;=MIN(IF('制度詳細'!$I$35="",EOMONTH(AF$5,0),'制度詳細'!$I$35),EOMONTH(AF$5,0)),"■",IF(AND('制度詳細'!$J$35&lt;&gt;"",'制度詳細'!$J$35&gt;=AF$5,'制度詳細'!$J$35&lt;=EOMONTH(AF$5,0)),"◆","")))</x:f>
      </x:c>
      <x:c r="AG35" s="57" t="str">
        <x:f>IF('制度詳細'!$H$35="",IF('制度詳細'!$J$35="","",IF(AND('制度詳細'!$J$35&gt;=AG$5,'制度詳細'!$J$35&lt;=EOMONTH(AG$5,0)),"◆","")),IF(MAX('制度詳細'!$H$35,AG$5)&lt;=MIN(IF('制度詳細'!$I$35="",EOMONTH(AG$5,0),'制度詳細'!$I$35),EOMONTH(AG$5,0)),"■",IF(AND('制度詳細'!$J$35&lt;&gt;"",'制度詳細'!$J$35&gt;=AG$5,'制度詳細'!$J$35&lt;=EOMONTH(AG$5,0)),"◆","")))</x:f>
      </x:c>
      <x:c r="AH35" s="57" t="str">
        <x:f>IF('制度詳細'!$H$35="",IF('制度詳細'!$J$35="","",IF(AND('制度詳細'!$J$35&gt;=AH$5,'制度詳細'!$J$35&lt;=EOMONTH(AH$5,0)),"◆","")),IF(MAX('制度詳細'!$H$35,AH$5)&lt;=MIN(IF('制度詳細'!$I$35="",EOMONTH(AH$5,0),'制度詳細'!$I$35),EOMONTH(AH$5,0)),"■",IF(AND('制度詳細'!$J$35&lt;&gt;"",'制度詳細'!$J$35&gt;=AH$5,'制度詳細'!$J$35&lt;=EOMONTH(AH$5,0)),"◆","")))</x:f>
      </x:c>
      <x:c r="AI35" s="57" t="str">
        <x:f>IF('制度詳細'!$H$35="",IF('制度詳細'!$J$35="","",IF(AND('制度詳細'!$J$35&gt;=AI$5,'制度詳細'!$J$35&lt;=EOMONTH(AI$5,0)),"◆","")),IF(MAX('制度詳細'!$H$35,AI$5)&lt;=MIN(IF('制度詳細'!$I$35="",EOMONTH(AI$5,0),'制度詳細'!$I$35),EOMONTH(AI$5,0)),"■",IF(AND('制度詳細'!$J$35&lt;&gt;"",'制度詳細'!$J$35&gt;=AI$5,'制度詳細'!$J$35&lt;=EOMONTH(AI$5,0)),"◆","")))</x:f>
      </x:c>
      <x:c r="AJ35" s="57" t="str">
        <x:f>IF('制度詳細'!$H$35="",IF('制度詳細'!$J$35="","",IF(AND('制度詳細'!$J$35&gt;=AJ$5,'制度詳細'!$J$35&lt;=EOMONTH(AJ$5,0)),"◆","")),IF(MAX('制度詳細'!$H$35,AJ$5)&lt;=MIN(IF('制度詳細'!$I$35="",EOMONTH(AJ$5,0),'制度詳細'!$I$35),EOMONTH(AJ$5,0)),"■",IF(AND('制度詳細'!$J$35&lt;&gt;"",'制度詳細'!$J$35&gt;=AJ$5,'制度詳細'!$J$35&lt;=EOMONTH(AJ$5,0)),"◆","")))</x:f>
      </x:c>
      <x:c r="AK35" s="57" t="str">
        <x:f>IF('制度詳細'!$H$35="",IF('制度詳細'!$J$35="","",IF(AND('制度詳細'!$J$35&gt;=AK$5,'制度詳細'!$J$35&lt;=EOMONTH(AK$5,0)),"◆","")),IF(MAX('制度詳細'!$H$35,AK$5)&lt;=MIN(IF('制度詳細'!$I$35="",EOMONTH(AK$5,0),'制度詳細'!$I$35),EOMONTH(AK$5,0)),"■",IF(AND('制度詳細'!$J$35&lt;&gt;"",'制度詳細'!$J$35&gt;=AK$5,'制度詳細'!$J$35&lt;=EOMONTH(AK$5,0)),"◆","")))</x:f>
      </x:c>
      <x:c r="AL35" s="57" t="str">
        <x:f>IF('制度詳細'!$H$35="",IF('制度詳細'!$J$35="","",IF(AND('制度詳細'!$J$35&gt;=AL$5,'制度詳細'!$J$35&lt;=EOMONTH(AL$5,0)),"◆","")),IF(MAX('制度詳細'!$H$35,AL$5)&lt;=MIN(IF('制度詳細'!$I$35="",EOMONTH(AL$5,0),'制度詳細'!$I$35),EOMONTH(AL$5,0)),"■",IF(AND('制度詳細'!$J$35&lt;&gt;"",'制度詳細'!$J$35&gt;=AL$5,'制度詳細'!$J$35&lt;=EOMONTH(AL$5,0)),"◆","")))</x:f>
      </x:c>
      <x:c r="AM35" s="57" t="str">
        <x:f>IF('制度詳細'!$H$35="",IF('制度詳細'!$J$35="","",IF(AND('制度詳細'!$J$35&gt;=AM$5,'制度詳細'!$J$35&lt;=EOMONTH(AM$5,0)),"◆","")),IF(MAX('制度詳細'!$H$35,AM$5)&lt;=MIN(IF('制度詳細'!$I$35="",EOMONTH(AM$5,0),'制度詳細'!$I$35),EOMONTH(AM$5,0)),"■",IF(AND('制度詳細'!$J$35&lt;&gt;"",'制度詳細'!$J$35&gt;=AM$5,'制度詳細'!$J$35&lt;=EOMONTH(AM$5,0)),"◆","")))</x:f>
      </x:c>
      <x:c r="AN35" s="57" t="str">
        <x:f>IF('制度詳細'!$H$35="",IF('制度詳細'!$J$35="","",IF(AND('制度詳細'!$J$35&gt;=AN$5,'制度詳細'!$J$35&lt;=EOMONTH(AN$5,0)),"◆","")),IF(MAX('制度詳細'!$H$35,AN$5)&lt;=MIN(IF('制度詳細'!$I$35="",EOMONTH(AN$5,0),'制度詳細'!$I$35),EOMONTH(AN$5,0)),"■",IF(AND('制度詳細'!$J$35&lt;&gt;"",'制度詳細'!$J$35&gt;=AN$5,'制度詳細'!$J$35&lt;=EOMONTH(AN$5,0)),"◆","")))</x:f>
      </x:c>
      <x:c r="AO35" s="57" t="str">
        <x:f>IF('制度詳細'!$H$35="",IF('制度詳細'!$J$35="","",IF(AND('制度詳細'!$J$35&gt;=AO$5,'制度詳細'!$J$35&lt;=EOMONTH(AO$5,0)),"◆","")),IF(MAX('制度詳細'!$H$35,AO$5)&lt;=MIN(IF('制度詳細'!$I$35="",EOMONTH(AO$5,0),'制度詳細'!$I$35),EOMONTH(AO$5,0)),"■",IF(AND('制度詳細'!$J$35&lt;&gt;"",'制度詳細'!$J$35&gt;=AO$5,'制度詳細'!$J$35&lt;=EOMONTH(AO$5,0)),"◆","")))</x:f>
      </x:c>
      <x:c r="AP35" s="57" t="str">
        <x:f>IF('制度詳細'!$H$35="",IF('制度詳細'!$J$35="","",IF(AND('制度詳細'!$J$35&gt;=AP$5,'制度詳細'!$J$35&lt;=EOMONTH(AP$5,0)),"◆","")),IF(MAX('制度詳細'!$H$35,AP$5)&lt;=MIN(IF('制度詳細'!$I$35="",EOMONTH(AP$5,0),'制度詳細'!$I$35),EOMONTH(AP$5,0)),"■",IF(AND('制度詳細'!$J$35&lt;&gt;"",'制度詳細'!$J$35&gt;=AP$5,'制度詳細'!$J$35&lt;=EOMONTH(AP$5,0)),"◆","")))</x:f>
      </x:c>
      <x:c r="AQ35" s="57" t="str">
        <x:f>IF('制度詳細'!$H$35="",IF('制度詳細'!$J$35="","",IF(AND('制度詳細'!$J$35&gt;=AQ$5,'制度詳細'!$J$35&lt;=EOMONTH(AQ$5,0)),"◆","")),IF(MAX('制度詳細'!$H$35,AQ$5)&lt;=MIN(IF('制度詳細'!$I$35="",EOMONTH(AQ$5,0),'制度詳細'!$I$35),EOMONTH(AQ$5,0)),"■",IF(AND('制度詳細'!$J$35&lt;&gt;"",'制度詳細'!$J$35&gt;=AQ$5,'制度詳細'!$J$35&lt;=EOMONTH(AQ$5,0)),"◆","")))</x:f>
      </x:c>
      <x:c r="AR35" s="57" t="str">
        <x:f>IF('制度詳細'!$H$35="",IF('制度詳細'!$J$35="","",IF(AND('制度詳細'!$J$35&gt;=AR$5,'制度詳細'!$J$35&lt;=EOMONTH(AR$5,0)),"◆","")),IF(MAX('制度詳細'!$H$35,AR$5)&lt;=MIN(IF('制度詳細'!$I$35="",EOMONTH(AR$5,0),'制度詳細'!$I$35),EOMONTH(AR$5,0)),"■",IF(AND('制度詳細'!$J$35&lt;&gt;"",'制度詳細'!$J$35&gt;=AR$5,'制度詳細'!$J$35&lt;=EOMONTH(AR$5,0)),"◆","")))</x:f>
      </x:c>
      <x:c r="AS35" s="57" t="str">
        <x:f>IF('制度詳細'!$H$35="",IF('制度詳細'!$J$35="","",IF(AND('制度詳細'!$J$35&gt;=AS$5,'制度詳細'!$J$35&lt;=EOMONTH(AS$5,0)),"◆","")),IF(MAX('制度詳細'!$H$35,AS$5)&lt;=MIN(IF('制度詳細'!$I$35="",EOMONTH(AS$5,0),'制度詳細'!$I$35),EOMONTH(AS$5,0)),"■",IF(AND('制度詳細'!$J$35&lt;&gt;"",'制度詳細'!$J$35&gt;=AS$5,'制度詳細'!$J$35&lt;=EOMONTH(AS$5,0)),"◆","")))</x:f>
      </x:c>
      <x:c r="AT35" s="57" t="str">
        <x:f>IF('制度詳細'!$H$35="",IF('制度詳細'!$J$35="","",IF(AND('制度詳細'!$J$35&gt;=AT$5,'制度詳細'!$J$35&lt;=EOMONTH(AT$5,0)),"◆","")),IF(MAX('制度詳細'!$H$35,AT$5)&lt;=MIN(IF('制度詳細'!$I$35="",EOMONTH(AT$5,0),'制度詳細'!$I$35),EOMONTH(AT$5,0)),"■",IF(AND('制度詳細'!$J$35&lt;&gt;"",'制度詳細'!$J$35&gt;=AT$5,'制度詳細'!$J$35&lt;=EOMONTH(AT$5,0)),"◆","")))</x:f>
      </x:c>
      <x:c r="AU35" s="57" t="str">
        <x:f>IF('制度詳細'!$H$35="",IF('制度詳細'!$J$35="","",IF(AND('制度詳細'!$J$35&gt;=AU$5,'制度詳細'!$J$35&lt;=EOMONTH(AU$5,0)),"◆","")),IF(MAX('制度詳細'!$H$35,AU$5)&lt;=MIN(IF('制度詳細'!$I$35="",EOMONTH(AU$5,0),'制度詳細'!$I$35),EOMONTH(AU$5,0)),"■",IF(AND('制度詳細'!$J$35&lt;&gt;"",'制度詳細'!$J$35&gt;=AU$5,'制度詳細'!$J$35&lt;=EOMONTH(AU$5,0)),"◆","")))</x:f>
      </x:c>
      <x:c r="AV35" s="57" t="str">
        <x:f>IF('制度詳細'!$H$35="",IF('制度詳細'!$J$35="","",IF(AND('制度詳細'!$J$35&gt;=AV$5,'制度詳細'!$J$35&lt;=EOMONTH(AV$5,0)),"◆","")),IF(MAX('制度詳細'!$H$35,AV$5)&lt;=MIN(IF('制度詳細'!$I$35="",EOMONTH(AV$5,0),'制度詳細'!$I$35),EOMONTH(AV$5,0)),"■",IF(AND('制度詳細'!$J$35&lt;&gt;"",'制度詳細'!$J$35&gt;=AV$5,'制度詳細'!$J$35&lt;=EOMONTH(AV$5,0)),"◆","")))</x:f>
      </x:c>
      <x:c r="AW35" s="57" t="str">
        <x:f>IF('制度詳細'!$H$35="",IF('制度詳細'!$J$35="","",IF(AND('制度詳細'!$J$35&gt;=AW$5,'制度詳細'!$J$35&lt;=EOMONTH(AW$5,0)),"◆","")),IF(MAX('制度詳細'!$H$35,AW$5)&lt;=MIN(IF('制度詳細'!$I$35="",EOMONTH(AW$5,0),'制度詳細'!$I$35),EOMONTH(AW$5,0)),"■",IF(AND('制度詳細'!$J$35&lt;&gt;"",'制度詳細'!$J$35&gt;=AW$5,'制度詳細'!$J$35&lt;=EOMONTH(AW$5,0)),"◆","")))</x:f>
      </x:c>
      <x:c r="AX35" s="57" t="str">
        <x:f>IF('制度詳細'!$H$35="",IF('制度詳細'!$J$35="","",IF(AND('制度詳細'!$J$35&gt;=AX$5,'制度詳細'!$J$35&lt;=EOMONTH(AX$5,0)),"◆","")),IF(MAX('制度詳細'!$H$35,AX$5)&lt;=MIN(IF('制度詳細'!$I$35="",EOMONTH(AX$5,0),'制度詳細'!$I$35),EOMONTH(AX$5,0)),"■",IF(AND('制度詳細'!$J$35&lt;&gt;"",'制度詳細'!$J$35&gt;=AX$5,'制度詳細'!$J$35&lt;=EOMONTH(AX$5,0)),"◆","")))</x:f>
      </x:c>
      <x:c r="AY35" s="57" t="str">
        <x:f>IF('制度詳細'!$H$35="",IF('制度詳細'!$J$35="","",IF(AND('制度詳細'!$J$35&gt;=AY$5,'制度詳細'!$J$35&lt;=EOMONTH(AY$5,0)),"◆","")),IF(MAX('制度詳細'!$H$35,AY$5)&lt;=MIN(IF('制度詳細'!$I$35="",EOMONTH(AY$5,0),'制度詳細'!$I$35),EOMONTH(AY$5,0)),"■",IF(AND('制度詳細'!$J$35&lt;&gt;"",'制度詳細'!$J$35&gt;=AY$5,'制度詳細'!$J$35&lt;=EOMONTH(AY$5,0)),"◆","")))</x:f>
      </x:c>
      <x:c r="AZ35" s="57" t="str">
        <x:f>IF('制度詳細'!$H$35="",IF('制度詳細'!$J$35="","",IF(AND('制度詳細'!$J$35&gt;=AZ$5,'制度詳細'!$J$35&lt;=EOMONTH(AZ$5,0)),"◆","")),IF(MAX('制度詳細'!$H$35,AZ$5)&lt;=MIN(IF('制度詳細'!$I$35="",EOMONTH(AZ$5,0),'制度詳細'!$I$35),EOMONTH(AZ$5,0)),"■",IF(AND('制度詳細'!$J$35&lt;&gt;"",'制度詳細'!$J$35&gt;=AZ$5,'制度詳細'!$J$35&lt;=EOMONTH(AZ$5,0)),"◆","")))</x:f>
      </x:c>
      <x:c r="BA35" s="57" t="str">
        <x:f>IF('制度詳細'!$H$35="",IF('制度詳細'!$J$35="","",IF(AND('制度詳細'!$J$35&gt;=BA$5,'制度詳細'!$J$35&lt;=EOMONTH(BA$5,0)),"◆","")),IF(MAX('制度詳細'!$H$35,BA$5)&lt;=MIN(IF('制度詳細'!$I$35="",EOMONTH(BA$5,0),'制度詳細'!$I$35),EOMONTH(BA$5,0)),"■",IF(AND('制度詳細'!$J$35&lt;&gt;"",'制度詳細'!$J$35&gt;=BA$5,'制度詳細'!$J$35&lt;=EOMONTH(BA$5,0)),"◆","")))</x:f>
      </x:c>
      <x:c r="BB35" s="57" t="str">
        <x:f>IF('制度詳細'!$H$35="",IF('制度詳細'!$J$35="","",IF(AND('制度詳細'!$J$35&gt;=BB$5,'制度詳細'!$J$35&lt;=EOMONTH(BB$5,0)),"◆","")),IF(MAX('制度詳細'!$H$35,BB$5)&lt;=MIN(IF('制度詳細'!$I$35="",EOMONTH(BB$5,0),'制度詳細'!$I$35),EOMONTH(BB$5,0)),"■",IF(AND('制度詳細'!$J$35&lt;&gt;"",'制度詳細'!$J$35&gt;=BB$5,'制度詳細'!$J$35&lt;=EOMONTH(BB$5,0)),"◆","")))</x:f>
      </x:c>
      <x:c r="BC35" s="57" t="str">
        <x:f>IF('制度詳細'!$H$35="",IF('制度詳細'!$J$35="","",IF(AND('制度詳細'!$J$35&gt;=BC$5,'制度詳細'!$J$35&lt;=EOMONTH(BC$5,0)),"◆","")),IF(MAX('制度詳細'!$H$35,BC$5)&lt;=MIN(IF('制度詳細'!$I$35="",EOMONTH(BC$5,0),'制度詳細'!$I$35),EOMONTH(BC$5,0)),"■",IF(AND('制度詳細'!$J$35&lt;&gt;"",'制度詳細'!$J$35&gt;=BC$5,'制度詳細'!$J$35&lt;=EOMONTH(BC$5,0)),"◆","")))</x:f>
      </x:c>
      <x:c r="BD35" s="57" t="str">
        <x:f>IF('制度詳細'!$H$35="",IF('制度詳細'!$J$35="","",IF(AND('制度詳細'!$J$35&gt;=BD$5,'制度詳細'!$J$35&lt;=EOMONTH(BD$5,0)),"◆","")),IF(MAX('制度詳細'!$H$35,BD$5)&lt;=MIN(IF('制度詳細'!$I$35="",EOMONTH(BD$5,0),'制度詳細'!$I$35),EOMONTH(BD$5,0)),"■",IF(AND('制度詳細'!$J$35&lt;&gt;"",'制度詳細'!$J$35&gt;=BD$5,'制度詳細'!$J$35&lt;=EOMONTH(BD$5,0)),"◆","")))</x:f>
      </x:c>
      <x:c r="BE35" s="57" t="str">
        <x:f>IF('制度詳細'!$H$35="",IF('制度詳細'!$J$35="","",IF(AND('制度詳細'!$J$35&gt;=BE$5,'制度詳細'!$J$35&lt;=EOMONTH(BE$5,0)),"◆","")),IF(MAX('制度詳細'!$H$35,BE$5)&lt;=MIN(IF('制度詳細'!$I$35="",EOMONTH(BE$5,0),'制度詳細'!$I$35),EOMONTH(BE$5,0)),"■",IF(AND('制度詳細'!$J$35&lt;&gt;"",'制度詳細'!$J$35&gt;=BE$5,'制度詳細'!$J$35&lt;=EOMONTH(BE$5,0)),"◆","")))</x:f>
      </x:c>
      <x:c r="BF35" s="57" t="str">
        <x:f>IF('制度詳細'!$H$35="",IF('制度詳細'!$J$35="","",IF(AND('制度詳細'!$J$35&gt;=BF$5,'制度詳細'!$J$35&lt;=EOMONTH(BF$5,0)),"◆","")),IF(MAX('制度詳細'!$H$35,BF$5)&lt;=MIN(IF('制度詳細'!$I$35="",EOMONTH(BF$5,0),'制度詳細'!$I$35),EOMONTH(BF$5,0)),"■",IF(AND('制度詳細'!$J$35&lt;&gt;"",'制度詳細'!$J$35&gt;=BF$5,'制度詳細'!$J$35&lt;=EOMONTH(BF$5,0)),"◆","")))</x:f>
      </x:c>
      <x:c r="BG35" s="57" t="str">
        <x:f>IF('制度詳細'!$H$35="",IF('制度詳細'!$J$35="","",IF(AND('制度詳細'!$J$35&gt;=BG$5,'制度詳細'!$J$35&lt;=EOMONTH(BG$5,0)),"◆","")),IF(MAX('制度詳細'!$H$35,BG$5)&lt;=MIN(IF('制度詳細'!$I$35="",EOMONTH(BG$5,0),'制度詳細'!$I$35),EOMONTH(BG$5,0)),"■",IF(AND('制度詳細'!$J$35&lt;&gt;"",'制度詳細'!$J$35&gt;=BG$5,'制度詳細'!$J$35&lt;=EOMONTH(BG$5,0)),"◆","")))</x:f>
      </x:c>
      <x:c r="BH35" s="57" t="str">
        <x:f>IF('制度詳細'!$H$35="",IF('制度詳細'!$J$35="","",IF(AND('制度詳細'!$J$35&gt;=BH$5,'制度詳細'!$J$35&lt;=EOMONTH(BH$5,0)),"◆","")),IF(MAX('制度詳細'!$H$35,BH$5)&lt;=MIN(IF('制度詳細'!$I$35="",EOMONTH(BH$5,0),'制度詳細'!$I$35),EOMONTH(BH$5,0)),"■",IF(AND('制度詳細'!$J$35&lt;&gt;"",'制度詳細'!$J$35&gt;=BH$5,'制度詳細'!$J$35&lt;=EOMONTH(BH$5,0)),"◆","")))</x:f>
      </x:c>
      <x:c r="BI35" s="57" t="str">
        <x:f>IF('制度詳細'!$H$35="",IF('制度詳細'!$J$35="","",IF(AND('制度詳細'!$J$35&gt;=BI$5,'制度詳細'!$J$35&lt;=EOMONTH(BI$5,0)),"◆","")),IF(MAX('制度詳細'!$H$35,BI$5)&lt;=MIN(IF('制度詳細'!$I$35="",EOMONTH(BI$5,0),'制度詳細'!$I$35),EOMONTH(BI$5,0)),"■",IF(AND('制度詳細'!$J$35&lt;&gt;"",'制度詳細'!$J$35&gt;=BI$5,'制度詳細'!$J$35&lt;=EOMONTH(BI$5,0)),"◆","")))</x:f>
      </x:c>
      <x:c r="BJ35" s="57" t="str">
        <x:f>IF('制度詳細'!$H$35="",IF('制度詳細'!$J$35="","",IF(AND('制度詳細'!$J$35&gt;=BJ$5,'制度詳細'!$J$35&lt;=EOMONTH(BJ$5,0)),"◆","")),IF(MAX('制度詳細'!$H$35,BJ$5)&lt;=MIN(IF('制度詳細'!$I$35="",EOMONTH(BJ$5,0),'制度詳細'!$I$35),EOMONTH(BJ$5,0)),"■",IF(AND('制度詳細'!$J$35&lt;&gt;"",'制度詳細'!$J$35&gt;=BJ$5,'制度詳細'!$J$35&lt;=EOMONTH(BJ$5,0)),"◆","")))</x:f>
      </x:c>
      <x:c r="BK35" s="57" t="str">
        <x:f>IF('制度詳細'!$H$35="",IF('制度詳細'!$J$35="","",IF(AND('制度詳細'!$J$35&gt;=BK$5,'制度詳細'!$J$35&lt;=EOMONTH(BK$5,0)),"◆","")),IF(MAX('制度詳細'!$H$35,BK$5)&lt;=MIN(IF('制度詳細'!$I$35="",EOMONTH(BK$5,0),'制度詳細'!$I$35),EOMONTH(BK$5,0)),"■",IF(AND('制度詳細'!$J$35&lt;&gt;"",'制度詳細'!$J$35&gt;=BK$5,'制度詳細'!$J$35&lt;=EOMONTH(BK$5,0)),"◆","")))</x:f>
      </x:c>
      <x:c r="BL35" s="57" t="str">
        <x:f>IF('制度詳細'!$H$35="",IF('制度詳細'!$J$35="","",IF(AND('制度詳細'!$J$35&gt;=BL$5,'制度詳細'!$J$35&lt;=EOMONTH(BL$5,0)),"◆","")),IF(MAX('制度詳細'!$H$35,BL$5)&lt;=MIN(IF('制度詳細'!$I$35="",EOMONTH(BL$5,0),'制度詳細'!$I$35),EOMONTH(BL$5,0)),"■",IF(AND('制度詳細'!$J$35&lt;&gt;"",'制度詳細'!$J$35&gt;=BL$5,'制度詳細'!$J$35&lt;=EOMONTH(BL$5,0)),"◆","")))</x:f>
      </x:c>
      <x:c r="BM35" s="57" t="str">
        <x:f>IF('制度詳細'!$H$35="",IF('制度詳細'!$J$35="","",IF(AND('制度詳細'!$J$35&gt;=BM$5,'制度詳細'!$J$35&lt;=EOMONTH(BM$5,0)),"◆","")),IF(MAX('制度詳細'!$H$35,BM$5)&lt;=MIN(IF('制度詳細'!$I$35="",EOMONTH(BM$5,0),'制度詳細'!$I$35),EOMONTH(BM$5,0)),"■",IF(AND('制度詳細'!$J$35&lt;&gt;"",'制度詳細'!$J$35&gt;=BM$5,'制度詳細'!$J$35&lt;=EOMONTH(BM$5,0)),"◆","")))</x:f>
      </x:c>
      <x:c r="BN35" s="57" t="str">
        <x:f>IF('制度詳細'!$H$35="",IF('制度詳細'!$J$35="","",IF(AND('制度詳細'!$J$35&gt;=BN$5,'制度詳細'!$J$35&lt;=EOMONTH(BN$5,0)),"◆","")),IF(MAX('制度詳細'!$H$35,BN$5)&lt;=MIN(IF('制度詳細'!$I$35="",EOMONTH(BN$5,0),'制度詳細'!$I$35),EOMONTH(BN$5,0)),"■",IF(AND('制度詳細'!$J$35&lt;&gt;"",'制度詳細'!$J$35&gt;=BN$5,'制度詳細'!$J$35&lt;=EOMONTH(BN$5,0)),"◆","")))</x:f>
      </x:c>
      <x:c r="BO35" s="57" t="str">
        <x:f>IF('制度詳細'!$H$35="",IF('制度詳細'!$J$35="","",IF(AND('制度詳細'!$J$35&gt;=BO$5,'制度詳細'!$J$35&lt;=EOMONTH(BO$5,0)),"◆","")),IF(MAX('制度詳細'!$H$35,BO$5)&lt;=MIN(IF('制度詳細'!$I$35="",EOMONTH(BO$5,0),'制度詳細'!$I$35),EOMONTH(BO$5,0)),"■",IF(AND('制度詳細'!$J$35&lt;&gt;"",'制度詳細'!$J$35&gt;=BO$5,'制度詳細'!$J$35&lt;=EOMONTH(BO$5,0)),"◆","")))</x:f>
      </x:c>
      <x:c r="BP35" s="57" t="str">
        <x:f>IF('制度詳細'!$H$35="",IF('制度詳細'!$J$35="","",IF(AND('制度詳細'!$J$35&gt;=BP$5,'制度詳細'!$J$35&lt;=EOMONTH(BP$5,0)),"◆","")),IF(MAX('制度詳細'!$H$35,BP$5)&lt;=MIN(IF('制度詳細'!$I$35="",EOMONTH(BP$5,0),'制度詳細'!$I$35),EOMONTH(BP$5,0)),"■",IF(AND('制度詳細'!$J$35&lt;&gt;"",'制度詳細'!$J$35&gt;=BP$5,'制度詳細'!$J$35&lt;=EOMONTH(BP$5,0)),"◆","")))</x:f>
      </x:c>
      <x:c r="BQ35" s="57" t="str">
        <x:f>IF('制度詳細'!$H$35="",IF('制度詳細'!$J$35="","",IF(AND('制度詳細'!$J$35&gt;=BQ$5,'制度詳細'!$J$35&lt;=EOMONTH(BQ$5,0)),"◆","")),IF(MAX('制度詳細'!$H$35,BQ$5)&lt;=MIN(IF('制度詳細'!$I$35="",EOMONTH(BQ$5,0),'制度詳細'!$I$35),EOMONTH(BQ$5,0)),"■",IF(AND('制度詳細'!$J$35&lt;&gt;"",'制度詳細'!$J$35&gt;=BQ$5,'制度詳細'!$J$35&lt;=EOMONTH(BQ$5,0)),"◆","")))</x:f>
      </x:c>
      <x:c r="BR35" s="57" t="str">
        <x:f>IF('制度詳細'!$H$35="",IF('制度詳細'!$J$35="","",IF(AND('制度詳細'!$J$35&gt;=BR$5,'制度詳細'!$J$35&lt;=EOMONTH(BR$5,0)),"◆","")),IF(MAX('制度詳細'!$H$35,BR$5)&lt;=MIN(IF('制度詳細'!$I$35="",EOMONTH(BR$5,0),'制度詳細'!$I$35),EOMONTH(BR$5,0)),"■",IF(AND('制度詳細'!$J$35&lt;&gt;"",'制度詳細'!$J$35&gt;=BR$5,'制度詳細'!$J$35&lt;=EOMONTH(BR$5,0)),"◆","")))</x:f>
      </x:c>
      <x:c r="BS35" s="57" t="str">
        <x:f>IF('制度詳細'!$H$35="",IF('制度詳細'!$J$35="","",IF(AND('制度詳細'!$J$35&gt;=BS$5,'制度詳細'!$J$35&lt;=EOMONTH(BS$5,0)),"◆","")),IF(MAX('制度詳細'!$H$35,BS$5)&lt;=MIN(IF('制度詳細'!$I$35="",EOMONTH(BS$5,0),'制度詳細'!$I$35),EOMONTH(BS$5,0)),"■",IF(AND('制度詳細'!$J$35&lt;&gt;"",'制度詳細'!$J$35&gt;=BS$5,'制度詳細'!$J$35&lt;=EOMONTH(BS$5,0)),"◆","")))</x:f>
      </x:c>
      <x:c r="BT35" s="57" t="str">
        <x:f>IF('制度詳細'!$H$35="",IF('制度詳細'!$J$35="","",IF(AND('制度詳細'!$J$35&gt;=BT$5,'制度詳細'!$J$35&lt;=EOMONTH(BT$5,0)),"◆","")),IF(MAX('制度詳細'!$H$35,BT$5)&lt;=MIN(IF('制度詳細'!$I$35="",EOMONTH(BT$5,0),'制度詳細'!$I$35),EOMONTH(BT$5,0)),"■",IF(AND('制度詳細'!$J$35&lt;&gt;"",'制度詳細'!$J$35&gt;=BT$5,'制度詳細'!$J$35&lt;=EOMONTH(BT$5,0)),"◆","")))</x:f>
      </x:c>
      <x:c r="BU35" s="57" t="str">
        <x:f>IF('制度詳細'!$H$35="",IF('制度詳細'!$J$35="","",IF(AND('制度詳細'!$J$35&gt;=BU$5,'制度詳細'!$J$35&lt;=EOMONTH(BU$5,0)),"◆","")),IF(MAX('制度詳細'!$H$35,BU$5)&lt;=MIN(IF('制度詳細'!$I$35="",EOMONTH(BU$5,0),'制度詳細'!$I$35),EOMONTH(BU$5,0)),"■",IF(AND('制度詳細'!$J$35&lt;&gt;"",'制度詳細'!$J$35&gt;=BU$5,'制度詳細'!$J$35&lt;=EOMONTH(BU$5,0)),"◆","")))</x:f>
      </x:c>
      <x:c r="BV35" s="57" t="str">
        <x:f>IF('制度詳細'!$H$35="",IF('制度詳細'!$J$35="","",IF(AND('制度詳細'!$J$35&gt;=BV$5,'制度詳細'!$J$35&lt;=EOMONTH(BV$5,0)),"◆","")),IF(MAX('制度詳細'!$H$35,BV$5)&lt;=MIN(IF('制度詳細'!$I$35="",EOMONTH(BV$5,0),'制度詳細'!$I$35),EOMONTH(BV$5,0)),"■",IF(AND('制度詳細'!$J$35&lt;&gt;"",'制度詳細'!$J$35&gt;=BV$5,'制度詳細'!$J$35&lt;=EOMONTH(BV$5,0)),"◆","")))</x:f>
      </x:c>
      <x:c r="BW35" s="57" t="str">
        <x:f>IF('制度詳細'!$H$35="",IF('制度詳細'!$J$35="","",IF(AND('制度詳細'!$J$35&gt;=BW$5,'制度詳細'!$J$35&lt;=EOMONTH(BW$5,0)),"◆","")),IF(MAX('制度詳細'!$H$35,BW$5)&lt;=MIN(IF('制度詳細'!$I$35="",EOMONTH(BW$5,0),'制度詳細'!$I$35),EOMONTH(BW$5,0)),"■",IF(AND('制度詳細'!$J$35&lt;&gt;"",'制度詳細'!$J$35&gt;=BW$5,'制度詳細'!$J$35&lt;=EOMONTH(BW$5,0)),"◆","")))</x:f>
      </x:c>
      <x:c r="BX35" s="57" t="str">
        <x:f>IF('制度詳細'!$H$35="",IF('制度詳細'!$J$35="","",IF(AND('制度詳細'!$J$35&gt;=BX$5,'制度詳細'!$J$35&lt;=EOMONTH(BX$5,0)),"◆","")),IF(MAX('制度詳細'!$H$35,BX$5)&lt;=MIN(IF('制度詳細'!$I$35="",EOMONTH(BX$5,0),'制度詳細'!$I$35),EOMONTH(BX$5,0)),"■",IF(AND('制度詳細'!$J$35&lt;&gt;"",'制度詳細'!$J$35&gt;=BX$5,'制度詳細'!$J$35&lt;=EOMONTH(BX$5,0)),"◆","")))</x:f>
      </x:c>
      <x:c r="BY35" s="57" t="str">
        <x:f>IF('制度詳細'!$H$35="",IF('制度詳細'!$J$35="","",IF(AND('制度詳細'!$J$35&gt;=BY$5,'制度詳細'!$J$35&lt;=EOMONTH(BY$5,0)),"◆","")),IF(MAX('制度詳細'!$H$35,BY$5)&lt;=MIN(IF('制度詳細'!$I$35="",EOMONTH(BY$5,0),'制度詳細'!$I$35),EOMONTH(BY$5,0)),"■",IF(AND('制度詳細'!$J$35&lt;&gt;"",'制度詳細'!$J$35&gt;=BY$5,'制度詳細'!$J$35&lt;=EOMONTH(BY$5,0)),"◆","")))</x:f>
      </x:c>
      <x:c r="BZ35" s="57" t="str">
        <x:f>IF('制度詳細'!$H$35="",IF('制度詳細'!$J$35="","",IF(AND('制度詳細'!$J$35&gt;=BZ$5,'制度詳細'!$J$35&lt;=EOMONTH(BZ$5,0)),"◆","")),IF(MAX('制度詳細'!$H$35,BZ$5)&lt;=MIN(IF('制度詳細'!$I$35="",EOMONTH(BZ$5,0),'制度詳細'!$I$35),EOMONTH(BZ$5,0)),"■",IF(AND('制度詳細'!$J$35&lt;&gt;"",'制度詳細'!$J$35&gt;=BZ$5,'制度詳細'!$J$35&lt;=EOMONTH(BZ$5,0)),"◆","")))</x:f>
      </x:c>
      <x:c r="CA35" s="57" t="str">
        <x:f>IF('制度詳細'!$H$35="",IF('制度詳細'!$J$35="","",IF(AND('制度詳細'!$J$35&gt;=CA$5,'制度詳細'!$J$35&lt;=EOMONTH(CA$5,0)),"◆","")),IF(MAX('制度詳細'!$H$35,CA$5)&lt;=MIN(IF('制度詳細'!$I$35="",EOMONTH(CA$5,0),'制度詳細'!$I$35),EOMONTH(CA$5,0)),"■",IF(AND('制度詳細'!$J$35&lt;&gt;"",'制度詳細'!$J$35&gt;=CA$5,'制度詳細'!$J$35&lt;=EOMONTH(CA$5,0)),"◆","")))</x:f>
      </x:c>
      <x:c r="CB35" s="57" t="str">
        <x:f>IF('制度詳細'!$H$35="",IF('制度詳細'!$J$35="","",IF(AND('制度詳細'!$J$35&gt;=CB$5,'制度詳細'!$J$35&lt;=EOMONTH(CB$5,0)),"◆","")),IF(MAX('制度詳細'!$H$35,CB$5)&lt;=MIN(IF('制度詳細'!$I$35="",EOMONTH(CB$5,0),'制度詳細'!$I$35),EOMONTH(CB$5,0)),"■",IF(AND('制度詳細'!$J$35&lt;&gt;"",'制度詳細'!$J$35&gt;=CB$5,'制度詳細'!$J$35&lt;=EOMONTH(CB$5,0)),"◆","")))</x:f>
      </x:c>
      <x:c r="CC35" s="57" t="str">
        <x:f>IF('制度詳細'!$H$35="",IF('制度詳細'!$J$35="","",IF(AND('制度詳細'!$J$35&gt;=CC$5,'制度詳細'!$J$35&lt;=EOMONTH(CC$5,0)),"◆","")),IF(MAX('制度詳細'!$H$35,CC$5)&lt;=MIN(IF('制度詳細'!$I$35="",EOMONTH(CC$5,0),'制度詳細'!$I$35),EOMONTH(CC$5,0)),"■",IF(AND('制度詳細'!$J$35&lt;&gt;"",'制度詳細'!$J$35&gt;=CC$5,'制度詳細'!$J$35&lt;=EOMONTH(CC$5,0)),"◆","")))</x:f>
      </x:c>
      <x:c r="CD35" s="57" t="str">
        <x:f>IF('制度詳細'!$H$35="",IF('制度詳細'!$J$35="","",IF(AND('制度詳細'!$J$35&gt;=CD$5,'制度詳細'!$J$35&lt;=EOMONTH(CD$5,0)),"◆","")),IF(MAX('制度詳細'!$H$35,CD$5)&lt;=MIN(IF('制度詳細'!$I$35="",EOMONTH(CD$5,0),'制度詳細'!$I$35),EOMONTH(CD$5,0)),"■",IF(AND('制度詳細'!$J$35&lt;&gt;"",'制度詳細'!$J$35&gt;=CD$5,'制度詳細'!$J$35&lt;=EOMONTH(CD$5,0)),"◆","")))</x:f>
      </x:c>
      <x:c r="CE35" s="57" t="str">
        <x:f>IF('制度詳細'!$H$35="",IF('制度詳細'!$J$35="","",IF(AND('制度詳細'!$J$35&gt;=CE$5,'制度詳細'!$J$35&lt;=EOMONTH(CE$5,0)),"◆","")),IF(MAX('制度詳細'!$H$35,CE$5)&lt;=MIN(IF('制度詳細'!$I$35="",EOMONTH(CE$5,0),'制度詳細'!$I$35),EOMONTH(CE$5,0)),"■",IF(AND('制度詳細'!$J$35&lt;&gt;"",'制度詳細'!$J$35&gt;=CE$5,'制度詳細'!$J$35&lt;=EOMONTH(CE$5,0)),"◆","")))</x:f>
      </x:c>
      <x:c r="CF35" s="57" t="str">
        <x:f>IF('制度詳細'!$H$35="",IF('制度詳細'!$J$35="","",IF(AND('制度詳細'!$J$35&gt;=CF$5,'制度詳細'!$J$35&lt;=EOMONTH(CF$5,0)),"◆","")),IF(MAX('制度詳細'!$H$35,CF$5)&lt;=MIN(IF('制度詳細'!$I$35="",EOMONTH(CF$5,0),'制度詳細'!$I$35),EOMONTH(CF$5,0)),"■",IF(AND('制度詳細'!$J$35&lt;&gt;"",'制度詳細'!$J$35&gt;=CF$5,'制度詳細'!$J$35&lt;=EOMONTH(CF$5,0)),"◆","")))</x:f>
      </x:c>
      <x:c r="CG35" s="57" t="str">
        <x:f>IF('制度詳細'!$H$35="",IF('制度詳細'!$J$35="","",IF(AND('制度詳細'!$J$35&gt;=CG$5,'制度詳細'!$J$35&lt;=EOMONTH(CG$5,0)),"◆","")),IF(MAX('制度詳細'!$H$35,CG$5)&lt;=MIN(IF('制度詳細'!$I$35="",EOMONTH(CG$5,0),'制度詳細'!$I$35),EOMONTH(CG$5,0)),"■",IF(AND('制度詳細'!$J$35&lt;&gt;"",'制度詳細'!$J$35&gt;=CG$5,'制度詳細'!$J$35&lt;=EOMONTH(CG$5,0)),"◆","")))</x:f>
      </x:c>
      <x:c r="CH35" s="57" t="str">
        <x:f>IF('制度詳細'!$H$35="",IF('制度詳細'!$J$35="","",IF(AND('制度詳細'!$J$35&gt;=CH$5,'制度詳細'!$J$35&lt;=EOMONTH(CH$5,0)),"◆","")),IF(MAX('制度詳細'!$H$35,CH$5)&lt;=MIN(IF('制度詳細'!$I$35="",EOMONTH(CH$5,0),'制度詳細'!$I$35),EOMONTH(CH$5,0)),"■",IF(AND('制度詳細'!$J$35&lt;&gt;"",'制度詳細'!$J$35&gt;=CH$5,'制度詳細'!$J$35&lt;=EOMONTH(CH$5,0)),"◆","")))</x:f>
      </x:c>
      <x:c r="CI35" s="57" t="str">
        <x:f>IF('制度詳細'!$H$35="",IF('制度詳細'!$J$35="","",IF(AND('制度詳細'!$J$35&gt;=CI$5,'制度詳細'!$J$35&lt;=EOMONTH(CI$5,0)),"◆","")),IF(MAX('制度詳細'!$H$35,CI$5)&lt;=MIN(IF('制度詳細'!$I$35="",EOMONTH(CI$5,0),'制度詳細'!$I$35),EOMONTH(CI$5,0)),"■",IF(AND('制度詳細'!$J$35&lt;&gt;"",'制度詳細'!$J$35&gt;=CI$5,'制度詳細'!$J$35&lt;=EOMONTH(CI$5,0)),"◆","")))</x:f>
      </x:c>
      <x:c r="CJ35" s="57" t="str">
        <x:f>IF('制度詳細'!$H$35="",IF('制度詳細'!$J$35="","",IF(AND('制度詳細'!$J$35&gt;=CJ$5,'制度詳細'!$J$35&lt;=EOMONTH(CJ$5,0)),"◆","")),IF(MAX('制度詳細'!$H$35,CJ$5)&lt;=MIN(IF('制度詳細'!$I$35="",EOMONTH(CJ$5,0),'制度詳細'!$I$35),EOMONTH(CJ$5,0)),"■",IF(AND('制度詳細'!$J$35&lt;&gt;"",'制度詳細'!$J$35&gt;=CJ$5,'制度詳細'!$J$35&lt;=EOMONTH(CJ$5,0)),"◆","")))</x:f>
      </x:c>
      <x:c r="CK35" s="57" t="str">
        <x:f>IF('制度詳細'!$H$35="",IF('制度詳細'!$J$35="","",IF(AND('制度詳細'!$J$35&gt;=CK$5,'制度詳細'!$J$35&lt;=EOMONTH(CK$5,0)),"◆","")),IF(MAX('制度詳細'!$H$35,CK$5)&lt;=MIN(IF('制度詳細'!$I$35="",EOMONTH(CK$5,0),'制度詳細'!$I$35),EOMONTH(CK$5,0)),"■",IF(AND('制度詳細'!$J$35&lt;&gt;"",'制度詳細'!$J$35&gt;=CK$5,'制度詳細'!$J$35&lt;=EOMONTH(CK$5,0)),"◆","")))</x:f>
      </x:c>
      <x:c r="CL35" s="57" t="str">
        <x:f>IF('制度詳細'!$H$35="",IF('制度詳細'!$J$35="","",IF(AND('制度詳細'!$J$35&gt;=CL$5,'制度詳細'!$J$35&lt;=EOMONTH(CL$5,0)),"◆","")),IF(MAX('制度詳細'!$H$35,CL$5)&lt;=MIN(IF('制度詳細'!$I$35="",EOMONTH(CL$5,0),'制度詳細'!$I$35),EOMONTH(CL$5,0)),"■",IF(AND('制度詳細'!$J$35&lt;&gt;"",'制度詳細'!$J$35&gt;=CL$5,'制度詳細'!$J$35&lt;=EOMONTH(CL$5,0)),"◆","")))</x:f>
      </x:c>
      <x:c r="CM35" s="57" t="str">
        <x:f>IF('制度詳細'!$H$35="",IF('制度詳細'!$J$35="","",IF(AND('制度詳細'!$J$35&gt;=CM$5,'制度詳細'!$J$35&lt;=EOMONTH(CM$5,0)),"◆","")),IF(MAX('制度詳細'!$H$35,CM$5)&lt;=MIN(IF('制度詳細'!$I$35="",EOMONTH(CM$5,0),'制度詳細'!$I$35),EOMONTH(CM$5,0)),"■",IF(AND('制度詳細'!$J$35&lt;&gt;"",'制度詳細'!$J$35&gt;=CM$5,'制度詳細'!$J$35&lt;=EOMONTH(CM$5,0)),"◆","")))</x:f>
      </x:c>
      <x:c r="CN35" s="57" t="str">
        <x:f>IF('制度詳細'!$H$35="",IF('制度詳細'!$J$35="","",IF(AND('制度詳細'!$J$35&gt;=CN$5,'制度詳細'!$J$35&lt;=EOMONTH(CN$5,0)),"◆","")),IF(MAX('制度詳細'!$H$35,CN$5)&lt;=MIN(IF('制度詳細'!$I$35="",EOMONTH(CN$5,0),'制度詳細'!$I$35),EOMONTH(CN$5,0)),"■",IF(AND('制度詳細'!$J$35&lt;&gt;"",'制度詳細'!$J$35&gt;=CN$5,'制度詳細'!$J$35&lt;=EOMONTH(CN$5,0)),"◆","")))</x:f>
      </x:c>
      <x:c r="CO35" s="57" t="str">
        <x:f>IF('制度詳細'!$H$35="",IF('制度詳細'!$J$35="","",IF(AND('制度詳細'!$J$35&gt;=CO$5,'制度詳細'!$J$35&lt;=EOMONTH(CO$5,0)),"◆","")),IF(MAX('制度詳細'!$H$35,CO$5)&lt;=MIN(IF('制度詳細'!$I$35="",EOMONTH(CO$5,0),'制度詳細'!$I$35),EOMONTH(CO$5,0)),"■",IF(AND('制度詳細'!$J$35&lt;&gt;"",'制度詳細'!$J$35&gt;=CO$5,'制度詳細'!$J$35&lt;=EOMONTH(CO$5,0)),"◆","")))</x:f>
      </x:c>
      <x:c r="CP35" s="57" t="str">
        <x:f>IF('制度詳細'!$H$35="",IF('制度詳細'!$J$35="","",IF(AND('制度詳細'!$J$35&gt;=CP$5,'制度詳細'!$J$35&lt;=EOMONTH(CP$5,0)),"◆","")),IF(MAX('制度詳細'!$H$35,CP$5)&lt;=MIN(IF('制度詳細'!$I$35="",EOMONTH(CP$5,0),'制度詳細'!$I$35),EOMONTH(CP$5,0)),"■",IF(AND('制度詳細'!$J$35&lt;&gt;"",'制度詳細'!$J$35&gt;=CP$5,'制度詳細'!$J$35&lt;=EOMONTH(CP$5,0)),"◆","")))</x:f>
      </x:c>
      <x:c r="CQ35" s="57" t="str">
        <x:f>IF('制度詳細'!$H$35="",IF('制度詳細'!$J$35="","",IF(AND('制度詳細'!$J$35&gt;=CQ$5,'制度詳細'!$J$35&lt;=EOMONTH(CQ$5,0)),"◆","")),IF(MAX('制度詳細'!$H$35,CQ$5)&lt;=MIN(IF('制度詳細'!$I$35="",EOMONTH(CQ$5,0),'制度詳細'!$I$35),EOMONTH(CQ$5,0)),"■",IF(AND('制度詳細'!$J$35&lt;&gt;"",'制度詳細'!$J$35&gt;=CQ$5,'制度詳細'!$J$35&lt;=EOMONTH(CQ$5,0)),"◆","")))</x:f>
      </x:c>
      <x:c r="CR35" s="57" t="str">
        <x:f>IF('制度詳細'!$H$35="",IF('制度詳細'!$J$35="","",IF(AND('制度詳細'!$J$35&gt;=CR$5,'制度詳細'!$J$35&lt;=EOMONTH(CR$5,0)),"◆","")),IF(MAX('制度詳細'!$H$35,CR$5)&lt;=MIN(IF('制度詳細'!$I$35="",EOMONTH(CR$5,0),'制度詳細'!$I$35),EOMONTH(CR$5,0)),"■",IF(AND('制度詳細'!$J$35&lt;&gt;"",'制度詳細'!$J$35&gt;=CR$5,'制度詳細'!$J$35&lt;=EOMONTH(CR$5,0)),"◆","")))</x:f>
      </x:c>
      <x:c r="CS35" s="57" t="str">
        <x:f>IF('制度詳細'!$H$35="",IF('制度詳細'!$J$35="","",IF(AND('制度詳細'!$J$35&gt;=CS$5,'制度詳細'!$J$35&lt;=EOMONTH(CS$5,0)),"◆","")),IF(MAX('制度詳細'!$H$35,CS$5)&lt;=MIN(IF('制度詳細'!$I$35="",EOMONTH(CS$5,0),'制度詳細'!$I$35),EOMONTH(CS$5,0)),"■",IF(AND('制度詳細'!$J$35&lt;&gt;"",'制度詳細'!$J$35&gt;=CS$5,'制度詳細'!$J$35&lt;=EOMONTH(CS$5,0)),"◆","")))</x:f>
      </x:c>
      <x:c r="CT35" s="57" t="str">
        <x:f>IF('制度詳細'!$H$35="",IF('制度詳細'!$J$35="","",IF(AND('制度詳細'!$J$35&gt;=CT$5,'制度詳細'!$J$35&lt;=EOMONTH(CT$5,0)),"◆","")),IF(MAX('制度詳細'!$H$35,CT$5)&lt;=MIN(IF('制度詳細'!$I$35="",EOMONTH(CT$5,0),'制度詳細'!$I$35),EOMONTH(CT$5,0)),"■",IF(AND('制度詳細'!$J$35&lt;&gt;"",'制度詳細'!$J$35&gt;=CT$5,'制度詳細'!$J$35&lt;=EOMONTH(CT$5,0)),"◆","")))</x:f>
      </x:c>
      <x:c r="CU35" s="57" t="str">
        <x:f>IF('制度詳細'!$H$35="",IF('制度詳細'!$J$35="","",IF(AND('制度詳細'!$J$35&gt;=CU$5,'制度詳細'!$J$35&lt;=EOMONTH(CU$5,0)),"◆","")),IF(MAX('制度詳細'!$H$35,CU$5)&lt;=MIN(IF('制度詳細'!$I$35="",EOMONTH(CU$5,0),'制度詳細'!$I$35),EOMONTH(CU$5,0)),"■",IF(AND('制度詳細'!$J$35&lt;&gt;"",'制度詳細'!$J$35&gt;=CU$5,'制度詳細'!$J$35&lt;=EOMONTH(CU$5,0)),"◆","")))</x:f>
      </x:c>
      <x:c r="CV35" s="57" t="str">
        <x:f>IF('制度詳細'!$H$35="",IF('制度詳細'!$J$35="","",IF(AND('制度詳細'!$J$35&gt;=CV$5,'制度詳細'!$J$35&lt;=EOMONTH(CV$5,0)),"◆","")),IF(MAX('制度詳細'!$H$35,CV$5)&lt;=MIN(IF('制度詳細'!$I$35="",EOMONTH(CV$5,0),'制度詳細'!$I$35),EOMONTH(CV$5,0)),"■",IF(AND('制度詳細'!$J$35&lt;&gt;"",'制度詳細'!$J$35&gt;=CV$5,'制度詳細'!$J$35&lt;=EOMONTH(CV$5,0)),"◆","")))</x:f>
      </x:c>
      <x:c r="CW35" s="1"/>
      <x:c r="CX35" s="1"/>
      <x:c r="CY35" s="1"/>
      <x:c r="CZ35" s="1"/>
      <x:c r="DA35" s="1"/>
      <x:c r="DB35" s="1"/>
      <x:c r="DC35" s="1"/>
      <x:c r="DD35" s="1"/>
    </x:row>
    <x:row r="36" ht="27" customHeight="1">
      <x:c r="A36" s="53" t="str">
        <x:v>VN08</x:v>
      </x:c>
      <x:c r="B36" s="53" t="str">
        <x:v>ベトナム</x:v>
      </x:c>
      <x:c r="C36" s="53" t="str">
        <x:v>国内車：登録料50%減2021</x:v>
      </x:c>
      <x:c r="D36" s="53" t="str">
        <x:v>ICE/HEV等</x:v>
      </x:c>
      <x:c r="E36" s="57" t="str">
        <x:f>IF('制度詳細'!$H$36="",IF('制度詳細'!$J$36="","",IF(AND('制度詳細'!$J$36&gt;=E$5,'制度詳細'!$J$36&lt;=EOMONTH(E$5,0)),"◆","")),IF(MAX('制度詳細'!$H$36,E$5)&lt;=MIN(IF('制度詳細'!$I$36="",EOMONTH(E$5,0),'制度詳細'!$I$36),EOMONTH(E$5,0)),"■",IF(AND('制度詳細'!$J$36&lt;&gt;"",'制度詳細'!$J$36&gt;=E$5,'制度詳細'!$J$36&lt;=EOMONTH(E$5,0)),"◆","")))</x:f>
      </x:c>
      <x:c r="F36" s="57" t="str">
        <x:f>IF('制度詳細'!$H$36="",IF('制度詳細'!$J$36="","",IF(AND('制度詳細'!$J$36&gt;=F$5,'制度詳細'!$J$36&lt;=EOMONTH(F$5,0)),"◆","")),IF(MAX('制度詳細'!$H$36,F$5)&lt;=MIN(IF('制度詳細'!$I$36="",EOMONTH(F$5,0),'制度詳細'!$I$36),EOMONTH(F$5,0)),"■",IF(AND('制度詳細'!$J$36&lt;&gt;"",'制度詳細'!$J$36&gt;=F$5,'制度詳細'!$J$36&lt;=EOMONTH(F$5,0)),"◆","")))</x:f>
      </x:c>
      <x:c r="G36" s="57" t="str">
        <x:f>IF('制度詳細'!$H$36="",IF('制度詳細'!$J$36="","",IF(AND('制度詳細'!$J$36&gt;=G$5,'制度詳細'!$J$36&lt;=EOMONTH(G$5,0)),"◆","")),IF(MAX('制度詳細'!$H$36,G$5)&lt;=MIN(IF('制度詳細'!$I$36="",EOMONTH(G$5,0),'制度詳細'!$I$36),EOMONTH(G$5,0)),"■",IF(AND('制度詳細'!$J$36&lt;&gt;"",'制度詳細'!$J$36&gt;=G$5,'制度詳細'!$J$36&lt;=EOMONTH(G$5,0)),"◆","")))</x:f>
      </x:c>
      <x:c r="H36" s="57" t="str">
        <x:f>IF('制度詳細'!$H$36="",IF('制度詳細'!$J$36="","",IF(AND('制度詳細'!$J$36&gt;=H$5,'制度詳細'!$J$36&lt;=EOMONTH(H$5,0)),"◆","")),IF(MAX('制度詳細'!$H$36,H$5)&lt;=MIN(IF('制度詳細'!$I$36="",EOMONTH(H$5,0),'制度詳細'!$I$36),EOMONTH(H$5,0)),"■",IF(AND('制度詳細'!$J$36&lt;&gt;"",'制度詳細'!$J$36&gt;=H$5,'制度詳細'!$J$36&lt;=EOMONTH(H$5,0)),"◆","")))</x:f>
      </x:c>
      <x:c r="I36" s="57" t="str">
        <x:f>IF('制度詳細'!$H$36="",IF('制度詳細'!$J$36="","",IF(AND('制度詳細'!$J$36&gt;=I$5,'制度詳細'!$J$36&lt;=EOMONTH(I$5,0)),"◆","")),IF(MAX('制度詳細'!$H$36,I$5)&lt;=MIN(IF('制度詳細'!$I$36="",EOMONTH(I$5,0),'制度詳細'!$I$36),EOMONTH(I$5,0)),"■",IF(AND('制度詳細'!$J$36&lt;&gt;"",'制度詳細'!$J$36&gt;=I$5,'制度詳細'!$J$36&lt;=EOMONTH(I$5,0)),"◆","")))</x:f>
      </x:c>
      <x:c r="J36" s="57" t="str">
        <x:f>IF('制度詳細'!$H$36="",IF('制度詳細'!$J$36="","",IF(AND('制度詳細'!$J$36&gt;=J$5,'制度詳細'!$J$36&lt;=EOMONTH(J$5,0)),"◆","")),IF(MAX('制度詳細'!$H$36,J$5)&lt;=MIN(IF('制度詳細'!$I$36="",EOMONTH(J$5,0),'制度詳細'!$I$36),EOMONTH(J$5,0)),"■",IF(AND('制度詳細'!$J$36&lt;&gt;"",'制度詳細'!$J$36&gt;=J$5,'制度詳細'!$J$36&lt;=EOMONTH(J$5,0)),"◆","")))</x:f>
      </x:c>
      <x:c r="K36" s="57" t="str">
        <x:f>IF('制度詳細'!$H$36="",IF('制度詳細'!$J$36="","",IF(AND('制度詳細'!$J$36&gt;=K$5,'制度詳細'!$J$36&lt;=EOMONTH(K$5,0)),"◆","")),IF(MAX('制度詳細'!$H$36,K$5)&lt;=MIN(IF('制度詳細'!$I$36="",EOMONTH(K$5,0),'制度詳細'!$I$36),EOMONTH(K$5,0)),"■",IF(AND('制度詳細'!$J$36&lt;&gt;"",'制度詳細'!$J$36&gt;=K$5,'制度詳細'!$J$36&lt;=EOMONTH(K$5,0)),"◆","")))</x:f>
      </x:c>
      <x:c r="L36" s="57" t="str">
        <x:f>IF('制度詳細'!$H$36="",IF('制度詳細'!$J$36="","",IF(AND('制度詳細'!$J$36&gt;=L$5,'制度詳細'!$J$36&lt;=EOMONTH(L$5,0)),"◆","")),IF(MAX('制度詳細'!$H$36,L$5)&lt;=MIN(IF('制度詳細'!$I$36="",EOMONTH(L$5,0),'制度詳細'!$I$36),EOMONTH(L$5,0)),"■",IF(AND('制度詳細'!$J$36&lt;&gt;"",'制度詳細'!$J$36&gt;=L$5,'制度詳細'!$J$36&lt;=EOMONTH(L$5,0)),"◆","")))</x:f>
      </x:c>
      <x:c r="M36" s="57" t="str">
        <x:f>IF('制度詳細'!$H$36="",IF('制度詳細'!$J$36="","",IF(AND('制度詳細'!$J$36&gt;=M$5,'制度詳細'!$J$36&lt;=EOMONTH(M$5,0)),"◆","")),IF(MAX('制度詳細'!$H$36,M$5)&lt;=MIN(IF('制度詳細'!$I$36="",EOMONTH(M$5,0),'制度詳細'!$I$36),EOMONTH(M$5,0)),"■",IF(AND('制度詳細'!$J$36&lt;&gt;"",'制度詳細'!$J$36&gt;=M$5,'制度詳細'!$J$36&lt;=EOMONTH(M$5,0)),"◆","")))</x:f>
      </x:c>
      <x:c r="N36" s="57" t="str">
        <x:f>IF('制度詳細'!$H$36="",IF('制度詳細'!$J$36="","",IF(AND('制度詳細'!$J$36&gt;=N$5,'制度詳細'!$J$36&lt;=EOMONTH(N$5,0)),"◆","")),IF(MAX('制度詳細'!$H$36,N$5)&lt;=MIN(IF('制度詳細'!$I$36="",EOMONTH(N$5,0),'制度詳細'!$I$36),EOMONTH(N$5,0)),"■",IF(AND('制度詳細'!$J$36&lt;&gt;"",'制度詳細'!$J$36&gt;=N$5,'制度詳細'!$J$36&lt;=EOMONTH(N$5,0)),"◆","")))</x:f>
      </x:c>
      <x:c r="O36" s="57" t="str">
        <x:f>IF('制度詳細'!$H$36="",IF('制度詳細'!$J$36="","",IF(AND('制度詳細'!$J$36&gt;=O$5,'制度詳細'!$J$36&lt;=EOMONTH(O$5,0)),"◆","")),IF(MAX('制度詳細'!$H$36,O$5)&lt;=MIN(IF('制度詳細'!$I$36="",EOMONTH(O$5,0),'制度詳細'!$I$36),EOMONTH(O$5,0)),"■",IF(AND('制度詳細'!$J$36&lt;&gt;"",'制度詳細'!$J$36&gt;=O$5,'制度詳細'!$J$36&lt;=EOMONTH(O$5,0)),"◆","")))</x:f>
      </x:c>
      <x:c r="P36" s="57" t="str">
        <x:f>IF('制度詳細'!$H$36="",IF('制度詳細'!$J$36="","",IF(AND('制度詳細'!$J$36&gt;=P$5,'制度詳細'!$J$36&lt;=EOMONTH(P$5,0)),"◆","")),IF(MAX('制度詳細'!$H$36,P$5)&lt;=MIN(IF('制度詳細'!$I$36="",EOMONTH(P$5,0),'制度詳細'!$I$36),EOMONTH(P$5,0)),"■",IF(AND('制度詳細'!$J$36&lt;&gt;"",'制度詳細'!$J$36&gt;=P$5,'制度詳細'!$J$36&lt;=EOMONTH(P$5,0)),"◆","")))</x:f>
      </x:c>
      <x:c r="Q36" s="57" t="str">
        <x:f>IF('制度詳細'!$H$36="",IF('制度詳細'!$J$36="","",IF(AND('制度詳細'!$J$36&gt;=Q$5,'制度詳細'!$J$36&lt;=EOMONTH(Q$5,0)),"◆","")),IF(MAX('制度詳細'!$H$36,Q$5)&lt;=MIN(IF('制度詳細'!$I$36="",EOMONTH(Q$5,0),'制度詳細'!$I$36),EOMONTH(Q$5,0)),"■",IF(AND('制度詳細'!$J$36&lt;&gt;"",'制度詳細'!$J$36&gt;=Q$5,'制度詳細'!$J$36&lt;=EOMONTH(Q$5,0)),"◆","")))</x:f>
      </x:c>
      <x:c r="R36" s="57" t="str">
        <x:f>IF('制度詳細'!$H$36="",IF('制度詳細'!$J$36="","",IF(AND('制度詳細'!$J$36&gt;=R$5,'制度詳細'!$J$36&lt;=EOMONTH(R$5,0)),"◆","")),IF(MAX('制度詳細'!$H$36,R$5)&lt;=MIN(IF('制度詳細'!$I$36="",EOMONTH(R$5,0),'制度詳細'!$I$36),EOMONTH(R$5,0)),"■",IF(AND('制度詳細'!$J$36&lt;&gt;"",'制度詳細'!$J$36&gt;=R$5,'制度詳細'!$J$36&lt;=EOMONTH(R$5,0)),"◆","")))</x:f>
      </x:c>
      <x:c r="S36" s="57" t="str">
        <x:f>IF('制度詳細'!$H$36="",IF('制度詳細'!$J$36="","",IF(AND('制度詳細'!$J$36&gt;=S$5,'制度詳細'!$J$36&lt;=EOMONTH(S$5,0)),"◆","")),IF(MAX('制度詳細'!$H$36,S$5)&lt;=MIN(IF('制度詳細'!$I$36="",EOMONTH(S$5,0),'制度詳細'!$I$36),EOMONTH(S$5,0)),"■",IF(AND('制度詳細'!$J$36&lt;&gt;"",'制度詳細'!$J$36&gt;=S$5,'制度詳細'!$J$36&lt;=EOMONTH(S$5,0)),"◆","")))</x:f>
      </x:c>
      <x:c r="T36" s="57" t="str">
        <x:f>IF('制度詳細'!$H$36="",IF('制度詳細'!$J$36="","",IF(AND('制度詳細'!$J$36&gt;=T$5,'制度詳細'!$J$36&lt;=EOMONTH(T$5,0)),"◆","")),IF(MAX('制度詳細'!$H$36,T$5)&lt;=MIN(IF('制度詳細'!$I$36="",EOMONTH(T$5,0),'制度詳細'!$I$36),EOMONTH(T$5,0)),"■",IF(AND('制度詳細'!$J$36&lt;&gt;"",'制度詳細'!$J$36&gt;=T$5,'制度詳細'!$J$36&lt;=EOMONTH(T$5,0)),"◆","")))</x:f>
      </x:c>
      <x:c r="U36" s="57" t="str">
        <x:f>IF('制度詳細'!$H$36="",IF('制度詳細'!$J$36="","",IF(AND('制度詳細'!$J$36&gt;=U$5,'制度詳細'!$J$36&lt;=EOMONTH(U$5,0)),"◆","")),IF(MAX('制度詳細'!$H$36,U$5)&lt;=MIN(IF('制度詳細'!$I$36="",EOMONTH(U$5,0),'制度詳細'!$I$36),EOMONTH(U$5,0)),"■",IF(AND('制度詳細'!$J$36&lt;&gt;"",'制度詳細'!$J$36&gt;=U$5,'制度詳細'!$J$36&lt;=EOMONTH(U$5,0)),"◆","")))</x:f>
      </x:c>
      <x:c r="V36" s="57" t="str">
        <x:f>IF('制度詳細'!$H$36="",IF('制度詳細'!$J$36="","",IF(AND('制度詳細'!$J$36&gt;=V$5,'制度詳細'!$J$36&lt;=EOMONTH(V$5,0)),"◆","")),IF(MAX('制度詳細'!$H$36,V$5)&lt;=MIN(IF('制度詳細'!$I$36="",EOMONTH(V$5,0),'制度詳細'!$I$36),EOMONTH(V$5,0)),"■",IF(AND('制度詳細'!$J$36&lt;&gt;"",'制度詳細'!$J$36&gt;=V$5,'制度詳細'!$J$36&lt;=EOMONTH(V$5,0)),"◆","")))</x:f>
      </x:c>
      <x:c r="W36" s="57" t="str">
        <x:f>IF('制度詳細'!$H$36="",IF('制度詳細'!$J$36="","",IF(AND('制度詳細'!$J$36&gt;=W$5,'制度詳細'!$J$36&lt;=EOMONTH(W$5,0)),"◆","")),IF(MAX('制度詳細'!$H$36,W$5)&lt;=MIN(IF('制度詳細'!$I$36="",EOMONTH(W$5,0),'制度詳細'!$I$36),EOMONTH(W$5,0)),"■",IF(AND('制度詳細'!$J$36&lt;&gt;"",'制度詳細'!$J$36&gt;=W$5,'制度詳細'!$J$36&lt;=EOMONTH(W$5,0)),"◆","")))</x:f>
      </x:c>
      <x:c r="X36" s="57" t="str">
        <x:f>IF('制度詳細'!$H$36="",IF('制度詳細'!$J$36="","",IF(AND('制度詳細'!$J$36&gt;=X$5,'制度詳細'!$J$36&lt;=EOMONTH(X$5,0)),"◆","")),IF(MAX('制度詳細'!$H$36,X$5)&lt;=MIN(IF('制度詳細'!$I$36="",EOMONTH(X$5,0),'制度詳細'!$I$36),EOMONTH(X$5,0)),"■",IF(AND('制度詳細'!$J$36&lt;&gt;"",'制度詳細'!$J$36&gt;=X$5,'制度詳細'!$J$36&lt;=EOMONTH(X$5,0)),"◆","")))</x:f>
      </x:c>
      <x:c r="Y36" s="57" t="str">
        <x:f>IF('制度詳細'!$H$36="",IF('制度詳細'!$J$36="","",IF(AND('制度詳細'!$J$36&gt;=Y$5,'制度詳細'!$J$36&lt;=EOMONTH(Y$5,0)),"◆","")),IF(MAX('制度詳細'!$H$36,Y$5)&lt;=MIN(IF('制度詳細'!$I$36="",EOMONTH(Y$5,0),'制度詳細'!$I$36),EOMONTH(Y$5,0)),"■",IF(AND('制度詳細'!$J$36&lt;&gt;"",'制度詳細'!$J$36&gt;=Y$5,'制度詳細'!$J$36&lt;=EOMONTH(Y$5,0)),"◆","")))</x:f>
      </x:c>
      <x:c r="Z36" s="57" t="str">
        <x:f>IF('制度詳細'!$H$36="",IF('制度詳細'!$J$36="","",IF(AND('制度詳細'!$J$36&gt;=Z$5,'制度詳細'!$J$36&lt;=EOMONTH(Z$5,0)),"◆","")),IF(MAX('制度詳細'!$H$36,Z$5)&lt;=MIN(IF('制度詳細'!$I$36="",EOMONTH(Z$5,0),'制度詳細'!$I$36),EOMONTH(Z$5,0)),"■",IF(AND('制度詳細'!$J$36&lt;&gt;"",'制度詳細'!$J$36&gt;=Z$5,'制度詳細'!$J$36&lt;=EOMONTH(Z$5,0)),"◆","")))</x:f>
      </x:c>
      <x:c r="AA36" s="57" t="str">
        <x:f>IF('制度詳細'!$H$36="",IF('制度詳細'!$J$36="","",IF(AND('制度詳細'!$J$36&gt;=AA$5,'制度詳細'!$J$36&lt;=EOMONTH(AA$5,0)),"◆","")),IF(MAX('制度詳細'!$H$36,AA$5)&lt;=MIN(IF('制度詳細'!$I$36="",EOMONTH(AA$5,0),'制度詳細'!$I$36),EOMONTH(AA$5,0)),"■",IF(AND('制度詳細'!$J$36&lt;&gt;"",'制度詳細'!$J$36&gt;=AA$5,'制度詳細'!$J$36&lt;=EOMONTH(AA$5,0)),"◆","")))</x:f>
        <x:v>◆</x:v>
      </x:c>
      <x:c r="AB36" s="57" t="str">
        <x:f>IF('制度詳細'!$H$36="",IF('制度詳細'!$J$36="","",IF(AND('制度詳細'!$J$36&gt;=AB$5,'制度詳細'!$J$36&lt;=EOMONTH(AB$5,0)),"◆","")),IF(MAX('制度詳細'!$H$36,AB$5)&lt;=MIN(IF('制度詳細'!$I$36="",EOMONTH(AB$5,0),'制度詳細'!$I$36),EOMONTH(AB$5,0)),"■",IF(AND('制度詳細'!$J$36&lt;&gt;"",'制度詳細'!$J$36&gt;=AB$5,'制度詳細'!$J$36&lt;=EOMONTH(AB$5,0)),"◆","")))</x:f>
        <x:v>■</x:v>
      </x:c>
      <x:c r="AC36" s="57" t="str">
        <x:f>IF('制度詳細'!$H$36="",IF('制度詳細'!$J$36="","",IF(AND('制度詳細'!$J$36&gt;=AC$5,'制度詳細'!$J$36&lt;=EOMONTH(AC$5,0)),"◆","")),IF(MAX('制度詳細'!$H$36,AC$5)&lt;=MIN(IF('制度詳細'!$I$36="",EOMONTH(AC$5,0),'制度詳細'!$I$36),EOMONTH(AC$5,0)),"■",IF(AND('制度詳細'!$J$36&lt;&gt;"",'制度詳細'!$J$36&gt;=AC$5,'制度詳細'!$J$36&lt;=EOMONTH(AC$5,0)),"◆","")))</x:f>
        <x:v>■</x:v>
      </x:c>
      <x:c r="AD36" s="57" t="str">
        <x:f>IF('制度詳細'!$H$36="",IF('制度詳細'!$J$36="","",IF(AND('制度詳細'!$J$36&gt;=AD$5,'制度詳細'!$J$36&lt;=EOMONTH(AD$5,0)),"◆","")),IF(MAX('制度詳細'!$H$36,AD$5)&lt;=MIN(IF('制度詳細'!$I$36="",EOMONTH(AD$5,0),'制度詳細'!$I$36),EOMONTH(AD$5,0)),"■",IF(AND('制度詳細'!$J$36&lt;&gt;"",'制度詳細'!$J$36&gt;=AD$5,'制度詳細'!$J$36&lt;=EOMONTH(AD$5,0)),"◆","")))</x:f>
        <x:v>■</x:v>
      </x:c>
      <x:c r="AE36" s="57" t="str">
        <x:f>IF('制度詳細'!$H$36="",IF('制度詳細'!$J$36="","",IF(AND('制度詳細'!$J$36&gt;=AE$5,'制度詳細'!$J$36&lt;=EOMONTH(AE$5,0)),"◆","")),IF(MAX('制度詳細'!$H$36,AE$5)&lt;=MIN(IF('制度詳細'!$I$36="",EOMONTH(AE$5,0),'制度詳細'!$I$36),EOMONTH(AE$5,0)),"■",IF(AND('制度詳細'!$J$36&lt;&gt;"",'制度詳細'!$J$36&gt;=AE$5,'制度詳細'!$J$36&lt;=EOMONTH(AE$5,0)),"◆","")))</x:f>
        <x:v>■</x:v>
      </x:c>
      <x:c r="AF36" s="57" t="str">
        <x:f>IF('制度詳細'!$H$36="",IF('制度詳細'!$J$36="","",IF(AND('制度詳細'!$J$36&gt;=AF$5,'制度詳細'!$J$36&lt;=EOMONTH(AF$5,0)),"◆","")),IF(MAX('制度詳細'!$H$36,AF$5)&lt;=MIN(IF('制度詳細'!$I$36="",EOMONTH(AF$5,0),'制度詳細'!$I$36),EOMONTH(AF$5,0)),"■",IF(AND('制度詳細'!$J$36&lt;&gt;"",'制度詳細'!$J$36&gt;=AF$5,'制度詳細'!$J$36&lt;=EOMONTH(AF$5,0)),"◆","")))</x:f>
        <x:v>■</x:v>
      </x:c>
      <x:c r="AG36" s="57" t="str">
        <x:f>IF('制度詳細'!$H$36="",IF('制度詳細'!$J$36="","",IF(AND('制度詳細'!$J$36&gt;=AG$5,'制度詳細'!$J$36&lt;=EOMONTH(AG$5,0)),"◆","")),IF(MAX('制度詳細'!$H$36,AG$5)&lt;=MIN(IF('制度詳細'!$I$36="",EOMONTH(AG$5,0),'制度詳細'!$I$36),EOMONTH(AG$5,0)),"■",IF(AND('制度詳細'!$J$36&lt;&gt;"",'制度詳細'!$J$36&gt;=AG$5,'制度詳細'!$J$36&lt;=EOMONTH(AG$5,0)),"◆","")))</x:f>
        <x:v>■</x:v>
      </x:c>
      <x:c r="AH36" s="57" t="str">
        <x:f>IF('制度詳細'!$H$36="",IF('制度詳細'!$J$36="","",IF(AND('制度詳細'!$J$36&gt;=AH$5,'制度詳細'!$J$36&lt;=EOMONTH(AH$5,0)),"◆","")),IF(MAX('制度詳細'!$H$36,AH$5)&lt;=MIN(IF('制度詳細'!$I$36="",EOMONTH(AH$5,0),'制度詳細'!$I$36),EOMONTH(AH$5,0)),"■",IF(AND('制度詳細'!$J$36&lt;&gt;"",'制度詳細'!$J$36&gt;=AH$5,'制度詳細'!$J$36&lt;=EOMONTH(AH$5,0)),"◆","")))</x:f>
      </x:c>
      <x:c r="AI36" s="57" t="str">
        <x:f>IF('制度詳細'!$H$36="",IF('制度詳細'!$J$36="","",IF(AND('制度詳細'!$J$36&gt;=AI$5,'制度詳細'!$J$36&lt;=EOMONTH(AI$5,0)),"◆","")),IF(MAX('制度詳細'!$H$36,AI$5)&lt;=MIN(IF('制度詳細'!$I$36="",EOMONTH(AI$5,0),'制度詳細'!$I$36),EOMONTH(AI$5,0)),"■",IF(AND('制度詳細'!$J$36&lt;&gt;"",'制度詳細'!$J$36&gt;=AI$5,'制度詳細'!$J$36&lt;=EOMONTH(AI$5,0)),"◆","")))</x:f>
      </x:c>
      <x:c r="AJ36" s="57" t="str">
        <x:f>IF('制度詳細'!$H$36="",IF('制度詳細'!$J$36="","",IF(AND('制度詳細'!$J$36&gt;=AJ$5,'制度詳細'!$J$36&lt;=EOMONTH(AJ$5,0)),"◆","")),IF(MAX('制度詳細'!$H$36,AJ$5)&lt;=MIN(IF('制度詳細'!$I$36="",EOMONTH(AJ$5,0),'制度詳細'!$I$36),EOMONTH(AJ$5,0)),"■",IF(AND('制度詳細'!$J$36&lt;&gt;"",'制度詳細'!$J$36&gt;=AJ$5,'制度詳細'!$J$36&lt;=EOMONTH(AJ$5,0)),"◆","")))</x:f>
      </x:c>
      <x:c r="AK36" s="57" t="str">
        <x:f>IF('制度詳細'!$H$36="",IF('制度詳細'!$J$36="","",IF(AND('制度詳細'!$J$36&gt;=AK$5,'制度詳細'!$J$36&lt;=EOMONTH(AK$5,0)),"◆","")),IF(MAX('制度詳細'!$H$36,AK$5)&lt;=MIN(IF('制度詳細'!$I$36="",EOMONTH(AK$5,0),'制度詳細'!$I$36),EOMONTH(AK$5,0)),"■",IF(AND('制度詳細'!$J$36&lt;&gt;"",'制度詳細'!$J$36&gt;=AK$5,'制度詳細'!$J$36&lt;=EOMONTH(AK$5,0)),"◆","")))</x:f>
      </x:c>
      <x:c r="AL36" s="57" t="str">
        <x:f>IF('制度詳細'!$H$36="",IF('制度詳細'!$J$36="","",IF(AND('制度詳細'!$J$36&gt;=AL$5,'制度詳細'!$J$36&lt;=EOMONTH(AL$5,0)),"◆","")),IF(MAX('制度詳細'!$H$36,AL$5)&lt;=MIN(IF('制度詳細'!$I$36="",EOMONTH(AL$5,0),'制度詳細'!$I$36),EOMONTH(AL$5,0)),"■",IF(AND('制度詳細'!$J$36&lt;&gt;"",'制度詳細'!$J$36&gt;=AL$5,'制度詳細'!$J$36&lt;=EOMONTH(AL$5,0)),"◆","")))</x:f>
      </x:c>
      <x:c r="AM36" s="57" t="str">
        <x:f>IF('制度詳細'!$H$36="",IF('制度詳細'!$J$36="","",IF(AND('制度詳細'!$J$36&gt;=AM$5,'制度詳細'!$J$36&lt;=EOMONTH(AM$5,0)),"◆","")),IF(MAX('制度詳細'!$H$36,AM$5)&lt;=MIN(IF('制度詳細'!$I$36="",EOMONTH(AM$5,0),'制度詳細'!$I$36),EOMONTH(AM$5,0)),"■",IF(AND('制度詳細'!$J$36&lt;&gt;"",'制度詳細'!$J$36&gt;=AM$5,'制度詳細'!$J$36&lt;=EOMONTH(AM$5,0)),"◆","")))</x:f>
      </x:c>
      <x:c r="AN36" s="57" t="str">
        <x:f>IF('制度詳細'!$H$36="",IF('制度詳細'!$J$36="","",IF(AND('制度詳細'!$J$36&gt;=AN$5,'制度詳細'!$J$36&lt;=EOMONTH(AN$5,0)),"◆","")),IF(MAX('制度詳細'!$H$36,AN$5)&lt;=MIN(IF('制度詳細'!$I$36="",EOMONTH(AN$5,0),'制度詳細'!$I$36),EOMONTH(AN$5,0)),"■",IF(AND('制度詳細'!$J$36&lt;&gt;"",'制度詳細'!$J$36&gt;=AN$5,'制度詳細'!$J$36&lt;=EOMONTH(AN$5,0)),"◆","")))</x:f>
      </x:c>
      <x:c r="AO36" s="57" t="str">
        <x:f>IF('制度詳細'!$H$36="",IF('制度詳細'!$J$36="","",IF(AND('制度詳細'!$J$36&gt;=AO$5,'制度詳細'!$J$36&lt;=EOMONTH(AO$5,0)),"◆","")),IF(MAX('制度詳細'!$H$36,AO$5)&lt;=MIN(IF('制度詳細'!$I$36="",EOMONTH(AO$5,0),'制度詳細'!$I$36),EOMONTH(AO$5,0)),"■",IF(AND('制度詳細'!$J$36&lt;&gt;"",'制度詳細'!$J$36&gt;=AO$5,'制度詳細'!$J$36&lt;=EOMONTH(AO$5,0)),"◆","")))</x:f>
      </x:c>
      <x:c r="AP36" s="57" t="str">
        <x:f>IF('制度詳細'!$H$36="",IF('制度詳細'!$J$36="","",IF(AND('制度詳細'!$J$36&gt;=AP$5,'制度詳細'!$J$36&lt;=EOMONTH(AP$5,0)),"◆","")),IF(MAX('制度詳細'!$H$36,AP$5)&lt;=MIN(IF('制度詳細'!$I$36="",EOMONTH(AP$5,0),'制度詳細'!$I$36),EOMONTH(AP$5,0)),"■",IF(AND('制度詳細'!$J$36&lt;&gt;"",'制度詳細'!$J$36&gt;=AP$5,'制度詳細'!$J$36&lt;=EOMONTH(AP$5,0)),"◆","")))</x:f>
      </x:c>
      <x:c r="AQ36" s="57" t="str">
        <x:f>IF('制度詳細'!$H$36="",IF('制度詳細'!$J$36="","",IF(AND('制度詳細'!$J$36&gt;=AQ$5,'制度詳細'!$J$36&lt;=EOMONTH(AQ$5,0)),"◆","")),IF(MAX('制度詳細'!$H$36,AQ$5)&lt;=MIN(IF('制度詳細'!$I$36="",EOMONTH(AQ$5,0),'制度詳細'!$I$36),EOMONTH(AQ$5,0)),"■",IF(AND('制度詳細'!$J$36&lt;&gt;"",'制度詳細'!$J$36&gt;=AQ$5,'制度詳細'!$J$36&lt;=EOMONTH(AQ$5,0)),"◆","")))</x:f>
      </x:c>
      <x:c r="AR36" s="57" t="str">
        <x:f>IF('制度詳細'!$H$36="",IF('制度詳細'!$J$36="","",IF(AND('制度詳細'!$J$36&gt;=AR$5,'制度詳細'!$J$36&lt;=EOMONTH(AR$5,0)),"◆","")),IF(MAX('制度詳細'!$H$36,AR$5)&lt;=MIN(IF('制度詳細'!$I$36="",EOMONTH(AR$5,0),'制度詳細'!$I$36),EOMONTH(AR$5,0)),"■",IF(AND('制度詳細'!$J$36&lt;&gt;"",'制度詳細'!$J$36&gt;=AR$5,'制度詳細'!$J$36&lt;=EOMONTH(AR$5,0)),"◆","")))</x:f>
      </x:c>
      <x:c r="AS36" s="57" t="str">
        <x:f>IF('制度詳細'!$H$36="",IF('制度詳細'!$J$36="","",IF(AND('制度詳細'!$J$36&gt;=AS$5,'制度詳細'!$J$36&lt;=EOMONTH(AS$5,0)),"◆","")),IF(MAX('制度詳細'!$H$36,AS$5)&lt;=MIN(IF('制度詳細'!$I$36="",EOMONTH(AS$5,0),'制度詳細'!$I$36),EOMONTH(AS$5,0)),"■",IF(AND('制度詳細'!$J$36&lt;&gt;"",'制度詳細'!$J$36&gt;=AS$5,'制度詳細'!$J$36&lt;=EOMONTH(AS$5,0)),"◆","")))</x:f>
      </x:c>
      <x:c r="AT36" s="57" t="str">
        <x:f>IF('制度詳細'!$H$36="",IF('制度詳細'!$J$36="","",IF(AND('制度詳細'!$J$36&gt;=AT$5,'制度詳細'!$J$36&lt;=EOMONTH(AT$5,0)),"◆","")),IF(MAX('制度詳細'!$H$36,AT$5)&lt;=MIN(IF('制度詳細'!$I$36="",EOMONTH(AT$5,0),'制度詳細'!$I$36),EOMONTH(AT$5,0)),"■",IF(AND('制度詳細'!$J$36&lt;&gt;"",'制度詳細'!$J$36&gt;=AT$5,'制度詳細'!$J$36&lt;=EOMONTH(AT$5,0)),"◆","")))</x:f>
      </x:c>
      <x:c r="AU36" s="57" t="str">
        <x:f>IF('制度詳細'!$H$36="",IF('制度詳細'!$J$36="","",IF(AND('制度詳細'!$J$36&gt;=AU$5,'制度詳細'!$J$36&lt;=EOMONTH(AU$5,0)),"◆","")),IF(MAX('制度詳細'!$H$36,AU$5)&lt;=MIN(IF('制度詳細'!$I$36="",EOMONTH(AU$5,0),'制度詳細'!$I$36),EOMONTH(AU$5,0)),"■",IF(AND('制度詳細'!$J$36&lt;&gt;"",'制度詳細'!$J$36&gt;=AU$5,'制度詳細'!$J$36&lt;=EOMONTH(AU$5,0)),"◆","")))</x:f>
      </x:c>
      <x:c r="AV36" s="57" t="str">
        <x:f>IF('制度詳細'!$H$36="",IF('制度詳細'!$J$36="","",IF(AND('制度詳細'!$J$36&gt;=AV$5,'制度詳細'!$J$36&lt;=EOMONTH(AV$5,0)),"◆","")),IF(MAX('制度詳細'!$H$36,AV$5)&lt;=MIN(IF('制度詳細'!$I$36="",EOMONTH(AV$5,0),'制度詳細'!$I$36),EOMONTH(AV$5,0)),"■",IF(AND('制度詳細'!$J$36&lt;&gt;"",'制度詳細'!$J$36&gt;=AV$5,'制度詳細'!$J$36&lt;=EOMONTH(AV$5,0)),"◆","")))</x:f>
      </x:c>
      <x:c r="AW36" s="57" t="str">
        <x:f>IF('制度詳細'!$H$36="",IF('制度詳細'!$J$36="","",IF(AND('制度詳細'!$J$36&gt;=AW$5,'制度詳細'!$J$36&lt;=EOMONTH(AW$5,0)),"◆","")),IF(MAX('制度詳細'!$H$36,AW$5)&lt;=MIN(IF('制度詳細'!$I$36="",EOMONTH(AW$5,0),'制度詳細'!$I$36),EOMONTH(AW$5,0)),"■",IF(AND('制度詳細'!$J$36&lt;&gt;"",'制度詳細'!$J$36&gt;=AW$5,'制度詳細'!$J$36&lt;=EOMONTH(AW$5,0)),"◆","")))</x:f>
      </x:c>
      <x:c r="AX36" s="57" t="str">
        <x:f>IF('制度詳細'!$H$36="",IF('制度詳細'!$J$36="","",IF(AND('制度詳細'!$J$36&gt;=AX$5,'制度詳細'!$J$36&lt;=EOMONTH(AX$5,0)),"◆","")),IF(MAX('制度詳細'!$H$36,AX$5)&lt;=MIN(IF('制度詳細'!$I$36="",EOMONTH(AX$5,0),'制度詳細'!$I$36),EOMONTH(AX$5,0)),"■",IF(AND('制度詳細'!$J$36&lt;&gt;"",'制度詳細'!$J$36&gt;=AX$5,'制度詳細'!$J$36&lt;=EOMONTH(AX$5,0)),"◆","")))</x:f>
      </x:c>
      <x:c r="AY36" s="57" t="str">
        <x:f>IF('制度詳細'!$H$36="",IF('制度詳細'!$J$36="","",IF(AND('制度詳細'!$J$36&gt;=AY$5,'制度詳細'!$J$36&lt;=EOMONTH(AY$5,0)),"◆","")),IF(MAX('制度詳細'!$H$36,AY$5)&lt;=MIN(IF('制度詳細'!$I$36="",EOMONTH(AY$5,0),'制度詳細'!$I$36),EOMONTH(AY$5,0)),"■",IF(AND('制度詳細'!$J$36&lt;&gt;"",'制度詳細'!$J$36&gt;=AY$5,'制度詳細'!$J$36&lt;=EOMONTH(AY$5,0)),"◆","")))</x:f>
      </x:c>
      <x:c r="AZ36" s="57" t="str">
        <x:f>IF('制度詳細'!$H$36="",IF('制度詳細'!$J$36="","",IF(AND('制度詳細'!$J$36&gt;=AZ$5,'制度詳細'!$J$36&lt;=EOMONTH(AZ$5,0)),"◆","")),IF(MAX('制度詳細'!$H$36,AZ$5)&lt;=MIN(IF('制度詳細'!$I$36="",EOMONTH(AZ$5,0),'制度詳細'!$I$36),EOMONTH(AZ$5,0)),"■",IF(AND('制度詳細'!$J$36&lt;&gt;"",'制度詳細'!$J$36&gt;=AZ$5,'制度詳細'!$J$36&lt;=EOMONTH(AZ$5,0)),"◆","")))</x:f>
      </x:c>
      <x:c r="BA36" s="57" t="str">
        <x:f>IF('制度詳細'!$H$36="",IF('制度詳細'!$J$36="","",IF(AND('制度詳細'!$J$36&gt;=BA$5,'制度詳細'!$J$36&lt;=EOMONTH(BA$5,0)),"◆","")),IF(MAX('制度詳細'!$H$36,BA$5)&lt;=MIN(IF('制度詳細'!$I$36="",EOMONTH(BA$5,0),'制度詳細'!$I$36),EOMONTH(BA$5,0)),"■",IF(AND('制度詳細'!$J$36&lt;&gt;"",'制度詳細'!$J$36&gt;=BA$5,'制度詳細'!$J$36&lt;=EOMONTH(BA$5,0)),"◆","")))</x:f>
      </x:c>
      <x:c r="BB36" s="57" t="str">
        <x:f>IF('制度詳細'!$H$36="",IF('制度詳細'!$J$36="","",IF(AND('制度詳細'!$J$36&gt;=BB$5,'制度詳細'!$J$36&lt;=EOMONTH(BB$5,0)),"◆","")),IF(MAX('制度詳細'!$H$36,BB$5)&lt;=MIN(IF('制度詳細'!$I$36="",EOMONTH(BB$5,0),'制度詳細'!$I$36),EOMONTH(BB$5,0)),"■",IF(AND('制度詳細'!$J$36&lt;&gt;"",'制度詳細'!$J$36&gt;=BB$5,'制度詳細'!$J$36&lt;=EOMONTH(BB$5,0)),"◆","")))</x:f>
      </x:c>
      <x:c r="BC36" s="57" t="str">
        <x:f>IF('制度詳細'!$H$36="",IF('制度詳細'!$J$36="","",IF(AND('制度詳細'!$J$36&gt;=BC$5,'制度詳細'!$J$36&lt;=EOMONTH(BC$5,0)),"◆","")),IF(MAX('制度詳細'!$H$36,BC$5)&lt;=MIN(IF('制度詳細'!$I$36="",EOMONTH(BC$5,0),'制度詳細'!$I$36),EOMONTH(BC$5,0)),"■",IF(AND('制度詳細'!$J$36&lt;&gt;"",'制度詳細'!$J$36&gt;=BC$5,'制度詳細'!$J$36&lt;=EOMONTH(BC$5,0)),"◆","")))</x:f>
      </x:c>
      <x:c r="BD36" s="57" t="str">
        <x:f>IF('制度詳細'!$H$36="",IF('制度詳細'!$J$36="","",IF(AND('制度詳細'!$J$36&gt;=BD$5,'制度詳細'!$J$36&lt;=EOMONTH(BD$5,0)),"◆","")),IF(MAX('制度詳細'!$H$36,BD$5)&lt;=MIN(IF('制度詳細'!$I$36="",EOMONTH(BD$5,0),'制度詳細'!$I$36),EOMONTH(BD$5,0)),"■",IF(AND('制度詳細'!$J$36&lt;&gt;"",'制度詳細'!$J$36&gt;=BD$5,'制度詳細'!$J$36&lt;=EOMONTH(BD$5,0)),"◆","")))</x:f>
      </x:c>
      <x:c r="BE36" s="57" t="str">
        <x:f>IF('制度詳細'!$H$36="",IF('制度詳細'!$J$36="","",IF(AND('制度詳細'!$J$36&gt;=BE$5,'制度詳細'!$J$36&lt;=EOMONTH(BE$5,0)),"◆","")),IF(MAX('制度詳細'!$H$36,BE$5)&lt;=MIN(IF('制度詳細'!$I$36="",EOMONTH(BE$5,0),'制度詳細'!$I$36),EOMONTH(BE$5,0)),"■",IF(AND('制度詳細'!$J$36&lt;&gt;"",'制度詳細'!$J$36&gt;=BE$5,'制度詳細'!$J$36&lt;=EOMONTH(BE$5,0)),"◆","")))</x:f>
      </x:c>
      <x:c r="BF36" s="57" t="str">
        <x:f>IF('制度詳細'!$H$36="",IF('制度詳細'!$J$36="","",IF(AND('制度詳細'!$J$36&gt;=BF$5,'制度詳細'!$J$36&lt;=EOMONTH(BF$5,0)),"◆","")),IF(MAX('制度詳細'!$H$36,BF$5)&lt;=MIN(IF('制度詳細'!$I$36="",EOMONTH(BF$5,0),'制度詳細'!$I$36),EOMONTH(BF$5,0)),"■",IF(AND('制度詳細'!$J$36&lt;&gt;"",'制度詳細'!$J$36&gt;=BF$5,'制度詳細'!$J$36&lt;=EOMONTH(BF$5,0)),"◆","")))</x:f>
      </x:c>
      <x:c r="BG36" s="57" t="str">
        <x:f>IF('制度詳細'!$H$36="",IF('制度詳細'!$J$36="","",IF(AND('制度詳細'!$J$36&gt;=BG$5,'制度詳細'!$J$36&lt;=EOMONTH(BG$5,0)),"◆","")),IF(MAX('制度詳細'!$H$36,BG$5)&lt;=MIN(IF('制度詳細'!$I$36="",EOMONTH(BG$5,0),'制度詳細'!$I$36),EOMONTH(BG$5,0)),"■",IF(AND('制度詳細'!$J$36&lt;&gt;"",'制度詳細'!$J$36&gt;=BG$5,'制度詳細'!$J$36&lt;=EOMONTH(BG$5,0)),"◆","")))</x:f>
      </x:c>
      <x:c r="BH36" s="57" t="str">
        <x:f>IF('制度詳細'!$H$36="",IF('制度詳細'!$J$36="","",IF(AND('制度詳細'!$J$36&gt;=BH$5,'制度詳細'!$J$36&lt;=EOMONTH(BH$5,0)),"◆","")),IF(MAX('制度詳細'!$H$36,BH$5)&lt;=MIN(IF('制度詳細'!$I$36="",EOMONTH(BH$5,0),'制度詳細'!$I$36),EOMONTH(BH$5,0)),"■",IF(AND('制度詳細'!$J$36&lt;&gt;"",'制度詳細'!$J$36&gt;=BH$5,'制度詳細'!$J$36&lt;=EOMONTH(BH$5,0)),"◆","")))</x:f>
      </x:c>
      <x:c r="BI36" s="57" t="str">
        <x:f>IF('制度詳細'!$H$36="",IF('制度詳細'!$J$36="","",IF(AND('制度詳細'!$J$36&gt;=BI$5,'制度詳細'!$J$36&lt;=EOMONTH(BI$5,0)),"◆","")),IF(MAX('制度詳細'!$H$36,BI$5)&lt;=MIN(IF('制度詳細'!$I$36="",EOMONTH(BI$5,0),'制度詳細'!$I$36),EOMONTH(BI$5,0)),"■",IF(AND('制度詳細'!$J$36&lt;&gt;"",'制度詳細'!$J$36&gt;=BI$5,'制度詳細'!$J$36&lt;=EOMONTH(BI$5,0)),"◆","")))</x:f>
      </x:c>
      <x:c r="BJ36" s="57" t="str">
        <x:f>IF('制度詳細'!$H$36="",IF('制度詳細'!$J$36="","",IF(AND('制度詳細'!$J$36&gt;=BJ$5,'制度詳細'!$J$36&lt;=EOMONTH(BJ$5,0)),"◆","")),IF(MAX('制度詳細'!$H$36,BJ$5)&lt;=MIN(IF('制度詳細'!$I$36="",EOMONTH(BJ$5,0),'制度詳細'!$I$36),EOMONTH(BJ$5,0)),"■",IF(AND('制度詳細'!$J$36&lt;&gt;"",'制度詳細'!$J$36&gt;=BJ$5,'制度詳細'!$J$36&lt;=EOMONTH(BJ$5,0)),"◆","")))</x:f>
      </x:c>
      <x:c r="BK36" s="57" t="str">
        <x:f>IF('制度詳細'!$H$36="",IF('制度詳細'!$J$36="","",IF(AND('制度詳細'!$J$36&gt;=BK$5,'制度詳細'!$J$36&lt;=EOMONTH(BK$5,0)),"◆","")),IF(MAX('制度詳細'!$H$36,BK$5)&lt;=MIN(IF('制度詳細'!$I$36="",EOMONTH(BK$5,0),'制度詳細'!$I$36),EOMONTH(BK$5,0)),"■",IF(AND('制度詳細'!$J$36&lt;&gt;"",'制度詳細'!$J$36&gt;=BK$5,'制度詳細'!$J$36&lt;=EOMONTH(BK$5,0)),"◆","")))</x:f>
      </x:c>
      <x:c r="BL36" s="57" t="str">
        <x:f>IF('制度詳細'!$H$36="",IF('制度詳細'!$J$36="","",IF(AND('制度詳細'!$J$36&gt;=BL$5,'制度詳細'!$J$36&lt;=EOMONTH(BL$5,0)),"◆","")),IF(MAX('制度詳細'!$H$36,BL$5)&lt;=MIN(IF('制度詳細'!$I$36="",EOMONTH(BL$5,0),'制度詳細'!$I$36),EOMONTH(BL$5,0)),"■",IF(AND('制度詳細'!$J$36&lt;&gt;"",'制度詳細'!$J$36&gt;=BL$5,'制度詳細'!$J$36&lt;=EOMONTH(BL$5,0)),"◆","")))</x:f>
      </x:c>
      <x:c r="BM36" s="57" t="str">
        <x:f>IF('制度詳細'!$H$36="",IF('制度詳細'!$J$36="","",IF(AND('制度詳細'!$J$36&gt;=BM$5,'制度詳細'!$J$36&lt;=EOMONTH(BM$5,0)),"◆","")),IF(MAX('制度詳細'!$H$36,BM$5)&lt;=MIN(IF('制度詳細'!$I$36="",EOMONTH(BM$5,0),'制度詳細'!$I$36),EOMONTH(BM$5,0)),"■",IF(AND('制度詳細'!$J$36&lt;&gt;"",'制度詳細'!$J$36&gt;=BM$5,'制度詳細'!$J$36&lt;=EOMONTH(BM$5,0)),"◆","")))</x:f>
      </x:c>
      <x:c r="BN36" s="57" t="str">
        <x:f>IF('制度詳細'!$H$36="",IF('制度詳細'!$J$36="","",IF(AND('制度詳細'!$J$36&gt;=BN$5,'制度詳細'!$J$36&lt;=EOMONTH(BN$5,0)),"◆","")),IF(MAX('制度詳細'!$H$36,BN$5)&lt;=MIN(IF('制度詳細'!$I$36="",EOMONTH(BN$5,0),'制度詳細'!$I$36),EOMONTH(BN$5,0)),"■",IF(AND('制度詳細'!$J$36&lt;&gt;"",'制度詳細'!$J$36&gt;=BN$5,'制度詳細'!$J$36&lt;=EOMONTH(BN$5,0)),"◆","")))</x:f>
      </x:c>
      <x:c r="BO36" s="57" t="str">
        <x:f>IF('制度詳細'!$H$36="",IF('制度詳細'!$J$36="","",IF(AND('制度詳細'!$J$36&gt;=BO$5,'制度詳細'!$J$36&lt;=EOMONTH(BO$5,0)),"◆","")),IF(MAX('制度詳細'!$H$36,BO$5)&lt;=MIN(IF('制度詳細'!$I$36="",EOMONTH(BO$5,0),'制度詳細'!$I$36),EOMONTH(BO$5,0)),"■",IF(AND('制度詳細'!$J$36&lt;&gt;"",'制度詳細'!$J$36&gt;=BO$5,'制度詳細'!$J$36&lt;=EOMONTH(BO$5,0)),"◆","")))</x:f>
      </x:c>
      <x:c r="BP36" s="57" t="str">
        <x:f>IF('制度詳細'!$H$36="",IF('制度詳細'!$J$36="","",IF(AND('制度詳細'!$J$36&gt;=BP$5,'制度詳細'!$J$36&lt;=EOMONTH(BP$5,0)),"◆","")),IF(MAX('制度詳細'!$H$36,BP$5)&lt;=MIN(IF('制度詳細'!$I$36="",EOMONTH(BP$5,0),'制度詳細'!$I$36),EOMONTH(BP$5,0)),"■",IF(AND('制度詳細'!$J$36&lt;&gt;"",'制度詳細'!$J$36&gt;=BP$5,'制度詳細'!$J$36&lt;=EOMONTH(BP$5,0)),"◆","")))</x:f>
      </x:c>
      <x:c r="BQ36" s="57" t="str">
        <x:f>IF('制度詳細'!$H$36="",IF('制度詳細'!$J$36="","",IF(AND('制度詳細'!$J$36&gt;=BQ$5,'制度詳細'!$J$36&lt;=EOMONTH(BQ$5,0)),"◆","")),IF(MAX('制度詳細'!$H$36,BQ$5)&lt;=MIN(IF('制度詳細'!$I$36="",EOMONTH(BQ$5,0),'制度詳細'!$I$36),EOMONTH(BQ$5,0)),"■",IF(AND('制度詳細'!$J$36&lt;&gt;"",'制度詳細'!$J$36&gt;=BQ$5,'制度詳細'!$J$36&lt;=EOMONTH(BQ$5,0)),"◆","")))</x:f>
      </x:c>
      <x:c r="BR36" s="57" t="str">
        <x:f>IF('制度詳細'!$H$36="",IF('制度詳細'!$J$36="","",IF(AND('制度詳細'!$J$36&gt;=BR$5,'制度詳細'!$J$36&lt;=EOMONTH(BR$5,0)),"◆","")),IF(MAX('制度詳細'!$H$36,BR$5)&lt;=MIN(IF('制度詳細'!$I$36="",EOMONTH(BR$5,0),'制度詳細'!$I$36),EOMONTH(BR$5,0)),"■",IF(AND('制度詳細'!$J$36&lt;&gt;"",'制度詳細'!$J$36&gt;=BR$5,'制度詳細'!$J$36&lt;=EOMONTH(BR$5,0)),"◆","")))</x:f>
      </x:c>
      <x:c r="BS36" s="57" t="str">
        <x:f>IF('制度詳細'!$H$36="",IF('制度詳細'!$J$36="","",IF(AND('制度詳細'!$J$36&gt;=BS$5,'制度詳細'!$J$36&lt;=EOMONTH(BS$5,0)),"◆","")),IF(MAX('制度詳細'!$H$36,BS$5)&lt;=MIN(IF('制度詳細'!$I$36="",EOMONTH(BS$5,0),'制度詳細'!$I$36),EOMONTH(BS$5,0)),"■",IF(AND('制度詳細'!$J$36&lt;&gt;"",'制度詳細'!$J$36&gt;=BS$5,'制度詳細'!$J$36&lt;=EOMONTH(BS$5,0)),"◆","")))</x:f>
      </x:c>
      <x:c r="BT36" s="57" t="str">
        <x:f>IF('制度詳細'!$H$36="",IF('制度詳細'!$J$36="","",IF(AND('制度詳細'!$J$36&gt;=BT$5,'制度詳細'!$J$36&lt;=EOMONTH(BT$5,0)),"◆","")),IF(MAX('制度詳細'!$H$36,BT$5)&lt;=MIN(IF('制度詳細'!$I$36="",EOMONTH(BT$5,0),'制度詳細'!$I$36),EOMONTH(BT$5,0)),"■",IF(AND('制度詳細'!$J$36&lt;&gt;"",'制度詳細'!$J$36&gt;=BT$5,'制度詳細'!$J$36&lt;=EOMONTH(BT$5,0)),"◆","")))</x:f>
      </x:c>
      <x:c r="BU36" s="57" t="str">
        <x:f>IF('制度詳細'!$H$36="",IF('制度詳細'!$J$36="","",IF(AND('制度詳細'!$J$36&gt;=BU$5,'制度詳細'!$J$36&lt;=EOMONTH(BU$5,0)),"◆","")),IF(MAX('制度詳細'!$H$36,BU$5)&lt;=MIN(IF('制度詳細'!$I$36="",EOMONTH(BU$5,0),'制度詳細'!$I$36),EOMONTH(BU$5,0)),"■",IF(AND('制度詳細'!$J$36&lt;&gt;"",'制度詳細'!$J$36&gt;=BU$5,'制度詳細'!$J$36&lt;=EOMONTH(BU$5,0)),"◆","")))</x:f>
      </x:c>
      <x:c r="BV36" s="57" t="str">
        <x:f>IF('制度詳細'!$H$36="",IF('制度詳細'!$J$36="","",IF(AND('制度詳細'!$J$36&gt;=BV$5,'制度詳細'!$J$36&lt;=EOMONTH(BV$5,0)),"◆","")),IF(MAX('制度詳細'!$H$36,BV$5)&lt;=MIN(IF('制度詳細'!$I$36="",EOMONTH(BV$5,0),'制度詳細'!$I$36),EOMONTH(BV$5,0)),"■",IF(AND('制度詳細'!$J$36&lt;&gt;"",'制度詳細'!$J$36&gt;=BV$5,'制度詳細'!$J$36&lt;=EOMONTH(BV$5,0)),"◆","")))</x:f>
      </x:c>
      <x:c r="BW36" s="57" t="str">
        <x:f>IF('制度詳細'!$H$36="",IF('制度詳細'!$J$36="","",IF(AND('制度詳細'!$J$36&gt;=BW$5,'制度詳細'!$J$36&lt;=EOMONTH(BW$5,0)),"◆","")),IF(MAX('制度詳細'!$H$36,BW$5)&lt;=MIN(IF('制度詳細'!$I$36="",EOMONTH(BW$5,0),'制度詳細'!$I$36),EOMONTH(BW$5,0)),"■",IF(AND('制度詳細'!$J$36&lt;&gt;"",'制度詳細'!$J$36&gt;=BW$5,'制度詳細'!$J$36&lt;=EOMONTH(BW$5,0)),"◆","")))</x:f>
      </x:c>
      <x:c r="BX36" s="57" t="str">
        <x:f>IF('制度詳細'!$H$36="",IF('制度詳細'!$J$36="","",IF(AND('制度詳細'!$J$36&gt;=BX$5,'制度詳細'!$J$36&lt;=EOMONTH(BX$5,0)),"◆","")),IF(MAX('制度詳細'!$H$36,BX$5)&lt;=MIN(IF('制度詳細'!$I$36="",EOMONTH(BX$5,0),'制度詳細'!$I$36),EOMONTH(BX$5,0)),"■",IF(AND('制度詳細'!$J$36&lt;&gt;"",'制度詳細'!$J$36&gt;=BX$5,'制度詳細'!$J$36&lt;=EOMONTH(BX$5,0)),"◆","")))</x:f>
      </x:c>
      <x:c r="BY36" s="57" t="str">
        <x:f>IF('制度詳細'!$H$36="",IF('制度詳細'!$J$36="","",IF(AND('制度詳細'!$J$36&gt;=BY$5,'制度詳細'!$J$36&lt;=EOMONTH(BY$5,0)),"◆","")),IF(MAX('制度詳細'!$H$36,BY$5)&lt;=MIN(IF('制度詳細'!$I$36="",EOMONTH(BY$5,0),'制度詳細'!$I$36),EOMONTH(BY$5,0)),"■",IF(AND('制度詳細'!$J$36&lt;&gt;"",'制度詳細'!$J$36&gt;=BY$5,'制度詳細'!$J$36&lt;=EOMONTH(BY$5,0)),"◆","")))</x:f>
      </x:c>
      <x:c r="BZ36" s="57" t="str">
        <x:f>IF('制度詳細'!$H$36="",IF('制度詳細'!$J$36="","",IF(AND('制度詳細'!$J$36&gt;=BZ$5,'制度詳細'!$J$36&lt;=EOMONTH(BZ$5,0)),"◆","")),IF(MAX('制度詳細'!$H$36,BZ$5)&lt;=MIN(IF('制度詳細'!$I$36="",EOMONTH(BZ$5,0),'制度詳細'!$I$36),EOMONTH(BZ$5,0)),"■",IF(AND('制度詳細'!$J$36&lt;&gt;"",'制度詳細'!$J$36&gt;=BZ$5,'制度詳細'!$J$36&lt;=EOMONTH(BZ$5,0)),"◆","")))</x:f>
      </x:c>
      <x:c r="CA36" s="57" t="str">
        <x:f>IF('制度詳細'!$H$36="",IF('制度詳細'!$J$36="","",IF(AND('制度詳細'!$J$36&gt;=CA$5,'制度詳細'!$J$36&lt;=EOMONTH(CA$5,0)),"◆","")),IF(MAX('制度詳細'!$H$36,CA$5)&lt;=MIN(IF('制度詳細'!$I$36="",EOMONTH(CA$5,0),'制度詳細'!$I$36),EOMONTH(CA$5,0)),"■",IF(AND('制度詳細'!$J$36&lt;&gt;"",'制度詳細'!$J$36&gt;=CA$5,'制度詳細'!$J$36&lt;=EOMONTH(CA$5,0)),"◆","")))</x:f>
      </x:c>
      <x:c r="CB36" s="57" t="str">
        <x:f>IF('制度詳細'!$H$36="",IF('制度詳細'!$J$36="","",IF(AND('制度詳細'!$J$36&gt;=CB$5,'制度詳細'!$J$36&lt;=EOMONTH(CB$5,0)),"◆","")),IF(MAX('制度詳細'!$H$36,CB$5)&lt;=MIN(IF('制度詳細'!$I$36="",EOMONTH(CB$5,0),'制度詳細'!$I$36),EOMONTH(CB$5,0)),"■",IF(AND('制度詳細'!$J$36&lt;&gt;"",'制度詳細'!$J$36&gt;=CB$5,'制度詳細'!$J$36&lt;=EOMONTH(CB$5,0)),"◆","")))</x:f>
      </x:c>
      <x:c r="CC36" s="57" t="str">
        <x:f>IF('制度詳細'!$H$36="",IF('制度詳細'!$J$36="","",IF(AND('制度詳細'!$J$36&gt;=CC$5,'制度詳細'!$J$36&lt;=EOMONTH(CC$5,0)),"◆","")),IF(MAX('制度詳細'!$H$36,CC$5)&lt;=MIN(IF('制度詳細'!$I$36="",EOMONTH(CC$5,0),'制度詳細'!$I$36),EOMONTH(CC$5,0)),"■",IF(AND('制度詳細'!$J$36&lt;&gt;"",'制度詳細'!$J$36&gt;=CC$5,'制度詳細'!$J$36&lt;=EOMONTH(CC$5,0)),"◆","")))</x:f>
      </x:c>
      <x:c r="CD36" s="57" t="str">
        <x:f>IF('制度詳細'!$H$36="",IF('制度詳細'!$J$36="","",IF(AND('制度詳細'!$J$36&gt;=CD$5,'制度詳細'!$J$36&lt;=EOMONTH(CD$5,0)),"◆","")),IF(MAX('制度詳細'!$H$36,CD$5)&lt;=MIN(IF('制度詳細'!$I$36="",EOMONTH(CD$5,0),'制度詳細'!$I$36),EOMONTH(CD$5,0)),"■",IF(AND('制度詳細'!$J$36&lt;&gt;"",'制度詳細'!$J$36&gt;=CD$5,'制度詳細'!$J$36&lt;=EOMONTH(CD$5,0)),"◆","")))</x:f>
      </x:c>
      <x:c r="CE36" s="57" t="str">
        <x:f>IF('制度詳細'!$H$36="",IF('制度詳細'!$J$36="","",IF(AND('制度詳細'!$J$36&gt;=CE$5,'制度詳細'!$J$36&lt;=EOMONTH(CE$5,0)),"◆","")),IF(MAX('制度詳細'!$H$36,CE$5)&lt;=MIN(IF('制度詳細'!$I$36="",EOMONTH(CE$5,0),'制度詳細'!$I$36),EOMONTH(CE$5,0)),"■",IF(AND('制度詳細'!$J$36&lt;&gt;"",'制度詳細'!$J$36&gt;=CE$5,'制度詳細'!$J$36&lt;=EOMONTH(CE$5,0)),"◆","")))</x:f>
      </x:c>
      <x:c r="CF36" s="57" t="str">
        <x:f>IF('制度詳細'!$H$36="",IF('制度詳細'!$J$36="","",IF(AND('制度詳細'!$J$36&gt;=CF$5,'制度詳細'!$J$36&lt;=EOMONTH(CF$5,0)),"◆","")),IF(MAX('制度詳細'!$H$36,CF$5)&lt;=MIN(IF('制度詳細'!$I$36="",EOMONTH(CF$5,0),'制度詳細'!$I$36),EOMONTH(CF$5,0)),"■",IF(AND('制度詳細'!$J$36&lt;&gt;"",'制度詳細'!$J$36&gt;=CF$5,'制度詳細'!$J$36&lt;=EOMONTH(CF$5,0)),"◆","")))</x:f>
      </x:c>
      <x:c r="CG36" s="57" t="str">
        <x:f>IF('制度詳細'!$H$36="",IF('制度詳細'!$J$36="","",IF(AND('制度詳細'!$J$36&gt;=CG$5,'制度詳細'!$J$36&lt;=EOMONTH(CG$5,0)),"◆","")),IF(MAX('制度詳細'!$H$36,CG$5)&lt;=MIN(IF('制度詳細'!$I$36="",EOMONTH(CG$5,0),'制度詳細'!$I$36),EOMONTH(CG$5,0)),"■",IF(AND('制度詳細'!$J$36&lt;&gt;"",'制度詳細'!$J$36&gt;=CG$5,'制度詳細'!$J$36&lt;=EOMONTH(CG$5,0)),"◆","")))</x:f>
      </x:c>
      <x:c r="CH36" s="57" t="str">
        <x:f>IF('制度詳細'!$H$36="",IF('制度詳細'!$J$36="","",IF(AND('制度詳細'!$J$36&gt;=CH$5,'制度詳細'!$J$36&lt;=EOMONTH(CH$5,0)),"◆","")),IF(MAX('制度詳細'!$H$36,CH$5)&lt;=MIN(IF('制度詳細'!$I$36="",EOMONTH(CH$5,0),'制度詳細'!$I$36),EOMONTH(CH$5,0)),"■",IF(AND('制度詳細'!$J$36&lt;&gt;"",'制度詳細'!$J$36&gt;=CH$5,'制度詳細'!$J$36&lt;=EOMONTH(CH$5,0)),"◆","")))</x:f>
      </x:c>
      <x:c r="CI36" s="57" t="str">
        <x:f>IF('制度詳細'!$H$36="",IF('制度詳細'!$J$36="","",IF(AND('制度詳細'!$J$36&gt;=CI$5,'制度詳細'!$J$36&lt;=EOMONTH(CI$5,0)),"◆","")),IF(MAX('制度詳細'!$H$36,CI$5)&lt;=MIN(IF('制度詳細'!$I$36="",EOMONTH(CI$5,0),'制度詳細'!$I$36),EOMONTH(CI$5,0)),"■",IF(AND('制度詳細'!$J$36&lt;&gt;"",'制度詳細'!$J$36&gt;=CI$5,'制度詳細'!$J$36&lt;=EOMONTH(CI$5,0)),"◆","")))</x:f>
      </x:c>
      <x:c r="CJ36" s="57" t="str">
        <x:f>IF('制度詳細'!$H$36="",IF('制度詳細'!$J$36="","",IF(AND('制度詳細'!$J$36&gt;=CJ$5,'制度詳細'!$J$36&lt;=EOMONTH(CJ$5,0)),"◆","")),IF(MAX('制度詳細'!$H$36,CJ$5)&lt;=MIN(IF('制度詳細'!$I$36="",EOMONTH(CJ$5,0),'制度詳細'!$I$36),EOMONTH(CJ$5,0)),"■",IF(AND('制度詳細'!$J$36&lt;&gt;"",'制度詳細'!$J$36&gt;=CJ$5,'制度詳細'!$J$36&lt;=EOMONTH(CJ$5,0)),"◆","")))</x:f>
      </x:c>
      <x:c r="CK36" s="57" t="str">
        <x:f>IF('制度詳細'!$H$36="",IF('制度詳細'!$J$36="","",IF(AND('制度詳細'!$J$36&gt;=CK$5,'制度詳細'!$J$36&lt;=EOMONTH(CK$5,0)),"◆","")),IF(MAX('制度詳細'!$H$36,CK$5)&lt;=MIN(IF('制度詳細'!$I$36="",EOMONTH(CK$5,0),'制度詳細'!$I$36),EOMONTH(CK$5,0)),"■",IF(AND('制度詳細'!$J$36&lt;&gt;"",'制度詳細'!$J$36&gt;=CK$5,'制度詳細'!$J$36&lt;=EOMONTH(CK$5,0)),"◆","")))</x:f>
      </x:c>
      <x:c r="CL36" s="57" t="str">
        <x:f>IF('制度詳細'!$H$36="",IF('制度詳細'!$J$36="","",IF(AND('制度詳細'!$J$36&gt;=CL$5,'制度詳細'!$J$36&lt;=EOMONTH(CL$5,0)),"◆","")),IF(MAX('制度詳細'!$H$36,CL$5)&lt;=MIN(IF('制度詳細'!$I$36="",EOMONTH(CL$5,0),'制度詳細'!$I$36),EOMONTH(CL$5,0)),"■",IF(AND('制度詳細'!$J$36&lt;&gt;"",'制度詳細'!$J$36&gt;=CL$5,'制度詳細'!$J$36&lt;=EOMONTH(CL$5,0)),"◆","")))</x:f>
      </x:c>
      <x:c r="CM36" s="57" t="str">
        <x:f>IF('制度詳細'!$H$36="",IF('制度詳細'!$J$36="","",IF(AND('制度詳細'!$J$36&gt;=CM$5,'制度詳細'!$J$36&lt;=EOMONTH(CM$5,0)),"◆","")),IF(MAX('制度詳細'!$H$36,CM$5)&lt;=MIN(IF('制度詳細'!$I$36="",EOMONTH(CM$5,0),'制度詳細'!$I$36),EOMONTH(CM$5,0)),"■",IF(AND('制度詳細'!$J$36&lt;&gt;"",'制度詳細'!$J$36&gt;=CM$5,'制度詳細'!$J$36&lt;=EOMONTH(CM$5,0)),"◆","")))</x:f>
      </x:c>
      <x:c r="CN36" s="57" t="str">
        <x:f>IF('制度詳細'!$H$36="",IF('制度詳細'!$J$36="","",IF(AND('制度詳細'!$J$36&gt;=CN$5,'制度詳細'!$J$36&lt;=EOMONTH(CN$5,0)),"◆","")),IF(MAX('制度詳細'!$H$36,CN$5)&lt;=MIN(IF('制度詳細'!$I$36="",EOMONTH(CN$5,0),'制度詳細'!$I$36),EOMONTH(CN$5,0)),"■",IF(AND('制度詳細'!$J$36&lt;&gt;"",'制度詳細'!$J$36&gt;=CN$5,'制度詳細'!$J$36&lt;=EOMONTH(CN$5,0)),"◆","")))</x:f>
      </x:c>
      <x:c r="CO36" s="57" t="str">
        <x:f>IF('制度詳細'!$H$36="",IF('制度詳細'!$J$36="","",IF(AND('制度詳細'!$J$36&gt;=CO$5,'制度詳細'!$J$36&lt;=EOMONTH(CO$5,0)),"◆","")),IF(MAX('制度詳細'!$H$36,CO$5)&lt;=MIN(IF('制度詳細'!$I$36="",EOMONTH(CO$5,0),'制度詳細'!$I$36),EOMONTH(CO$5,0)),"■",IF(AND('制度詳細'!$J$36&lt;&gt;"",'制度詳細'!$J$36&gt;=CO$5,'制度詳細'!$J$36&lt;=EOMONTH(CO$5,0)),"◆","")))</x:f>
      </x:c>
      <x:c r="CP36" s="57" t="str">
        <x:f>IF('制度詳細'!$H$36="",IF('制度詳細'!$J$36="","",IF(AND('制度詳細'!$J$36&gt;=CP$5,'制度詳細'!$J$36&lt;=EOMONTH(CP$5,0)),"◆","")),IF(MAX('制度詳細'!$H$36,CP$5)&lt;=MIN(IF('制度詳細'!$I$36="",EOMONTH(CP$5,0),'制度詳細'!$I$36),EOMONTH(CP$5,0)),"■",IF(AND('制度詳細'!$J$36&lt;&gt;"",'制度詳細'!$J$36&gt;=CP$5,'制度詳細'!$J$36&lt;=EOMONTH(CP$5,0)),"◆","")))</x:f>
      </x:c>
      <x:c r="CQ36" s="57" t="str">
        <x:f>IF('制度詳細'!$H$36="",IF('制度詳細'!$J$36="","",IF(AND('制度詳細'!$J$36&gt;=CQ$5,'制度詳細'!$J$36&lt;=EOMONTH(CQ$5,0)),"◆","")),IF(MAX('制度詳細'!$H$36,CQ$5)&lt;=MIN(IF('制度詳細'!$I$36="",EOMONTH(CQ$5,0),'制度詳細'!$I$36),EOMONTH(CQ$5,0)),"■",IF(AND('制度詳細'!$J$36&lt;&gt;"",'制度詳細'!$J$36&gt;=CQ$5,'制度詳細'!$J$36&lt;=EOMONTH(CQ$5,0)),"◆","")))</x:f>
      </x:c>
      <x:c r="CR36" s="57" t="str">
        <x:f>IF('制度詳細'!$H$36="",IF('制度詳細'!$J$36="","",IF(AND('制度詳細'!$J$36&gt;=CR$5,'制度詳細'!$J$36&lt;=EOMONTH(CR$5,0)),"◆","")),IF(MAX('制度詳細'!$H$36,CR$5)&lt;=MIN(IF('制度詳細'!$I$36="",EOMONTH(CR$5,0),'制度詳細'!$I$36),EOMONTH(CR$5,0)),"■",IF(AND('制度詳細'!$J$36&lt;&gt;"",'制度詳細'!$J$36&gt;=CR$5,'制度詳細'!$J$36&lt;=EOMONTH(CR$5,0)),"◆","")))</x:f>
      </x:c>
      <x:c r="CS36" s="57" t="str">
        <x:f>IF('制度詳細'!$H$36="",IF('制度詳細'!$J$36="","",IF(AND('制度詳細'!$J$36&gt;=CS$5,'制度詳細'!$J$36&lt;=EOMONTH(CS$5,0)),"◆","")),IF(MAX('制度詳細'!$H$36,CS$5)&lt;=MIN(IF('制度詳細'!$I$36="",EOMONTH(CS$5,0),'制度詳細'!$I$36),EOMONTH(CS$5,0)),"■",IF(AND('制度詳細'!$J$36&lt;&gt;"",'制度詳細'!$J$36&gt;=CS$5,'制度詳細'!$J$36&lt;=EOMONTH(CS$5,0)),"◆","")))</x:f>
      </x:c>
      <x:c r="CT36" s="57" t="str">
        <x:f>IF('制度詳細'!$H$36="",IF('制度詳細'!$J$36="","",IF(AND('制度詳細'!$J$36&gt;=CT$5,'制度詳細'!$J$36&lt;=EOMONTH(CT$5,0)),"◆","")),IF(MAX('制度詳細'!$H$36,CT$5)&lt;=MIN(IF('制度詳細'!$I$36="",EOMONTH(CT$5,0),'制度詳細'!$I$36),EOMONTH(CT$5,0)),"■",IF(AND('制度詳細'!$J$36&lt;&gt;"",'制度詳細'!$J$36&gt;=CT$5,'制度詳細'!$J$36&lt;=EOMONTH(CT$5,0)),"◆","")))</x:f>
      </x:c>
      <x:c r="CU36" s="57" t="str">
        <x:f>IF('制度詳細'!$H$36="",IF('制度詳細'!$J$36="","",IF(AND('制度詳細'!$J$36&gt;=CU$5,'制度詳細'!$J$36&lt;=EOMONTH(CU$5,0)),"◆","")),IF(MAX('制度詳細'!$H$36,CU$5)&lt;=MIN(IF('制度詳細'!$I$36="",EOMONTH(CU$5,0),'制度詳細'!$I$36),EOMONTH(CU$5,0)),"■",IF(AND('制度詳細'!$J$36&lt;&gt;"",'制度詳細'!$J$36&gt;=CU$5,'制度詳細'!$J$36&lt;=EOMONTH(CU$5,0)),"◆","")))</x:f>
      </x:c>
      <x:c r="CV36" s="57" t="str">
        <x:f>IF('制度詳細'!$H$36="",IF('制度詳細'!$J$36="","",IF(AND('制度詳細'!$J$36&gt;=CV$5,'制度詳細'!$J$36&lt;=EOMONTH(CV$5,0)),"◆","")),IF(MAX('制度詳細'!$H$36,CV$5)&lt;=MIN(IF('制度詳細'!$I$36="",EOMONTH(CV$5,0),'制度詳細'!$I$36),EOMONTH(CV$5,0)),"■",IF(AND('制度詳細'!$J$36&lt;&gt;"",'制度詳細'!$J$36&gt;=CV$5,'制度詳細'!$J$36&lt;=EOMONTH(CV$5,0)),"◆","")))</x:f>
      </x:c>
      <x:c r="CW36" s="1"/>
      <x:c r="CX36" s="1"/>
      <x:c r="CY36" s="1"/>
      <x:c r="CZ36" s="1"/>
      <x:c r="DA36" s="1"/>
      <x:c r="DB36" s="1"/>
      <x:c r="DC36" s="1"/>
      <x:c r="DD36" s="1"/>
    </x:row>
    <x:row r="37" ht="27" customHeight="1">
      <x:c r="A37" s="58" t="str">
        <x:v>VN09</x:v>
      </x:c>
      <x:c r="B37" s="58" t="str">
        <x:v>ベトナム</x:v>
      </x:c>
      <x:c r="C37" s="58" t="str">
        <x:v>国内車：登録料50%減2023</x:v>
      </x:c>
      <x:c r="D37" s="58" t="str">
        <x:v>ICE/HEV等</x:v>
      </x:c>
      <x:c r="E37" s="57" t="str">
        <x:f>IF('制度詳細'!$H$37="",IF('制度詳細'!$J$37="","",IF(AND('制度詳細'!$J$37&gt;=E$5,'制度詳細'!$J$37&lt;=EOMONTH(E$5,0)),"◆","")),IF(MAX('制度詳細'!$H$37,E$5)&lt;=MIN(IF('制度詳細'!$I$37="",EOMONTH(E$5,0),'制度詳細'!$I$37),EOMONTH(E$5,0)),"■",IF(AND('制度詳細'!$J$37&lt;&gt;"",'制度詳細'!$J$37&gt;=E$5,'制度詳細'!$J$37&lt;=EOMONTH(E$5,0)),"◆","")))</x:f>
      </x:c>
      <x:c r="F37" s="57" t="str">
        <x:f>IF('制度詳細'!$H$37="",IF('制度詳細'!$J$37="","",IF(AND('制度詳細'!$J$37&gt;=F$5,'制度詳細'!$J$37&lt;=EOMONTH(F$5,0)),"◆","")),IF(MAX('制度詳細'!$H$37,F$5)&lt;=MIN(IF('制度詳細'!$I$37="",EOMONTH(F$5,0),'制度詳細'!$I$37),EOMONTH(F$5,0)),"■",IF(AND('制度詳細'!$J$37&lt;&gt;"",'制度詳細'!$J$37&gt;=F$5,'制度詳細'!$J$37&lt;=EOMONTH(F$5,0)),"◆","")))</x:f>
      </x:c>
      <x:c r="G37" s="57" t="str">
        <x:f>IF('制度詳細'!$H$37="",IF('制度詳細'!$J$37="","",IF(AND('制度詳細'!$J$37&gt;=G$5,'制度詳細'!$J$37&lt;=EOMONTH(G$5,0)),"◆","")),IF(MAX('制度詳細'!$H$37,G$5)&lt;=MIN(IF('制度詳細'!$I$37="",EOMONTH(G$5,0),'制度詳細'!$I$37),EOMONTH(G$5,0)),"■",IF(AND('制度詳細'!$J$37&lt;&gt;"",'制度詳細'!$J$37&gt;=G$5,'制度詳細'!$J$37&lt;=EOMONTH(G$5,0)),"◆","")))</x:f>
      </x:c>
      <x:c r="H37" s="57" t="str">
        <x:f>IF('制度詳細'!$H$37="",IF('制度詳細'!$J$37="","",IF(AND('制度詳細'!$J$37&gt;=H$5,'制度詳細'!$J$37&lt;=EOMONTH(H$5,0)),"◆","")),IF(MAX('制度詳細'!$H$37,H$5)&lt;=MIN(IF('制度詳細'!$I$37="",EOMONTH(H$5,0),'制度詳細'!$I$37),EOMONTH(H$5,0)),"■",IF(AND('制度詳細'!$J$37&lt;&gt;"",'制度詳細'!$J$37&gt;=H$5,'制度詳細'!$J$37&lt;=EOMONTH(H$5,0)),"◆","")))</x:f>
      </x:c>
      <x:c r="I37" s="57" t="str">
        <x:f>IF('制度詳細'!$H$37="",IF('制度詳細'!$J$37="","",IF(AND('制度詳細'!$J$37&gt;=I$5,'制度詳細'!$J$37&lt;=EOMONTH(I$5,0)),"◆","")),IF(MAX('制度詳細'!$H$37,I$5)&lt;=MIN(IF('制度詳細'!$I$37="",EOMONTH(I$5,0),'制度詳細'!$I$37),EOMONTH(I$5,0)),"■",IF(AND('制度詳細'!$J$37&lt;&gt;"",'制度詳細'!$J$37&gt;=I$5,'制度詳細'!$J$37&lt;=EOMONTH(I$5,0)),"◆","")))</x:f>
      </x:c>
      <x:c r="J37" s="57" t="str">
        <x:f>IF('制度詳細'!$H$37="",IF('制度詳細'!$J$37="","",IF(AND('制度詳細'!$J$37&gt;=J$5,'制度詳細'!$J$37&lt;=EOMONTH(J$5,0)),"◆","")),IF(MAX('制度詳細'!$H$37,J$5)&lt;=MIN(IF('制度詳細'!$I$37="",EOMONTH(J$5,0),'制度詳細'!$I$37),EOMONTH(J$5,0)),"■",IF(AND('制度詳細'!$J$37&lt;&gt;"",'制度詳細'!$J$37&gt;=J$5,'制度詳細'!$J$37&lt;=EOMONTH(J$5,0)),"◆","")))</x:f>
      </x:c>
      <x:c r="K37" s="57" t="str">
        <x:f>IF('制度詳細'!$H$37="",IF('制度詳細'!$J$37="","",IF(AND('制度詳細'!$J$37&gt;=K$5,'制度詳細'!$J$37&lt;=EOMONTH(K$5,0)),"◆","")),IF(MAX('制度詳細'!$H$37,K$5)&lt;=MIN(IF('制度詳細'!$I$37="",EOMONTH(K$5,0),'制度詳細'!$I$37),EOMONTH(K$5,0)),"■",IF(AND('制度詳細'!$J$37&lt;&gt;"",'制度詳細'!$J$37&gt;=K$5,'制度詳細'!$J$37&lt;=EOMONTH(K$5,0)),"◆","")))</x:f>
      </x:c>
      <x:c r="L37" s="57" t="str">
        <x:f>IF('制度詳細'!$H$37="",IF('制度詳細'!$J$37="","",IF(AND('制度詳細'!$J$37&gt;=L$5,'制度詳細'!$J$37&lt;=EOMONTH(L$5,0)),"◆","")),IF(MAX('制度詳細'!$H$37,L$5)&lt;=MIN(IF('制度詳細'!$I$37="",EOMONTH(L$5,0),'制度詳細'!$I$37),EOMONTH(L$5,0)),"■",IF(AND('制度詳細'!$J$37&lt;&gt;"",'制度詳細'!$J$37&gt;=L$5,'制度詳細'!$J$37&lt;=EOMONTH(L$5,0)),"◆","")))</x:f>
      </x:c>
      <x:c r="M37" s="57" t="str">
        <x:f>IF('制度詳細'!$H$37="",IF('制度詳細'!$J$37="","",IF(AND('制度詳細'!$J$37&gt;=M$5,'制度詳細'!$J$37&lt;=EOMONTH(M$5,0)),"◆","")),IF(MAX('制度詳細'!$H$37,M$5)&lt;=MIN(IF('制度詳細'!$I$37="",EOMONTH(M$5,0),'制度詳細'!$I$37),EOMONTH(M$5,0)),"■",IF(AND('制度詳細'!$J$37&lt;&gt;"",'制度詳細'!$J$37&gt;=M$5,'制度詳細'!$J$37&lt;=EOMONTH(M$5,0)),"◆","")))</x:f>
      </x:c>
      <x:c r="N37" s="57" t="str">
        <x:f>IF('制度詳細'!$H$37="",IF('制度詳細'!$J$37="","",IF(AND('制度詳細'!$J$37&gt;=N$5,'制度詳細'!$J$37&lt;=EOMONTH(N$5,0)),"◆","")),IF(MAX('制度詳細'!$H$37,N$5)&lt;=MIN(IF('制度詳細'!$I$37="",EOMONTH(N$5,0),'制度詳細'!$I$37),EOMONTH(N$5,0)),"■",IF(AND('制度詳細'!$J$37&lt;&gt;"",'制度詳細'!$J$37&gt;=N$5,'制度詳細'!$J$37&lt;=EOMONTH(N$5,0)),"◆","")))</x:f>
      </x:c>
      <x:c r="O37" s="57" t="str">
        <x:f>IF('制度詳細'!$H$37="",IF('制度詳細'!$J$37="","",IF(AND('制度詳細'!$J$37&gt;=O$5,'制度詳細'!$J$37&lt;=EOMONTH(O$5,0)),"◆","")),IF(MAX('制度詳細'!$H$37,O$5)&lt;=MIN(IF('制度詳細'!$I$37="",EOMONTH(O$5,0),'制度詳細'!$I$37),EOMONTH(O$5,0)),"■",IF(AND('制度詳細'!$J$37&lt;&gt;"",'制度詳細'!$J$37&gt;=O$5,'制度詳細'!$J$37&lt;=EOMONTH(O$5,0)),"◆","")))</x:f>
      </x:c>
      <x:c r="P37" s="57" t="str">
        <x:f>IF('制度詳細'!$H$37="",IF('制度詳細'!$J$37="","",IF(AND('制度詳細'!$J$37&gt;=P$5,'制度詳細'!$J$37&lt;=EOMONTH(P$5,0)),"◆","")),IF(MAX('制度詳細'!$H$37,P$5)&lt;=MIN(IF('制度詳細'!$I$37="",EOMONTH(P$5,0),'制度詳細'!$I$37),EOMONTH(P$5,0)),"■",IF(AND('制度詳細'!$J$37&lt;&gt;"",'制度詳細'!$J$37&gt;=P$5,'制度詳細'!$J$37&lt;=EOMONTH(P$5,0)),"◆","")))</x:f>
      </x:c>
      <x:c r="Q37" s="57" t="str">
        <x:f>IF('制度詳細'!$H$37="",IF('制度詳細'!$J$37="","",IF(AND('制度詳細'!$J$37&gt;=Q$5,'制度詳細'!$J$37&lt;=EOMONTH(Q$5,0)),"◆","")),IF(MAX('制度詳細'!$H$37,Q$5)&lt;=MIN(IF('制度詳細'!$I$37="",EOMONTH(Q$5,0),'制度詳細'!$I$37),EOMONTH(Q$5,0)),"■",IF(AND('制度詳細'!$J$37&lt;&gt;"",'制度詳細'!$J$37&gt;=Q$5,'制度詳細'!$J$37&lt;=EOMONTH(Q$5,0)),"◆","")))</x:f>
      </x:c>
      <x:c r="R37" s="57" t="str">
        <x:f>IF('制度詳細'!$H$37="",IF('制度詳細'!$J$37="","",IF(AND('制度詳細'!$J$37&gt;=R$5,'制度詳細'!$J$37&lt;=EOMONTH(R$5,0)),"◆","")),IF(MAX('制度詳細'!$H$37,R$5)&lt;=MIN(IF('制度詳細'!$I$37="",EOMONTH(R$5,0),'制度詳細'!$I$37),EOMONTH(R$5,0)),"■",IF(AND('制度詳細'!$J$37&lt;&gt;"",'制度詳細'!$J$37&gt;=R$5,'制度詳細'!$J$37&lt;=EOMONTH(R$5,0)),"◆","")))</x:f>
      </x:c>
      <x:c r="S37" s="57" t="str">
        <x:f>IF('制度詳細'!$H$37="",IF('制度詳細'!$J$37="","",IF(AND('制度詳細'!$J$37&gt;=S$5,'制度詳細'!$J$37&lt;=EOMONTH(S$5,0)),"◆","")),IF(MAX('制度詳細'!$H$37,S$5)&lt;=MIN(IF('制度詳細'!$I$37="",EOMONTH(S$5,0),'制度詳細'!$I$37),EOMONTH(S$5,0)),"■",IF(AND('制度詳細'!$J$37&lt;&gt;"",'制度詳細'!$J$37&gt;=S$5,'制度詳細'!$J$37&lt;=EOMONTH(S$5,0)),"◆","")))</x:f>
      </x:c>
      <x:c r="T37" s="57" t="str">
        <x:f>IF('制度詳細'!$H$37="",IF('制度詳細'!$J$37="","",IF(AND('制度詳細'!$J$37&gt;=T$5,'制度詳細'!$J$37&lt;=EOMONTH(T$5,0)),"◆","")),IF(MAX('制度詳細'!$H$37,T$5)&lt;=MIN(IF('制度詳細'!$I$37="",EOMONTH(T$5,0),'制度詳細'!$I$37),EOMONTH(T$5,0)),"■",IF(AND('制度詳細'!$J$37&lt;&gt;"",'制度詳細'!$J$37&gt;=T$5,'制度詳細'!$J$37&lt;=EOMONTH(T$5,0)),"◆","")))</x:f>
      </x:c>
      <x:c r="U37" s="57" t="str">
        <x:f>IF('制度詳細'!$H$37="",IF('制度詳細'!$J$37="","",IF(AND('制度詳細'!$J$37&gt;=U$5,'制度詳細'!$J$37&lt;=EOMONTH(U$5,0)),"◆","")),IF(MAX('制度詳細'!$H$37,U$5)&lt;=MIN(IF('制度詳細'!$I$37="",EOMONTH(U$5,0),'制度詳細'!$I$37),EOMONTH(U$5,0)),"■",IF(AND('制度詳細'!$J$37&lt;&gt;"",'制度詳細'!$J$37&gt;=U$5,'制度詳細'!$J$37&lt;=EOMONTH(U$5,0)),"◆","")))</x:f>
      </x:c>
      <x:c r="V37" s="57" t="str">
        <x:f>IF('制度詳細'!$H$37="",IF('制度詳細'!$J$37="","",IF(AND('制度詳細'!$J$37&gt;=V$5,'制度詳細'!$J$37&lt;=EOMONTH(V$5,0)),"◆","")),IF(MAX('制度詳細'!$H$37,V$5)&lt;=MIN(IF('制度詳細'!$I$37="",EOMONTH(V$5,0),'制度詳細'!$I$37),EOMONTH(V$5,0)),"■",IF(AND('制度詳細'!$J$37&lt;&gt;"",'制度詳細'!$J$37&gt;=V$5,'制度詳細'!$J$37&lt;=EOMONTH(V$5,0)),"◆","")))</x:f>
      </x:c>
      <x:c r="W37" s="57" t="str">
        <x:f>IF('制度詳細'!$H$37="",IF('制度詳細'!$J$37="","",IF(AND('制度詳細'!$J$37&gt;=W$5,'制度詳細'!$J$37&lt;=EOMONTH(W$5,0)),"◆","")),IF(MAX('制度詳細'!$H$37,W$5)&lt;=MIN(IF('制度詳細'!$I$37="",EOMONTH(W$5,0),'制度詳細'!$I$37),EOMONTH(W$5,0)),"■",IF(AND('制度詳細'!$J$37&lt;&gt;"",'制度詳細'!$J$37&gt;=W$5,'制度詳細'!$J$37&lt;=EOMONTH(W$5,0)),"◆","")))</x:f>
      </x:c>
      <x:c r="X37" s="57" t="str">
        <x:f>IF('制度詳細'!$H$37="",IF('制度詳細'!$J$37="","",IF(AND('制度詳細'!$J$37&gt;=X$5,'制度詳細'!$J$37&lt;=EOMONTH(X$5,0)),"◆","")),IF(MAX('制度詳細'!$H$37,X$5)&lt;=MIN(IF('制度詳細'!$I$37="",EOMONTH(X$5,0),'制度詳細'!$I$37),EOMONTH(X$5,0)),"■",IF(AND('制度詳細'!$J$37&lt;&gt;"",'制度詳細'!$J$37&gt;=X$5,'制度詳細'!$J$37&lt;=EOMONTH(X$5,0)),"◆","")))</x:f>
      </x:c>
      <x:c r="Y37" s="57" t="str">
        <x:f>IF('制度詳細'!$H$37="",IF('制度詳細'!$J$37="","",IF(AND('制度詳細'!$J$37&gt;=Y$5,'制度詳細'!$J$37&lt;=EOMONTH(Y$5,0)),"◆","")),IF(MAX('制度詳細'!$H$37,Y$5)&lt;=MIN(IF('制度詳細'!$I$37="",EOMONTH(Y$5,0),'制度詳細'!$I$37),EOMONTH(Y$5,0)),"■",IF(AND('制度詳細'!$J$37&lt;&gt;"",'制度詳細'!$J$37&gt;=Y$5,'制度詳細'!$J$37&lt;=EOMONTH(Y$5,0)),"◆","")))</x:f>
      </x:c>
      <x:c r="Z37" s="57" t="str">
        <x:f>IF('制度詳細'!$H$37="",IF('制度詳細'!$J$37="","",IF(AND('制度詳細'!$J$37&gt;=Z$5,'制度詳細'!$J$37&lt;=EOMONTH(Z$5,0)),"◆","")),IF(MAX('制度詳細'!$H$37,Z$5)&lt;=MIN(IF('制度詳細'!$I$37="",EOMONTH(Z$5,0),'制度詳細'!$I$37),EOMONTH(Z$5,0)),"■",IF(AND('制度詳細'!$J$37&lt;&gt;"",'制度詳細'!$J$37&gt;=Z$5,'制度詳細'!$J$37&lt;=EOMONTH(Z$5,0)),"◆","")))</x:f>
      </x:c>
      <x:c r="AA37" s="57" t="str">
        <x:f>IF('制度詳細'!$H$37="",IF('制度詳細'!$J$37="","",IF(AND('制度詳細'!$J$37&gt;=AA$5,'制度詳細'!$J$37&lt;=EOMONTH(AA$5,0)),"◆","")),IF(MAX('制度詳細'!$H$37,AA$5)&lt;=MIN(IF('制度詳細'!$I$37="",EOMONTH(AA$5,0),'制度詳細'!$I$37),EOMONTH(AA$5,0)),"■",IF(AND('制度詳細'!$J$37&lt;&gt;"",'制度詳細'!$J$37&gt;=AA$5,'制度詳細'!$J$37&lt;=EOMONTH(AA$5,0)),"◆","")))</x:f>
      </x:c>
      <x:c r="AB37" s="57" t="str">
        <x:f>IF('制度詳細'!$H$37="",IF('制度詳細'!$J$37="","",IF(AND('制度詳細'!$J$37&gt;=AB$5,'制度詳細'!$J$37&lt;=EOMONTH(AB$5,0)),"◆","")),IF(MAX('制度詳細'!$H$37,AB$5)&lt;=MIN(IF('制度詳細'!$I$37="",EOMONTH(AB$5,0),'制度詳細'!$I$37),EOMONTH(AB$5,0)),"■",IF(AND('制度詳細'!$J$37&lt;&gt;"",'制度詳細'!$J$37&gt;=AB$5,'制度詳細'!$J$37&lt;=EOMONTH(AB$5,0)),"◆","")))</x:f>
      </x:c>
      <x:c r="AC37" s="57" t="str">
        <x:f>IF('制度詳細'!$H$37="",IF('制度詳細'!$J$37="","",IF(AND('制度詳細'!$J$37&gt;=AC$5,'制度詳細'!$J$37&lt;=EOMONTH(AC$5,0)),"◆","")),IF(MAX('制度詳細'!$H$37,AC$5)&lt;=MIN(IF('制度詳細'!$I$37="",EOMONTH(AC$5,0),'制度詳細'!$I$37),EOMONTH(AC$5,0)),"■",IF(AND('制度詳細'!$J$37&lt;&gt;"",'制度詳細'!$J$37&gt;=AC$5,'制度詳細'!$J$37&lt;=EOMONTH(AC$5,0)),"◆","")))</x:f>
      </x:c>
      <x:c r="AD37" s="57" t="str">
        <x:f>IF('制度詳細'!$H$37="",IF('制度詳細'!$J$37="","",IF(AND('制度詳細'!$J$37&gt;=AD$5,'制度詳細'!$J$37&lt;=EOMONTH(AD$5,0)),"◆","")),IF(MAX('制度詳細'!$H$37,AD$5)&lt;=MIN(IF('制度詳細'!$I$37="",EOMONTH(AD$5,0),'制度詳細'!$I$37),EOMONTH(AD$5,0)),"■",IF(AND('制度詳細'!$J$37&lt;&gt;"",'制度詳細'!$J$37&gt;=AD$5,'制度詳細'!$J$37&lt;=EOMONTH(AD$5,0)),"◆","")))</x:f>
      </x:c>
      <x:c r="AE37" s="57" t="str">
        <x:f>IF('制度詳細'!$H$37="",IF('制度詳細'!$J$37="","",IF(AND('制度詳細'!$J$37&gt;=AE$5,'制度詳細'!$J$37&lt;=EOMONTH(AE$5,0)),"◆","")),IF(MAX('制度詳細'!$H$37,AE$5)&lt;=MIN(IF('制度詳細'!$I$37="",EOMONTH(AE$5,0),'制度詳細'!$I$37),EOMONTH(AE$5,0)),"■",IF(AND('制度詳細'!$J$37&lt;&gt;"",'制度詳細'!$J$37&gt;=AE$5,'制度詳細'!$J$37&lt;=EOMONTH(AE$5,0)),"◆","")))</x:f>
      </x:c>
      <x:c r="AF37" s="57" t="str">
        <x:f>IF('制度詳細'!$H$37="",IF('制度詳細'!$J$37="","",IF(AND('制度詳細'!$J$37&gt;=AF$5,'制度詳細'!$J$37&lt;=EOMONTH(AF$5,0)),"◆","")),IF(MAX('制度詳細'!$H$37,AF$5)&lt;=MIN(IF('制度詳細'!$I$37="",EOMONTH(AF$5,0),'制度詳細'!$I$37),EOMONTH(AF$5,0)),"■",IF(AND('制度詳細'!$J$37&lt;&gt;"",'制度詳細'!$J$37&gt;=AF$5,'制度詳細'!$J$37&lt;=EOMONTH(AF$5,0)),"◆","")))</x:f>
      </x:c>
      <x:c r="AG37" s="57" t="str">
        <x:f>IF('制度詳細'!$H$37="",IF('制度詳細'!$J$37="","",IF(AND('制度詳細'!$J$37&gt;=AG$5,'制度詳細'!$J$37&lt;=EOMONTH(AG$5,0)),"◆","")),IF(MAX('制度詳細'!$H$37,AG$5)&lt;=MIN(IF('制度詳細'!$I$37="",EOMONTH(AG$5,0),'制度詳細'!$I$37),EOMONTH(AG$5,0)),"■",IF(AND('制度詳細'!$J$37&lt;&gt;"",'制度詳細'!$J$37&gt;=AG$5,'制度詳細'!$J$37&lt;=EOMONTH(AG$5,0)),"◆","")))</x:f>
      </x:c>
      <x:c r="AH37" s="57" t="str">
        <x:f>IF('制度詳細'!$H$37="",IF('制度詳細'!$J$37="","",IF(AND('制度詳細'!$J$37&gt;=AH$5,'制度詳細'!$J$37&lt;=EOMONTH(AH$5,0)),"◆","")),IF(MAX('制度詳細'!$H$37,AH$5)&lt;=MIN(IF('制度詳細'!$I$37="",EOMONTH(AH$5,0),'制度詳細'!$I$37),EOMONTH(AH$5,0)),"■",IF(AND('制度詳細'!$J$37&lt;&gt;"",'制度詳細'!$J$37&gt;=AH$5,'制度詳細'!$J$37&lt;=EOMONTH(AH$5,0)),"◆","")))</x:f>
      </x:c>
      <x:c r="AI37" s="57" t="str">
        <x:f>IF('制度詳細'!$H$37="",IF('制度詳細'!$J$37="","",IF(AND('制度詳細'!$J$37&gt;=AI$5,'制度詳細'!$J$37&lt;=EOMONTH(AI$5,0)),"◆","")),IF(MAX('制度詳細'!$H$37,AI$5)&lt;=MIN(IF('制度詳細'!$I$37="",EOMONTH(AI$5,0),'制度詳細'!$I$37),EOMONTH(AI$5,0)),"■",IF(AND('制度詳細'!$J$37&lt;&gt;"",'制度詳細'!$J$37&gt;=AI$5,'制度詳細'!$J$37&lt;=EOMONTH(AI$5,0)),"◆","")))</x:f>
      </x:c>
      <x:c r="AJ37" s="57" t="str">
        <x:f>IF('制度詳細'!$H$37="",IF('制度詳細'!$J$37="","",IF(AND('制度詳細'!$J$37&gt;=AJ$5,'制度詳細'!$J$37&lt;=EOMONTH(AJ$5,0)),"◆","")),IF(MAX('制度詳細'!$H$37,AJ$5)&lt;=MIN(IF('制度詳細'!$I$37="",EOMONTH(AJ$5,0),'制度詳細'!$I$37),EOMONTH(AJ$5,0)),"■",IF(AND('制度詳細'!$J$37&lt;&gt;"",'制度詳細'!$J$37&gt;=AJ$5,'制度詳細'!$J$37&lt;=EOMONTH(AJ$5,0)),"◆","")))</x:f>
      </x:c>
      <x:c r="AK37" s="57" t="str">
        <x:f>IF('制度詳細'!$H$37="",IF('制度詳細'!$J$37="","",IF(AND('制度詳細'!$J$37&gt;=AK$5,'制度詳細'!$J$37&lt;=EOMONTH(AK$5,0)),"◆","")),IF(MAX('制度詳細'!$H$37,AK$5)&lt;=MIN(IF('制度詳細'!$I$37="",EOMONTH(AK$5,0),'制度詳細'!$I$37),EOMONTH(AK$5,0)),"■",IF(AND('制度詳細'!$J$37&lt;&gt;"",'制度詳細'!$J$37&gt;=AK$5,'制度詳細'!$J$37&lt;=EOMONTH(AK$5,0)),"◆","")))</x:f>
      </x:c>
      <x:c r="AL37" s="57" t="str">
        <x:f>IF('制度詳細'!$H$37="",IF('制度詳細'!$J$37="","",IF(AND('制度詳細'!$J$37&gt;=AL$5,'制度詳細'!$J$37&lt;=EOMONTH(AL$5,0)),"◆","")),IF(MAX('制度詳細'!$H$37,AL$5)&lt;=MIN(IF('制度詳細'!$I$37="",EOMONTH(AL$5,0),'制度詳細'!$I$37),EOMONTH(AL$5,0)),"■",IF(AND('制度詳細'!$J$37&lt;&gt;"",'制度詳細'!$J$37&gt;=AL$5,'制度詳細'!$J$37&lt;=EOMONTH(AL$5,0)),"◆","")))</x:f>
      </x:c>
      <x:c r="AM37" s="57" t="str">
        <x:f>IF('制度詳細'!$H$37="",IF('制度詳細'!$J$37="","",IF(AND('制度詳細'!$J$37&gt;=AM$5,'制度詳細'!$J$37&lt;=EOMONTH(AM$5,0)),"◆","")),IF(MAX('制度詳細'!$H$37,AM$5)&lt;=MIN(IF('制度詳細'!$I$37="",EOMONTH(AM$5,0),'制度詳細'!$I$37),EOMONTH(AM$5,0)),"■",IF(AND('制度詳細'!$J$37&lt;&gt;"",'制度詳細'!$J$37&gt;=AM$5,'制度詳細'!$J$37&lt;=EOMONTH(AM$5,0)),"◆","")))</x:f>
      </x:c>
      <x:c r="AN37" s="57" t="str">
        <x:f>IF('制度詳細'!$H$37="",IF('制度詳細'!$J$37="","",IF(AND('制度詳細'!$J$37&gt;=AN$5,'制度詳細'!$J$37&lt;=EOMONTH(AN$5,0)),"◆","")),IF(MAX('制度詳細'!$H$37,AN$5)&lt;=MIN(IF('制度詳細'!$I$37="",EOMONTH(AN$5,0),'制度詳細'!$I$37),EOMONTH(AN$5,0)),"■",IF(AND('制度詳細'!$J$37&lt;&gt;"",'制度詳細'!$J$37&gt;=AN$5,'制度詳細'!$J$37&lt;=EOMONTH(AN$5,0)),"◆","")))</x:f>
      </x:c>
      <x:c r="AO37" s="57" t="str">
        <x:f>IF('制度詳細'!$H$37="",IF('制度詳細'!$J$37="","",IF(AND('制度詳細'!$J$37&gt;=AO$5,'制度詳細'!$J$37&lt;=EOMONTH(AO$5,0)),"◆","")),IF(MAX('制度詳細'!$H$37,AO$5)&lt;=MIN(IF('制度詳細'!$I$37="",EOMONTH(AO$5,0),'制度詳細'!$I$37),EOMONTH(AO$5,0)),"■",IF(AND('制度詳細'!$J$37&lt;&gt;"",'制度詳細'!$J$37&gt;=AO$5,'制度詳細'!$J$37&lt;=EOMONTH(AO$5,0)),"◆","")))</x:f>
      </x:c>
      <x:c r="AP37" s="57" t="str">
        <x:f>IF('制度詳細'!$H$37="",IF('制度詳細'!$J$37="","",IF(AND('制度詳細'!$J$37&gt;=AP$5,'制度詳細'!$J$37&lt;=EOMONTH(AP$5,0)),"◆","")),IF(MAX('制度詳細'!$H$37,AP$5)&lt;=MIN(IF('制度詳細'!$I$37="",EOMONTH(AP$5,0),'制度詳細'!$I$37),EOMONTH(AP$5,0)),"■",IF(AND('制度詳細'!$J$37&lt;&gt;"",'制度詳細'!$J$37&gt;=AP$5,'制度詳細'!$J$37&lt;=EOMONTH(AP$5,0)),"◆","")))</x:f>
      </x:c>
      <x:c r="AQ37" s="57" t="str">
        <x:f>IF('制度詳細'!$H$37="",IF('制度詳細'!$J$37="","",IF(AND('制度詳細'!$J$37&gt;=AQ$5,'制度詳細'!$J$37&lt;=EOMONTH(AQ$5,0)),"◆","")),IF(MAX('制度詳細'!$H$37,AQ$5)&lt;=MIN(IF('制度詳細'!$I$37="",EOMONTH(AQ$5,0),'制度詳細'!$I$37),EOMONTH(AQ$5,0)),"■",IF(AND('制度詳細'!$J$37&lt;&gt;"",'制度詳細'!$J$37&gt;=AQ$5,'制度詳細'!$J$37&lt;=EOMONTH(AQ$5,0)),"◆","")))</x:f>
      </x:c>
      <x:c r="AR37" s="57" t="str">
        <x:f>IF('制度詳細'!$H$37="",IF('制度詳細'!$J$37="","",IF(AND('制度詳細'!$J$37&gt;=AR$5,'制度詳細'!$J$37&lt;=EOMONTH(AR$5,0)),"◆","")),IF(MAX('制度詳細'!$H$37,AR$5)&lt;=MIN(IF('制度詳細'!$I$37="",EOMONTH(AR$5,0),'制度詳細'!$I$37),EOMONTH(AR$5,0)),"■",IF(AND('制度詳細'!$J$37&lt;&gt;"",'制度詳細'!$J$37&gt;=AR$5,'制度詳細'!$J$37&lt;=EOMONTH(AR$5,0)),"◆","")))</x:f>
      </x:c>
      <x:c r="AS37" s="57" t="str">
        <x:f>IF('制度詳細'!$H$37="",IF('制度詳細'!$J$37="","",IF(AND('制度詳細'!$J$37&gt;=AS$5,'制度詳細'!$J$37&lt;=EOMONTH(AS$5,0)),"◆","")),IF(MAX('制度詳細'!$H$37,AS$5)&lt;=MIN(IF('制度詳細'!$I$37="",EOMONTH(AS$5,0),'制度詳細'!$I$37),EOMONTH(AS$5,0)),"■",IF(AND('制度詳細'!$J$37&lt;&gt;"",'制度詳細'!$J$37&gt;=AS$5,'制度詳細'!$J$37&lt;=EOMONTH(AS$5,0)),"◆","")))</x:f>
      </x:c>
      <x:c r="AT37" s="57" t="str">
        <x:f>IF('制度詳細'!$H$37="",IF('制度詳細'!$J$37="","",IF(AND('制度詳細'!$J$37&gt;=AT$5,'制度詳細'!$J$37&lt;=EOMONTH(AT$5,0)),"◆","")),IF(MAX('制度詳細'!$H$37,AT$5)&lt;=MIN(IF('制度詳細'!$I$37="",EOMONTH(AT$5,0),'制度詳細'!$I$37),EOMONTH(AT$5,0)),"■",IF(AND('制度詳細'!$J$37&lt;&gt;"",'制度詳細'!$J$37&gt;=AT$5,'制度詳細'!$J$37&lt;=EOMONTH(AT$5,0)),"◆","")))</x:f>
        <x:v>◆</x:v>
      </x:c>
      <x:c r="AU37" s="57" t="str">
        <x:f>IF('制度詳細'!$H$37="",IF('制度詳細'!$J$37="","",IF(AND('制度詳細'!$J$37&gt;=AU$5,'制度詳細'!$J$37&lt;=EOMONTH(AU$5,0)),"◆","")),IF(MAX('制度詳細'!$H$37,AU$5)&lt;=MIN(IF('制度詳細'!$I$37="",EOMONTH(AU$5,0),'制度詳細'!$I$37),EOMONTH(AU$5,0)),"■",IF(AND('制度詳細'!$J$37&lt;&gt;"",'制度詳細'!$J$37&gt;=AU$5,'制度詳細'!$J$37&lt;=EOMONTH(AU$5,0)),"◆","")))</x:f>
        <x:v>■</x:v>
      </x:c>
      <x:c r="AV37" s="57" t="str">
        <x:f>IF('制度詳細'!$H$37="",IF('制度詳細'!$J$37="","",IF(AND('制度詳細'!$J$37&gt;=AV$5,'制度詳細'!$J$37&lt;=EOMONTH(AV$5,0)),"◆","")),IF(MAX('制度詳細'!$H$37,AV$5)&lt;=MIN(IF('制度詳細'!$I$37="",EOMONTH(AV$5,0),'制度詳細'!$I$37),EOMONTH(AV$5,0)),"■",IF(AND('制度詳細'!$J$37&lt;&gt;"",'制度詳細'!$J$37&gt;=AV$5,'制度詳細'!$J$37&lt;=EOMONTH(AV$5,0)),"◆","")))</x:f>
        <x:v>■</x:v>
      </x:c>
      <x:c r="AW37" s="57" t="str">
        <x:f>IF('制度詳細'!$H$37="",IF('制度詳細'!$J$37="","",IF(AND('制度詳細'!$J$37&gt;=AW$5,'制度詳細'!$J$37&lt;=EOMONTH(AW$5,0)),"◆","")),IF(MAX('制度詳細'!$H$37,AW$5)&lt;=MIN(IF('制度詳細'!$I$37="",EOMONTH(AW$5,0),'制度詳細'!$I$37),EOMONTH(AW$5,0)),"■",IF(AND('制度詳細'!$J$37&lt;&gt;"",'制度詳細'!$J$37&gt;=AW$5,'制度詳細'!$J$37&lt;=EOMONTH(AW$5,0)),"◆","")))</x:f>
        <x:v>■</x:v>
      </x:c>
      <x:c r="AX37" s="57" t="str">
        <x:f>IF('制度詳細'!$H$37="",IF('制度詳細'!$J$37="","",IF(AND('制度詳細'!$J$37&gt;=AX$5,'制度詳細'!$J$37&lt;=EOMONTH(AX$5,0)),"◆","")),IF(MAX('制度詳細'!$H$37,AX$5)&lt;=MIN(IF('制度詳細'!$I$37="",EOMONTH(AX$5,0),'制度詳細'!$I$37),EOMONTH(AX$5,0)),"■",IF(AND('制度詳細'!$J$37&lt;&gt;"",'制度詳細'!$J$37&gt;=AX$5,'制度詳細'!$J$37&lt;=EOMONTH(AX$5,0)),"◆","")))</x:f>
        <x:v>■</x:v>
      </x:c>
      <x:c r="AY37" s="57" t="str">
        <x:f>IF('制度詳細'!$H$37="",IF('制度詳細'!$J$37="","",IF(AND('制度詳細'!$J$37&gt;=AY$5,'制度詳細'!$J$37&lt;=EOMONTH(AY$5,0)),"◆","")),IF(MAX('制度詳細'!$H$37,AY$5)&lt;=MIN(IF('制度詳細'!$I$37="",EOMONTH(AY$5,0),'制度詳細'!$I$37),EOMONTH(AY$5,0)),"■",IF(AND('制度詳細'!$J$37&lt;&gt;"",'制度詳細'!$J$37&gt;=AY$5,'制度詳細'!$J$37&lt;=EOMONTH(AY$5,0)),"◆","")))</x:f>
        <x:v>■</x:v>
      </x:c>
      <x:c r="AZ37" s="57" t="str">
        <x:f>IF('制度詳細'!$H$37="",IF('制度詳細'!$J$37="","",IF(AND('制度詳細'!$J$37&gt;=AZ$5,'制度詳細'!$J$37&lt;=EOMONTH(AZ$5,0)),"◆","")),IF(MAX('制度詳細'!$H$37,AZ$5)&lt;=MIN(IF('制度詳細'!$I$37="",EOMONTH(AZ$5,0),'制度詳細'!$I$37),EOMONTH(AZ$5,0)),"■",IF(AND('制度詳細'!$J$37&lt;&gt;"",'制度詳細'!$J$37&gt;=AZ$5,'制度詳細'!$J$37&lt;=EOMONTH(AZ$5,0)),"◆","")))</x:f>
        <x:v>■</x:v>
      </x:c>
      <x:c r="BA37" s="57" t="str">
        <x:f>IF('制度詳細'!$H$37="",IF('制度詳細'!$J$37="","",IF(AND('制度詳細'!$J$37&gt;=BA$5,'制度詳細'!$J$37&lt;=EOMONTH(BA$5,0)),"◆","")),IF(MAX('制度詳細'!$H$37,BA$5)&lt;=MIN(IF('制度詳細'!$I$37="",EOMONTH(BA$5,0),'制度詳細'!$I$37),EOMONTH(BA$5,0)),"■",IF(AND('制度詳細'!$J$37&lt;&gt;"",'制度詳細'!$J$37&gt;=BA$5,'制度詳細'!$J$37&lt;=EOMONTH(BA$5,0)),"◆","")))</x:f>
      </x:c>
      <x:c r="BB37" s="57" t="str">
        <x:f>IF('制度詳細'!$H$37="",IF('制度詳細'!$J$37="","",IF(AND('制度詳細'!$J$37&gt;=BB$5,'制度詳細'!$J$37&lt;=EOMONTH(BB$5,0)),"◆","")),IF(MAX('制度詳細'!$H$37,BB$5)&lt;=MIN(IF('制度詳細'!$I$37="",EOMONTH(BB$5,0),'制度詳細'!$I$37),EOMONTH(BB$5,0)),"■",IF(AND('制度詳細'!$J$37&lt;&gt;"",'制度詳細'!$J$37&gt;=BB$5,'制度詳細'!$J$37&lt;=EOMONTH(BB$5,0)),"◆","")))</x:f>
      </x:c>
      <x:c r="BC37" s="57" t="str">
        <x:f>IF('制度詳細'!$H$37="",IF('制度詳細'!$J$37="","",IF(AND('制度詳細'!$J$37&gt;=BC$5,'制度詳細'!$J$37&lt;=EOMONTH(BC$5,0)),"◆","")),IF(MAX('制度詳細'!$H$37,BC$5)&lt;=MIN(IF('制度詳細'!$I$37="",EOMONTH(BC$5,0),'制度詳細'!$I$37),EOMONTH(BC$5,0)),"■",IF(AND('制度詳細'!$J$37&lt;&gt;"",'制度詳細'!$J$37&gt;=BC$5,'制度詳細'!$J$37&lt;=EOMONTH(BC$5,0)),"◆","")))</x:f>
      </x:c>
      <x:c r="BD37" s="57" t="str">
        <x:f>IF('制度詳細'!$H$37="",IF('制度詳細'!$J$37="","",IF(AND('制度詳細'!$J$37&gt;=BD$5,'制度詳細'!$J$37&lt;=EOMONTH(BD$5,0)),"◆","")),IF(MAX('制度詳細'!$H$37,BD$5)&lt;=MIN(IF('制度詳細'!$I$37="",EOMONTH(BD$5,0),'制度詳細'!$I$37),EOMONTH(BD$5,0)),"■",IF(AND('制度詳細'!$J$37&lt;&gt;"",'制度詳細'!$J$37&gt;=BD$5,'制度詳細'!$J$37&lt;=EOMONTH(BD$5,0)),"◆","")))</x:f>
      </x:c>
      <x:c r="BE37" s="57" t="str">
        <x:f>IF('制度詳細'!$H$37="",IF('制度詳細'!$J$37="","",IF(AND('制度詳細'!$J$37&gt;=BE$5,'制度詳細'!$J$37&lt;=EOMONTH(BE$5,0)),"◆","")),IF(MAX('制度詳細'!$H$37,BE$5)&lt;=MIN(IF('制度詳細'!$I$37="",EOMONTH(BE$5,0),'制度詳細'!$I$37),EOMONTH(BE$5,0)),"■",IF(AND('制度詳細'!$J$37&lt;&gt;"",'制度詳細'!$J$37&gt;=BE$5,'制度詳細'!$J$37&lt;=EOMONTH(BE$5,0)),"◆","")))</x:f>
      </x:c>
      <x:c r="BF37" s="57" t="str">
        <x:f>IF('制度詳細'!$H$37="",IF('制度詳細'!$J$37="","",IF(AND('制度詳細'!$J$37&gt;=BF$5,'制度詳細'!$J$37&lt;=EOMONTH(BF$5,0)),"◆","")),IF(MAX('制度詳細'!$H$37,BF$5)&lt;=MIN(IF('制度詳細'!$I$37="",EOMONTH(BF$5,0),'制度詳細'!$I$37),EOMONTH(BF$5,0)),"■",IF(AND('制度詳細'!$J$37&lt;&gt;"",'制度詳細'!$J$37&gt;=BF$5,'制度詳細'!$J$37&lt;=EOMONTH(BF$5,0)),"◆","")))</x:f>
      </x:c>
      <x:c r="BG37" s="57" t="str">
        <x:f>IF('制度詳細'!$H$37="",IF('制度詳細'!$J$37="","",IF(AND('制度詳細'!$J$37&gt;=BG$5,'制度詳細'!$J$37&lt;=EOMONTH(BG$5,0)),"◆","")),IF(MAX('制度詳細'!$H$37,BG$5)&lt;=MIN(IF('制度詳細'!$I$37="",EOMONTH(BG$5,0),'制度詳細'!$I$37),EOMONTH(BG$5,0)),"■",IF(AND('制度詳細'!$J$37&lt;&gt;"",'制度詳細'!$J$37&gt;=BG$5,'制度詳細'!$J$37&lt;=EOMONTH(BG$5,0)),"◆","")))</x:f>
      </x:c>
      <x:c r="BH37" s="57" t="str">
        <x:f>IF('制度詳細'!$H$37="",IF('制度詳細'!$J$37="","",IF(AND('制度詳細'!$J$37&gt;=BH$5,'制度詳細'!$J$37&lt;=EOMONTH(BH$5,0)),"◆","")),IF(MAX('制度詳細'!$H$37,BH$5)&lt;=MIN(IF('制度詳細'!$I$37="",EOMONTH(BH$5,0),'制度詳細'!$I$37),EOMONTH(BH$5,0)),"■",IF(AND('制度詳細'!$J$37&lt;&gt;"",'制度詳細'!$J$37&gt;=BH$5,'制度詳細'!$J$37&lt;=EOMONTH(BH$5,0)),"◆","")))</x:f>
      </x:c>
      <x:c r="BI37" s="57" t="str">
        <x:f>IF('制度詳細'!$H$37="",IF('制度詳細'!$J$37="","",IF(AND('制度詳細'!$J$37&gt;=BI$5,'制度詳細'!$J$37&lt;=EOMONTH(BI$5,0)),"◆","")),IF(MAX('制度詳細'!$H$37,BI$5)&lt;=MIN(IF('制度詳細'!$I$37="",EOMONTH(BI$5,0),'制度詳細'!$I$37),EOMONTH(BI$5,0)),"■",IF(AND('制度詳細'!$J$37&lt;&gt;"",'制度詳細'!$J$37&gt;=BI$5,'制度詳細'!$J$37&lt;=EOMONTH(BI$5,0)),"◆","")))</x:f>
      </x:c>
      <x:c r="BJ37" s="57" t="str">
        <x:f>IF('制度詳細'!$H$37="",IF('制度詳細'!$J$37="","",IF(AND('制度詳細'!$J$37&gt;=BJ$5,'制度詳細'!$J$37&lt;=EOMONTH(BJ$5,0)),"◆","")),IF(MAX('制度詳細'!$H$37,BJ$5)&lt;=MIN(IF('制度詳細'!$I$37="",EOMONTH(BJ$5,0),'制度詳細'!$I$37),EOMONTH(BJ$5,0)),"■",IF(AND('制度詳細'!$J$37&lt;&gt;"",'制度詳細'!$J$37&gt;=BJ$5,'制度詳細'!$J$37&lt;=EOMONTH(BJ$5,0)),"◆","")))</x:f>
      </x:c>
      <x:c r="BK37" s="57" t="str">
        <x:f>IF('制度詳細'!$H$37="",IF('制度詳細'!$J$37="","",IF(AND('制度詳細'!$J$37&gt;=BK$5,'制度詳細'!$J$37&lt;=EOMONTH(BK$5,0)),"◆","")),IF(MAX('制度詳細'!$H$37,BK$5)&lt;=MIN(IF('制度詳細'!$I$37="",EOMONTH(BK$5,0),'制度詳細'!$I$37),EOMONTH(BK$5,0)),"■",IF(AND('制度詳細'!$J$37&lt;&gt;"",'制度詳細'!$J$37&gt;=BK$5,'制度詳細'!$J$37&lt;=EOMONTH(BK$5,0)),"◆","")))</x:f>
      </x:c>
      <x:c r="BL37" s="57" t="str">
        <x:f>IF('制度詳細'!$H$37="",IF('制度詳細'!$J$37="","",IF(AND('制度詳細'!$J$37&gt;=BL$5,'制度詳細'!$J$37&lt;=EOMONTH(BL$5,0)),"◆","")),IF(MAX('制度詳細'!$H$37,BL$5)&lt;=MIN(IF('制度詳細'!$I$37="",EOMONTH(BL$5,0),'制度詳細'!$I$37),EOMONTH(BL$5,0)),"■",IF(AND('制度詳細'!$J$37&lt;&gt;"",'制度詳細'!$J$37&gt;=BL$5,'制度詳細'!$J$37&lt;=EOMONTH(BL$5,0)),"◆","")))</x:f>
      </x:c>
      <x:c r="BM37" s="57" t="str">
        <x:f>IF('制度詳細'!$H$37="",IF('制度詳細'!$J$37="","",IF(AND('制度詳細'!$J$37&gt;=BM$5,'制度詳細'!$J$37&lt;=EOMONTH(BM$5,0)),"◆","")),IF(MAX('制度詳細'!$H$37,BM$5)&lt;=MIN(IF('制度詳細'!$I$37="",EOMONTH(BM$5,0),'制度詳細'!$I$37),EOMONTH(BM$5,0)),"■",IF(AND('制度詳細'!$J$37&lt;&gt;"",'制度詳細'!$J$37&gt;=BM$5,'制度詳細'!$J$37&lt;=EOMONTH(BM$5,0)),"◆","")))</x:f>
      </x:c>
      <x:c r="BN37" s="57" t="str">
        <x:f>IF('制度詳細'!$H$37="",IF('制度詳細'!$J$37="","",IF(AND('制度詳細'!$J$37&gt;=BN$5,'制度詳細'!$J$37&lt;=EOMONTH(BN$5,0)),"◆","")),IF(MAX('制度詳細'!$H$37,BN$5)&lt;=MIN(IF('制度詳細'!$I$37="",EOMONTH(BN$5,0),'制度詳細'!$I$37),EOMONTH(BN$5,0)),"■",IF(AND('制度詳細'!$J$37&lt;&gt;"",'制度詳細'!$J$37&gt;=BN$5,'制度詳細'!$J$37&lt;=EOMONTH(BN$5,0)),"◆","")))</x:f>
      </x:c>
      <x:c r="BO37" s="57" t="str">
        <x:f>IF('制度詳細'!$H$37="",IF('制度詳細'!$J$37="","",IF(AND('制度詳細'!$J$37&gt;=BO$5,'制度詳細'!$J$37&lt;=EOMONTH(BO$5,0)),"◆","")),IF(MAX('制度詳細'!$H$37,BO$5)&lt;=MIN(IF('制度詳細'!$I$37="",EOMONTH(BO$5,0),'制度詳細'!$I$37),EOMONTH(BO$5,0)),"■",IF(AND('制度詳細'!$J$37&lt;&gt;"",'制度詳細'!$J$37&gt;=BO$5,'制度詳細'!$J$37&lt;=EOMONTH(BO$5,0)),"◆","")))</x:f>
      </x:c>
      <x:c r="BP37" s="57" t="str">
        <x:f>IF('制度詳細'!$H$37="",IF('制度詳細'!$J$37="","",IF(AND('制度詳細'!$J$37&gt;=BP$5,'制度詳細'!$J$37&lt;=EOMONTH(BP$5,0)),"◆","")),IF(MAX('制度詳細'!$H$37,BP$5)&lt;=MIN(IF('制度詳細'!$I$37="",EOMONTH(BP$5,0),'制度詳細'!$I$37),EOMONTH(BP$5,0)),"■",IF(AND('制度詳細'!$J$37&lt;&gt;"",'制度詳細'!$J$37&gt;=BP$5,'制度詳細'!$J$37&lt;=EOMONTH(BP$5,0)),"◆","")))</x:f>
      </x:c>
      <x:c r="BQ37" s="57" t="str">
        <x:f>IF('制度詳細'!$H$37="",IF('制度詳細'!$J$37="","",IF(AND('制度詳細'!$J$37&gt;=BQ$5,'制度詳細'!$J$37&lt;=EOMONTH(BQ$5,0)),"◆","")),IF(MAX('制度詳細'!$H$37,BQ$5)&lt;=MIN(IF('制度詳細'!$I$37="",EOMONTH(BQ$5,0),'制度詳細'!$I$37),EOMONTH(BQ$5,0)),"■",IF(AND('制度詳細'!$J$37&lt;&gt;"",'制度詳細'!$J$37&gt;=BQ$5,'制度詳細'!$J$37&lt;=EOMONTH(BQ$5,0)),"◆","")))</x:f>
      </x:c>
      <x:c r="BR37" s="57" t="str">
        <x:f>IF('制度詳細'!$H$37="",IF('制度詳細'!$J$37="","",IF(AND('制度詳細'!$J$37&gt;=BR$5,'制度詳細'!$J$37&lt;=EOMONTH(BR$5,0)),"◆","")),IF(MAX('制度詳細'!$H$37,BR$5)&lt;=MIN(IF('制度詳細'!$I$37="",EOMONTH(BR$5,0),'制度詳細'!$I$37),EOMONTH(BR$5,0)),"■",IF(AND('制度詳細'!$J$37&lt;&gt;"",'制度詳細'!$J$37&gt;=BR$5,'制度詳細'!$J$37&lt;=EOMONTH(BR$5,0)),"◆","")))</x:f>
      </x:c>
      <x:c r="BS37" s="57" t="str">
        <x:f>IF('制度詳細'!$H$37="",IF('制度詳細'!$J$37="","",IF(AND('制度詳細'!$J$37&gt;=BS$5,'制度詳細'!$J$37&lt;=EOMONTH(BS$5,0)),"◆","")),IF(MAX('制度詳細'!$H$37,BS$5)&lt;=MIN(IF('制度詳細'!$I$37="",EOMONTH(BS$5,0),'制度詳細'!$I$37),EOMONTH(BS$5,0)),"■",IF(AND('制度詳細'!$J$37&lt;&gt;"",'制度詳細'!$J$37&gt;=BS$5,'制度詳細'!$J$37&lt;=EOMONTH(BS$5,0)),"◆","")))</x:f>
      </x:c>
      <x:c r="BT37" s="57" t="str">
        <x:f>IF('制度詳細'!$H$37="",IF('制度詳細'!$J$37="","",IF(AND('制度詳細'!$J$37&gt;=BT$5,'制度詳細'!$J$37&lt;=EOMONTH(BT$5,0)),"◆","")),IF(MAX('制度詳細'!$H$37,BT$5)&lt;=MIN(IF('制度詳細'!$I$37="",EOMONTH(BT$5,0),'制度詳細'!$I$37),EOMONTH(BT$5,0)),"■",IF(AND('制度詳細'!$J$37&lt;&gt;"",'制度詳細'!$J$37&gt;=BT$5,'制度詳細'!$J$37&lt;=EOMONTH(BT$5,0)),"◆","")))</x:f>
      </x:c>
      <x:c r="BU37" s="57" t="str">
        <x:f>IF('制度詳細'!$H$37="",IF('制度詳細'!$J$37="","",IF(AND('制度詳細'!$J$37&gt;=BU$5,'制度詳細'!$J$37&lt;=EOMONTH(BU$5,0)),"◆","")),IF(MAX('制度詳細'!$H$37,BU$5)&lt;=MIN(IF('制度詳細'!$I$37="",EOMONTH(BU$5,0),'制度詳細'!$I$37),EOMONTH(BU$5,0)),"■",IF(AND('制度詳細'!$J$37&lt;&gt;"",'制度詳細'!$J$37&gt;=BU$5,'制度詳細'!$J$37&lt;=EOMONTH(BU$5,0)),"◆","")))</x:f>
      </x:c>
      <x:c r="BV37" s="57" t="str">
        <x:f>IF('制度詳細'!$H$37="",IF('制度詳細'!$J$37="","",IF(AND('制度詳細'!$J$37&gt;=BV$5,'制度詳細'!$J$37&lt;=EOMONTH(BV$5,0)),"◆","")),IF(MAX('制度詳細'!$H$37,BV$5)&lt;=MIN(IF('制度詳細'!$I$37="",EOMONTH(BV$5,0),'制度詳細'!$I$37),EOMONTH(BV$5,0)),"■",IF(AND('制度詳細'!$J$37&lt;&gt;"",'制度詳細'!$J$37&gt;=BV$5,'制度詳細'!$J$37&lt;=EOMONTH(BV$5,0)),"◆","")))</x:f>
      </x:c>
      <x:c r="BW37" s="57" t="str">
        <x:f>IF('制度詳細'!$H$37="",IF('制度詳細'!$J$37="","",IF(AND('制度詳細'!$J$37&gt;=BW$5,'制度詳細'!$J$37&lt;=EOMONTH(BW$5,0)),"◆","")),IF(MAX('制度詳細'!$H$37,BW$5)&lt;=MIN(IF('制度詳細'!$I$37="",EOMONTH(BW$5,0),'制度詳細'!$I$37),EOMONTH(BW$5,0)),"■",IF(AND('制度詳細'!$J$37&lt;&gt;"",'制度詳細'!$J$37&gt;=BW$5,'制度詳細'!$J$37&lt;=EOMONTH(BW$5,0)),"◆","")))</x:f>
      </x:c>
      <x:c r="BX37" s="57" t="str">
        <x:f>IF('制度詳細'!$H$37="",IF('制度詳細'!$J$37="","",IF(AND('制度詳細'!$J$37&gt;=BX$5,'制度詳細'!$J$37&lt;=EOMONTH(BX$5,0)),"◆","")),IF(MAX('制度詳細'!$H$37,BX$5)&lt;=MIN(IF('制度詳細'!$I$37="",EOMONTH(BX$5,0),'制度詳細'!$I$37),EOMONTH(BX$5,0)),"■",IF(AND('制度詳細'!$J$37&lt;&gt;"",'制度詳細'!$J$37&gt;=BX$5,'制度詳細'!$J$37&lt;=EOMONTH(BX$5,0)),"◆","")))</x:f>
      </x:c>
      <x:c r="BY37" s="57" t="str">
        <x:f>IF('制度詳細'!$H$37="",IF('制度詳細'!$J$37="","",IF(AND('制度詳細'!$J$37&gt;=BY$5,'制度詳細'!$J$37&lt;=EOMONTH(BY$5,0)),"◆","")),IF(MAX('制度詳細'!$H$37,BY$5)&lt;=MIN(IF('制度詳細'!$I$37="",EOMONTH(BY$5,0),'制度詳細'!$I$37),EOMONTH(BY$5,0)),"■",IF(AND('制度詳細'!$J$37&lt;&gt;"",'制度詳細'!$J$37&gt;=BY$5,'制度詳細'!$J$37&lt;=EOMONTH(BY$5,0)),"◆","")))</x:f>
      </x:c>
      <x:c r="BZ37" s="57" t="str">
        <x:f>IF('制度詳細'!$H$37="",IF('制度詳細'!$J$37="","",IF(AND('制度詳細'!$J$37&gt;=BZ$5,'制度詳細'!$J$37&lt;=EOMONTH(BZ$5,0)),"◆","")),IF(MAX('制度詳細'!$H$37,BZ$5)&lt;=MIN(IF('制度詳細'!$I$37="",EOMONTH(BZ$5,0),'制度詳細'!$I$37),EOMONTH(BZ$5,0)),"■",IF(AND('制度詳細'!$J$37&lt;&gt;"",'制度詳細'!$J$37&gt;=BZ$5,'制度詳細'!$J$37&lt;=EOMONTH(BZ$5,0)),"◆","")))</x:f>
      </x:c>
      <x:c r="CA37" s="57" t="str">
        <x:f>IF('制度詳細'!$H$37="",IF('制度詳細'!$J$37="","",IF(AND('制度詳細'!$J$37&gt;=CA$5,'制度詳細'!$J$37&lt;=EOMONTH(CA$5,0)),"◆","")),IF(MAX('制度詳細'!$H$37,CA$5)&lt;=MIN(IF('制度詳細'!$I$37="",EOMONTH(CA$5,0),'制度詳細'!$I$37),EOMONTH(CA$5,0)),"■",IF(AND('制度詳細'!$J$37&lt;&gt;"",'制度詳細'!$J$37&gt;=CA$5,'制度詳細'!$J$37&lt;=EOMONTH(CA$5,0)),"◆","")))</x:f>
      </x:c>
      <x:c r="CB37" s="57" t="str">
        <x:f>IF('制度詳細'!$H$37="",IF('制度詳細'!$J$37="","",IF(AND('制度詳細'!$J$37&gt;=CB$5,'制度詳細'!$J$37&lt;=EOMONTH(CB$5,0)),"◆","")),IF(MAX('制度詳細'!$H$37,CB$5)&lt;=MIN(IF('制度詳細'!$I$37="",EOMONTH(CB$5,0),'制度詳細'!$I$37),EOMONTH(CB$5,0)),"■",IF(AND('制度詳細'!$J$37&lt;&gt;"",'制度詳細'!$J$37&gt;=CB$5,'制度詳細'!$J$37&lt;=EOMONTH(CB$5,0)),"◆","")))</x:f>
      </x:c>
      <x:c r="CC37" s="57" t="str">
        <x:f>IF('制度詳細'!$H$37="",IF('制度詳細'!$J$37="","",IF(AND('制度詳細'!$J$37&gt;=CC$5,'制度詳細'!$J$37&lt;=EOMONTH(CC$5,0)),"◆","")),IF(MAX('制度詳細'!$H$37,CC$5)&lt;=MIN(IF('制度詳細'!$I$37="",EOMONTH(CC$5,0),'制度詳細'!$I$37),EOMONTH(CC$5,0)),"■",IF(AND('制度詳細'!$J$37&lt;&gt;"",'制度詳細'!$J$37&gt;=CC$5,'制度詳細'!$J$37&lt;=EOMONTH(CC$5,0)),"◆","")))</x:f>
      </x:c>
      <x:c r="CD37" s="57" t="str">
        <x:f>IF('制度詳細'!$H$37="",IF('制度詳細'!$J$37="","",IF(AND('制度詳細'!$J$37&gt;=CD$5,'制度詳細'!$J$37&lt;=EOMONTH(CD$5,0)),"◆","")),IF(MAX('制度詳細'!$H$37,CD$5)&lt;=MIN(IF('制度詳細'!$I$37="",EOMONTH(CD$5,0),'制度詳細'!$I$37),EOMONTH(CD$5,0)),"■",IF(AND('制度詳細'!$J$37&lt;&gt;"",'制度詳細'!$J$37&gt;=CD$5,'制度詳細'!$J$37&lt;=EOMONTH(CD$5,0)),"◆","")))</x:f>
      </x:c>
      <x:c r="CE37" s="57" t="str">
        <x:f>IF('制度詳細'!$H$37="",IF('制度詳細'!$J$37="","",IF(AND('制度詳細'!$J$37&gt;=CE$5,'制度詳細'!$J$37&lt;=EOMONTH(CE$5,0)),"◆","")),IF(MAX('制度詳細'!$H$37,CE$5)&lt;=MIN(IF('制度詳細'!$I$37="",EOMONTH(CE$5,0),'制度詳細'!$I$37),EOMONTH(CE$5,0)),"■",IF(AND('制度詳細'!$J$37&lt;&gt;"",'制度詳細'!$J$37&gt;=CE$5,'制度詳細'!$J$37&lt;=EOMONTH(CE$5,0)),"◆","")))</x:f>
      </x:c>
      <x:c r="CF37" s="57" t="str">
        <x:f>IF('制度詳細'!$H$37="",IF('制度詳細'!$J$37="","",IF(AND('制度詳細'!$J$37&gt;=CF$5,'制度詳細'!$J$37&lt;=EOMONTH(CF$5,0)),"◆","")),IF(MAX('制度詳細'!$H$37,CF$5)&lt;=MIN(IF('制度詳細'!$I$37="",EOMONTH(CF$5,0),'制度詳細'!$I$37),EOMONTH(CF$5,0)),"■",IF(AND('制度詳細'!$J$37&lt;&gt;"",'制度詳細'!$J$37&gt;=CF$5,'制度詳細'!$J$37&lt;=EOMONTH(CF$5,0)),"◆","")))</x:f>
      </x:c>
      <x:c r="CG37" s="57" t="str">
        <x:f>IF('制度詳細'!$H$37="",IF('制度詳細'!$J$37="","",IF(AND('制度詳細'!$J$37&gt;=CG$5,'制度詳細'!$J$37&lt;=EOMONTH(CG$5,0)),"◆","")),IF(MAX('制度詳細'!$H$37,CG$5)&lt;=MIN(IF('制度詳細'!$I$37="",EOMONTH(CG$5,0),'制度詳細'!$I$37),EOMONTH(CG$5,0)),"■",IF(AND('制度詳細'!$J$37&lt;&gt;"",'制度詳細'!$J$37&gt;=CG$5,'制度詳細'!$J$37&lt;=EOMONTH(CG$5,0)),"◆","")))</x:f>
      </x:c>
      <x:c r="CH37" s="57" t="str">
        <x:f>IF('制度詳細'!$H$37="",IF('制度詳細'!$J$37="","",IF(AND('制度詳細'!$J$37&gt;=CH$5,'制度詳細'!$J$37&lt;=EOMONTH(CH$5,0)),"◆","")),IF(MAX('制度詳細'!$H$37,CH$5)&lt;=MIN(IF('制度詳細'!$I$37="",EOMONTH(CH$5,0),'制度詳細'!$I$37),EOMONTH(CH$5,0)),"■",IF(AND('制度詳細'!$J$37&lt;&gt;"",'制度詳細'!$J$37&gt;=CH$5,'制度詳細'!$J$37&lt;=EOMONTH(CH$5,0)),"◆","")))</x:f>
      </x:c>
      <x:c r="CI37" s="57" t="str">
        <x:f>IF('制度詳細'!$H$37="",IF('制度詳細'!$J$37="","",IF(AND('制度詳細'!$J$37&gt;=CI$5,'制度詳細'!$J$37&lt;=EOMONTH(CI$5,0)),"◆","")),IF(MAX('制度詳細'!$H$37,CI$5)&lt;=MIN(IF('制度詳細'!$I$37="",EOMONTH(CI$5,0),'制度詳細'!$I$37),EOMONTH(CI$5,0)),"■",IF(AND('制度詳細'!$J$37&lt;&gt;"",'制度詳細'!$J$37&gt;=CI$5,'制度詳細'!$J$37&lt;=EOMONTH(CI$5,0)),"◆","")))</x:f>
      </x:c>
      <x:c r="CJ37" s="57" t="str">
        <x:f>IF('制度詳細'!$H$37="",IF('制度詳細'!$J$37="","",IF(AND('制度詳細'!$J$37&gt;=CJ$5,'制度詳細'!$J$37&lt;=EOMONTH(CJ$5,0)),"◆","")),IF(MAX('制度詳細'!$H$37,CJ$5)&lt;=MIN(IF('制度詳細'!$I$37="",EOMONTH(CJ$5,0),'制度詳細'!$I$37),EOMONTH(CJ$5,0)),"■",IF(AND('制度詳細'!$J$37&lt;&gt;"",'制度詳細'!$J$37&gt;=CJ$5,'制度詳細'!$J$37&lt;=EOMONTH(CJ$5,0)),"◆","")))</x:f>
      </x:c>
      <x:c r="CK37" s="57" t="str">
        <x:f>IF('制度詳細'!$H$37="",IF('制度詳細'!$J$37="","",IF(AND('制度詳細'!$J$37&gt;=CK$5,'制度詳細'!$J$37&lt;=EOMONTH(CK$5,0)),"◆","")),IF(MAX('制度詳細'!$H$37,CK$5)&lt;=MIN(IF('制度詳細'!$I$37="",EOMONTH(CK$5,0),'制度詳細'!$I$37),EOMONTH(CK$5,0)),"■",IF(AND('制度詳細'!$J$37&lt;&gt;"",'制度詳細'!$J$37&gt;=CK$5,'制度詳細'!$J$37&lt;=EOMONTH(CK$5,0)),"◆","")))</x:f>
      </x:c>
      <x:c r="CL37" s="57" t="str">
        <x:f>IF('制度詳細'!$H$37="",IF('制度詳細'!$J$37="","",IF(AND('制度詳細'!$J$37&gt;=CL$5,'制度詳細'!$J$37&lt;=EOMONTH(CL$5,0)),"◆","")),IF(MAX('制度詳細'!$H$37,CL$5)&lt;=MIN(IF('制度詳細'!$I$37="",EOMONTH(CL$5,0),'制度詳細'!$I$37),EOMONTH(CL$5,0)),"■",IF(AND('制度詳細'!$J$37&lt;&gt;"",'制度詳細'!$J$37&gt;=CL$5,'制度詳細'!$J$37&lt;=EOMONTH(CL$5,0)),"◆","")))</x:f>
      </x:c>
      <x:c r="CM37" s="57" t="str">
        <x:f>IF('制度詳細'!$H$37="",IF('制度詳細'!$J$37="","",IF(AND('制度詳細'!$J$37&gt;=CM$5,'制度詳細'!$J$37&lt;=EOMONTH(CM$5,0)),"◆","")),IF(MAX('制度詳細'!$H$37,CM$5)&lt;=MIN(IF('制度詳細'!$I$37="",EOMONTH(CM$5,0),'制度詳細'!$I$37),EOMONTH(CM$5,0)),"■",IF(AND('制度詳細'!$J$37&lt;&gt;"",'制度詳細'!$J$37&gt;=CM$5,'制度詳細'!$J$37&lt;=EOMONTH(CM$5,0)),"◆","")))</x:f>
      </x:c>
      <x:c r="CN37" s="57" t="str">
        <x:f>IF('制度詳細'!$H$37="",IF('制度詳細'!$J$37="","",IF(AND('制度詳細'!$J$37&gt;=CN$5,'制度詳細'!$J$37&lt;=EOMONTH(CN$5,0)),"◆","")),IF(MAX('制度詳細'!$H$37,CN$5)&lt;=MIN(IF('制度詳細'!$I$37="",EOMONTH(CN$5,0),'制度詳細'!$I$37),EOMONTH(CN$5,0)),"■",IF(AND('制度詳細'!$J$37&lt;&gt;"",'制度詳細'!$J$37&gt;=CN$5,'制度詳細'!$J$37&lt;=EOMONTH(CN$5,0)),"◆","")))</x:f>
      </x:c>
      <x:c r="CO37" s="57" t="str">
        <x:f>IF('制度詳細'!$H$37="",IF('制度詳細'!$J$37="","",IF(AND('制度詳細'!$J$37&gt;=CO$5,'制度詳細'!$J$37&lt;=EOMONTH(CO$5,0)),"◆","")),IF(MAX('制度詳細'!$H$37,CO$5)&lt;=MIN(IF('制度詳細'!$I$37="",EOMONTH(CO$5,0),'制度詳細'!$I$37),EOMONTH(CO$5,0)),"■",IF(AND('制度詳細'!$J$37&lt;&gt;"",'制度詳細'!$J$37&gt;=CO$5,'制度詳細'!$J$37&lt;=EOMONTH(CO$5,0)),"◆","")))</x:f>
      </x:c>
      <x:c r="CP37" s="57" t="str">
        <x:f>IF('制度詳細'!$H$37="",IF('制度詳細'!$J$37="","",IF(AND('制度詳細'!$J$37&gt;=CP$5,'制度詳細'!$J$37&lt;=EOMONTH(CP$5,0)),"◆","")),IF(MAX('制度詳細'!$H$37,CP$5)&lt;=MIN(IF('制度詳細'!$I$37="",EOMONTH(CP$5,0),'制度詳細'!$I$37),EOMONTH(CP$5,0)),"■",IF(AND('制度詳細'!$J$37&lt;&gt;"",'制度詳細'!$J$37&gt;=CP$5,'制度詳細'!$J$37&lt;=EOMONTH(CP$5,0)),"◆","")))</x:f>
      </x:c>
      <x:c r="CQ37" s="57" t="str">
        <x:f>IF('制度詳細'!$H$37="",IF('制度詳細'!$J$37="","",IF(AND('制度詳細'!$J$37&gt;=CQ$5,'制度詳細'!$J$37&lt;=EOMONTH(CQ$5,0)),"◆","")),IF(MAX('制度詳細'!$H$37,CQ$5)&lt;=MIN(IF('制度詳細'!$I$37="",EOMONTH(CQ$5,0),'制度詳細'!$I$37),EOMONTH(CQ$5,0)),"■",IF(AND('制度詳細'!$J$37&lt;&gt;"",'制度詳細'!$J$37&gt;=CQ$5,'制度詳細'!$J$37&lt;=EOMONTH(CQ$5,0)),"◆","")))</x:f>
      </x:c>
      <x:c r="CR37" s="57" t="str">
        <x:f>IF('制度詳細'!$H$37="",IF('制度詳細'!$J$37="","",IF(AND('制度詳細'!$J$37&gt;=CR$5,'制度詳細'!$J$37&lt;=EOMONTH(CR$5,0)),"◆","")),IF(MAX('制度詳細'!$H$37,CR$5)&lt;=MIN(IF('制度詳細'!$I$37="",EOMONTH(CR$5,0),'制度詳細'!$I$37),EOMONTH(CR$5,0)),"■",IF(AND('制度詳細'!$J$37&lt;&gt;"",'制度詳細'!$J$37&gt;=CR$5,'制度詳細'!$J$37&lt;=EOMONTH(CR$5,0)),"◆","")))</x:f>
      </x:c>
      <x:c r="CS37" s="57" t="str">
        <x:f>IF('制度詳細'!$H$37="",IF('制度詳細'!$J$37="","",IF(AND('制度詳細'!$J$37&gt;=CS$5,'制度詳細'!$J$37&lt;=EOMONTH(CS$5,0)),"◆","")),IF(MAX('制度詳細'!$H$37,CS$5)&lt;=MIN(IF('制度詳細'!$I$37="",EOMONTH(CS$5,0),'制度詳細'!$I$37),EOMONTH(CS$5,0)),"■",IF(AND('制度詳細'!$J$37&lt;&gt;"",'制度詳細'!$J$37&gt;=CS$5,'制度詳細'!$J$37&lt;=EOMONTH(CS$5,0)),"◆","")))</x:f>
      </x:c>
      <x:c r="CT37" s="57" t="str">
        <x:f>IF('制度詳細'!$H$37="",IF('制度詳細'!$J$37="","",IF(AND('制度詳細'!$J$37&gt;=CT$5,'制度詳細'!$J$37&lt;=EOMONTH(CT$5,0)),"◆","")),IF(MAX('制度詳細'!$H$37,CT$5)&lt;=MIN(IF('制度詳細'!$I$37="",EOMONTH(CT$5,0),'制度詳細'!$I$37),EOMONTH(CT$5,0)),"■",IF(AND('制度詳細'!$J$37&lt;&gt;"",'制度詳細'!$J$37&gt;=CT$5,'制度詳細'!$J$37&lt;=EOMONTH(CT$5,0)),"◆","")))</x:f>
      </x:c>
      <x:c r="CU37" s="57" t="str">
        <x:f>IF('制度詳細'!$H$37="",IF('制度詳細'!$J$37="","",IF(AND('制度詳細'!$J$37&gt;=CU$5,'制度詳細'!$J$37&lt;=EOMONTH(CU$5,0)),"◆","")),IF(MAX('制度詳細'!$H$37,CU$5)&lt;=MIN(IF('制度詳細'!$I$37="",EOMONTH(CU$5,0),'制度詳細'!$I$37),EOMONTH(CU$5,0)),"■",IF(AND('制度詳細'!$J$37&lt;&gt;"",'制度詳細'!$J$37&gt;=CU$5,'制度詳細'!$J$37&lt;=EOMONTH(CU$5,0)),"◆","")))</x:f>
      </x:c>
      <x:c r="CV37" s="57" t="str">
        <x:f>IF('制度詳細'!$H$37="",IF('制度詳細'!$J$37="","",IF(AND('制度詳細'!$J$37&gt;=CV$5,'制度詳細'!$J$37&lt;=EOMONTH(CV$5,0)),"◆","")),IF(MAX('制度詳細'!$H$37,CV$5)&lt;=MIN(IF('制度詳細'!$I$37="",EOMONTH(CV$5,0),'制度詳細'!$I$37),EOMONTH(CV$5,0)),"■",IF(AND('制度詳細'!$J$37&lt;&gt;"",'制度詳細'!$J$37&gt;=CV$5,'制度詳細'!$J$37&lt;=EOMONTH(CV$5,0)),"◆","")))</x:f>
      </x:c>
      <x:c r="CW37" s="1"/>
      <x:c r="CX37" s="1"/>
      <x:c r="CY37" s="1"/>
      <x:c r="CZ37" s="1"/>
      <x:c r="DA37" s="1"/>
      <x:c r="DB37" s="1"/>
      <x:c r="DC37" s="1"/>
      <x:c r="DD37" s="1"/>
    </x:row>
    <x:row r="38" ht="27" customHeight="1">
      <x:c r="A38" s="53" t="str">
        <x:v>VN10</x:v>
      </x:c>
      <x:c r="B38" s="53" t="str">
        <x:v>ベトナム</x:v>
      </x:c>
      <x:c r="C38" s="53" t="str">
        <x:v>国内車：登録料50%減2024</x:v>
      </x:c>
      <x:c r="D38" s="53" t="str">
        <x:v>ICE/HEV等</x:v>
      </x:c>
      <x:c r="E38" s="57" t="str">
        <x:f>IF('制度詳細'!$H$38="",IF('制度詳細'!$J$38="","",IF(AND('制度詳細'!$J$38&gt;=E$5,'制度詳細'!$J$38&lt;=EOMONTH(E$5,0)),"◆","")),IF(MAX('制度詳細'!$H$38,E$5)&lt;=MIN(IF('制度詳細'!$I$38="",EOMONTH(E$5,0),'制度詳細'!$I$38),EOMONTH(E$5,0)),"■",IF(AND('制度詳細'!$J$38&lt;&gt;"",'制度詳細'!$J$38&gt;=E$5,'制度詳細'!$J$38&lt;=EOMONTH(E$5,0)),"◆","")))</x:f>
      </x:c>
      <x:c r="F38" s="57" t="str">
        <x:f>IF('制度詳細'!$H$38="",IF('制度詳細'!$J$38="","",IF(AND('制度詳細'!$J$38&gt;=F$5,'制度詳細'!$J$38&lt;=EOMONTH(F$5,0)),"◆","")),IF(MAX('制度詳細'!$H$38,F$5)&lt;=MIN(IF('制度詳細'!$I$38="",EOMONTH(F$5,0),'制度詳細'!$I$38),EOMONTH(F$5,0)),"■",IF(AND('制度詳細'!$J$38&lt;&gt;"",'制度詳細'!$J$38&gt;=F$5,'制度詳細'!$J$38&lt;=EOMONTH(F$5,0)),"◆","")))</x:f>
      </x:c>
      <x:c r="G38" s="57" t="str">
        <x:f>IF('制度詳細'!$H$38="",IF('制度詳細'!$J$38="","",IF(AND('制度詳細'!$J$38&gt;=G$5,'制度詳細'!$J$38&lt;=EOMONTH(G$5,0)),"◆","")),IF(MAX('制度詳細'!$H$38,G$5)&lt;=MIN(IF('制度詳細'!$I$38="",EOMONTH(G$5,0),'制度詳細'!$I$38),EOMONTH(G$5,0)),"■",IF(AND('制度詳細'!$J$38&lt;&gt;"",'制度詳細'!$J$38&gt;=G$5,'制度詳細'!$J$38&lt;=EOMONTH(G$5,0)),"◆","")))</x:f>
      </x:c>
      <x:c r="H38" s="57" t="str">
        <x:f>IF('制度詳細'!$H$38="",IF('制度詳細'!$J$38="","",IF(AND('制度詳細'!$J$38&gt;=H$5,'制度詳細'!$J$38&lt;=EOMONTH(H$5,0)),"◆","")),IF(MAX('制度詳細'!$H$38,H$5)&lt;=MIN(IF('制度詳細'!$I$38="",EOMONTH(H$5,0),'制度詳細'!$I$38),EOMONTH(H$5,0)),"■",IF(AND('制度詳細'!$J$38&lt;&gt;"",'制度詳細'!$J$38&gt;=H$5,'制度詳細'!$J$38&lt;=EOMONTH(H$5,0)),"◆","")))</x:f>
      </x:c>
      <x:c r="I38" s="57" t="str">
        <x:f>IF('制度詳細'!$H$38="",IF('制度詳細'!$J$38="","",IF(AND('制度詳細'!$J$38&gt;=I$5,'制度詳細'!$J$38&lt;=EOMONTH(I$5,0)),"◆","")),IF(MAX('制度詳細'!$H$38,I$5)&lt;=MIN(IF('制度詳細'!$I$38="",EOMONTH(I$5,0),'制度詳細'!$I$38),EOMONTH(I$5,0)),"■",IF(AND('制度詳細'!$J$38&lt;&gt;"",'制度詳細'!$J$38&gt;=I$5,'制度詳細'!$J$38&lt;=EOMONTH(I$5,0)),"◆","")))</x:f>
      </x:c>
      <x:c r="J38" s="57" t="str">
        <x:f>IF('制度詳細'!$H$38="",IF('制度詳細'!$J$38="","",IF(AND('制度詳細'!$J$38&gt;=J$5,'制度詳細'!$J$38&lt;=EOMONTH(J$5,0)),"◆","")),IF(MAX('制度詳細'!$H$38,J$5)&lt;=MIN(IF('制度詳細'!$I$38="",EOMONTH(J$5,0),'制度詳細'!$I$38),EOMONTH(J$5,0)),"■",IF(AND('制度詳細'!$J$38&lt;&gt;"",'制度詳細'!$J$38&gt;=J$5,'制度詳細'!$J$38&lt;=EOMONTH(J$5,0)),"◆","")))</x:f>
      </x:c>
      <x:c r="K38" s="57" t="str">
        <x:f>IF('制度詳細'!$H$38="",IF('制度詳細'!$J$38="","",IF(AND('制度詳細'!$J$38&gt;=K$5,'制度詳細'!$J$38&lt;=EOMONTH(K$5,0)),"◆","")),IF(MAX('制度詳細'!$H$38,K$5)&lt;=MIN(IF('制度詳細'!$I$38="",EOMONTH(K$5,0),'制度詳細'!$I$38),EOMONTH(K$5,0)),"■",IF(AND('制度詳細'!$J$38&lt;&gt;"",'制度詳細'!$J$38&gt;=K$5,'制度詳細'!$J$38&lt;=EOMONTH(K$5,0)),"◆","")))</x:f>
      </x:c>
      <x:c r="L38" s="57" t="str">
        <x:f>IF('制度詳細'!$H$38="",IF('制度詳細'!$J$38="","",IF(AND('制度詳細'!$J$38&gt;=L$5,'制度詳細'!$J$38&lt;=EOMONTH(L$5,0)),"◆","")),IF(MAX('制度詳細'!$H$38,L$5)&lt;=MIN(IF('制度詳細'!$I$38="",EOMONTH(L$5,0),'制度詳細'!$I$38),EOMONTH(L$5,0)),"■",IF(AND('制度詳細'!$J$38&lt;&gt;"",'制度詳細'!$J$38&gt;=L$5,'制度詳細'!$J$38&lt;=EOMONTH(L$5,0)),"◆","")))</x:f>
      </x:c>
      <x:c r="M38" s="57" t="str">
        <x:f>IF('制度詳細'!$H$38="",IF('制度詳細'!$J$38="","",IF(AND('制度詳細'!$J$38&gt;=M$5,'制度詳細'!$J$38&lt;=EOMONTH(M$5,0)),"◆","")),IF(MAX('制度詳細'!$H$38,M$5)&lt;=MIN(IF('制度詳細'!$I$38="",EOMONTH(M$5,0),'制度詳細'!$I$38),EOMONTH(M$5,0)),"■",IF(AND('制度詳細'!$J$38&lt;&gt;"",'制度詳細'!$J$38&gt;=M$5,'制度詳細'!$J$38&lt;=EOMONTH(M$5,0)),"◆","")))</x:f>
      </x:c>
      <x:c r="N38" s="57" t="str">
        <x:f>IF('制度詳細'!$H$38="",IF('制度詳細'!$J$38="","",IF(AND('制度詳細'!$J$38&gt;=N$5,'制度詳細'!$J$38&lt;=EOMONTH(N$5,0)),"◆","")),IF(MAX('制度詳細'!$H$38,N$5)&lt;=MIN(IF('制度詳細'!$I$38="",EOMONTH(N$5,0),'制度詳細'!$I$38),EOMONTH(N$5,0)),"■",IF(AND('制度詳細'!$J$38&lt;&gt;"",'制度詳細'!$J$38&gt;=N$5,'制度詳細'!$J$38&lt;=EOMONTH(N$5,0)),"◆","")))</x:f>
      </x:c>
      <x:c r="O38" s="57" t="str">
        <x:f>IF('制度詳細'!$H$38="",IF('制度詳細'!$J$38="","",IF(AND('制度詳細'!$J$38&gt;=O$5,'制度詳細'!$J$38&lt;=EOMONTH(O$5,0)),"◆","")),IF(MAX('制度詳細'!$H$38,O$5)&lt;=MIN(IF('制度詳細'!$I$38="",EOMONTH(O$5,0),'制度詳細'!$I$38),EOMONTH(O$5,0)),"■",IF(AND('制度詳細'!$J$38&lt;&gt;"",'制度詳細'!$J$38&gt;=O$5,'制度詳細'!$J$38&lt;=EOMONTH(O$5,0)),"◆","")))</x:f>
      </x:c>
      <x:c r="P38" s="57" t="str">
        <x:f>IF('制度詳細'!$H$38="",IF('制度詳細'!$J$38="","",IF(AND('制度詳細'!$J$38&gt;=P$5,'制度詳細'!$J$38&lt;=EOMONTH(P$5,0)),"◆","")),IF(MAX('制度詳細'!$H$38,P$5)&lt;=MIN(IF('制度詳細'!$I$38="",EOMONTH(P$5,0),'制度詳細'!$I$38),EOMONTH(P$5,0)),"■",IF(AND('制度詳細'!$J$38&lt;&gt;"",'制度詳細'!$J$38&gt;=P$5,'制度詳細'!$J$38&lt;=EOMONTH(P$5,0)),"◆","")))</x:f>
      </x:c>
      <x:c r="Q38" s="57" t="str">
        <x:f>IF('制度詳細'!$H$38="",IF('制度詳細'!$J$38="","",IF(AND('制度詳細'!$J$38&gt;=Q$5,'制度詳細'!$J$38&lt;=EOMONTH(Q$5,0)),"◆","")),IF(MAX('制度詳細'!$H$38,Q$5)&lt;=MIN(IF('制度詳細'!$I$38="",EOMONTH(Q$5,0),'制度詳細'!$I$38),EOMONTH(Q$5,0)),"■",IF(AND('制度詳細'!$J$38&lt;&gt;"",'制度詳細'!$J$38&gt;=Q$5,'制度詳細'!$J$38&lt;=EOMONTH(Q$5,0)),"◆","")))</x:f>
      </x:c>
      <x:c r="R38" s="57" t="str">
        <x:f>IF('制度詳細'!$H$38="",IF('制度詳細'!$J$38="","",IF(AND('制度詳細'!$J$38&gt;=R$5,'制度詳細'!$J$38&lt;=EOMONTH(R$5,0)),"◆","")),IF(MAX('制度詳細'!$H$38,R$5)&lt;=MIN(IF('制度詳細'!$I$38="",EOMONTH(R$5,0),'制度詳細'!$I$38),EOMONTH(R$5,0)),"■",IF(AND('制度詳細'!$J$38&lt;&gt;"",'制度詳細'!$J$38&gt;=R$5,'制度詳細'!$J$38&lt;=EOMONTH(R$5,0)),"◆","")))</x:f>
      </x:c>
      <x:c r="S38" s="57" t="str">
        <x:f>IF('制度詳細'!$H$38="",IF('制度詳細'!$J$38="","",IF(AND('制度詳細'!$J$38&gt;=S$5,'制度詳細'!$J$38&lt;=EOMONTH(S$5,0)),"◆","")),IF(MAX('制度詳細'!$H$38,S$5)&lt;=MIN(IF('制度詳細'!$I$38="",EOMONTH(S$5,0),'制度詳細'!$I$38),EOMONTH(S$5,0)),"■",IF(AND('制度詳細'!$J$38&lt;&gt;"",'制度詳細'!$J$38&gt;=S$5,'制度詳細'!$J$38&lt;=EOMONTH(S$5,0)),"◆","")))</x:f>
      </x:c>
      <x:c r="T38" s="57" t="str">
        <x:f>IF('制度詳細'!$H$38="",IF('制度詳細'!$J$38="","",IF(AND('制度詳細'!$J$38&gt;=T$5,'制度詳細'!$J$38&lt;=EOMONTH(T$5,0)),"◆","")),IF(MAX('制度詳細'!$H$38,T$5)&lt;=MIN(IF('制度詳細'!$I$38="",EOMONTH(T$5,0),'制度詳細'!$I$38),EOMONTH(T$5,0)),"■",IF(AND('制度詳細'!$J$38&lt;&gt;"",'制度詳細'!$J$38&gt;=T$5,'制度詳細'!$J$38&lt;=EOMONTH(T$5,0)),"◆","")))</x:f>
      </x:c>
      <x:c r="U38" s="57" t="str">
        <x:f>IF('制度詳細'!$H$38="",IF('制度詳細'!$J$38="","",IF(AND('制度詳細'!$J$38&gt;=U$5,'制度詳細'!$J$38&lt;=EOMONTH(U$5,0)),"◆","")),IF(MAX('制度詳細'!$H$38,U$5)&lt;=MIN(IF('制度詳細'!$I$38="",EOMONTH(U$5,0),'制度詳細'!$I$38),EOMONTH(U$5,0)),"■",IF(AND('制度詳細'!$J$38&lt;&gt;"",'制度詳細'!$J$38&gt;=U$5,'制度詳細'!$J$38&lt;=EOMONTH(U$5,0)),"◆","")))</x:f>
      </x:c>
      <x:c r="V38" s="57" t="str">
        <x:f>IF('制度詳細'!$H$38="",IF('制度詳細'!$J$38="","",IF(AND('制度詳細'!$J$38&gt;=V$5,'制度詳細'!$J$38&lt;=EOMONTH(V$5,0)),"◆","")),IF(MAX('制度詳細'!$H$38,V$5)&lt;=MIN(IF('制度詳細'!$I$38="",EOMONTH(V$5,0),'制度詳細'!$I$38),EOMONTH(V$5,0)),"■",IF(AND('制度詳細'!$J$38&lt;&gt;"",'制度詳細'!$J$38&gt;=V$5,'制度詳細'!$J$38&lt;=EOMONTH(V$5,0)),"◆","")))</x:f>
      </x:c>
      <x:c r="W38" s="57" t="str">
        <x:f>IF('制度詳細'!$H$38="",IF('制度詳細'!$J$38="","",IF(AND('制度詳細'!$J$38&gt;=W$5,'制度詳細'!$J$38&lt;=EOMONTH(W$5,0)),"◆","")),IF(MAX('制度詳細'!$H$38,W$5)&lt;=MIN(IF('制度詳細'!$I$38="",EOMONTH(W$5,0),'制度詳細'!$I$38),EOMONTH(W$5,0)),"■",IF(AND('制度詳細'!$J$38&lt;&gt;"",'制度詳細'!$J$38&gt;=W$5,'制度詳細'!$J$38&lt;=EOMONTH(W$5,0)),"◆","")))</x:f>
      </x:c>
      <x:c r="X38" s="57" t="str">
        <x:f>IF('制度詳細'!$H$38="",IF('制度詳細'!$J$38="","",IF(AND('制度詳細'!$J$38&gt;=X$5,'制度詳細'!$J$38&lt;=EOMONTH(X$5,0)),"◆","")),IF(MAX('制度詳細'!$H$38,X$5)&lt;=MIN(IF('制度詳細'!$I$38="",EOMONTH(X$5,0),'制度詳細'!$I$38),EOMONTH(X$5,0)),"■",IF(AND('制度詳細'!$J$38&lt;&gt;"",'制度詳細'!$J$38&gt;=X$5,'制度詳細'!$J$38&lt;=EOMONTH(X$5,0)),"◆","")))</x:f>
      </x:c>
      <x:c r="Y38" s="57" t="str">
        <x:f>IF('制度詳細'!$H$38="",IF('制度詳細'!$J$38="","",IF(AND('制度詳細'!$J$38&gt;=Y$5,'制度詳細'!$J$38&lt;=EOMONTH(Y$5,0)),"◆","")),IF(MAX('制度詳細'!$H$38,Y$5)&lt;=MIN(IF('制度詳細'!$I$38="",EOMONTH(Y$5,0),'制度詳細'!$I$38),EOMONTH(Y$5,0)),"■",IF(AND('制度詳細'!$J$38&lt;&gt;"",'制度詳細'!$J$38&gt;=Y$5,'制度詳細'!$J$38&lt;=EOMONTH(Y$5,0)),"◆","")))</x:f>
      </x:c>
      <x:c r="Z38" s="57" t="str">
        <x:f>IF('制度詳細'!$H$38="",IF('制度詳細'!$J$38="","",IF(AND('制度詳細'!$J$38&gt;=Z$5,'制度詳細'!$J$38&lt;=EOMONTH(Z$5,0)),"◆","")),IF(MAX('制度詳細'!$H$38,Z$5)&lt;=MIN(IF('制度詳細'!$I$38="",EOMONTH(Z$5,0),'制度詳細'!$I$38),EOMONTH(Z$5,0)),"■",IF(AND('制度詳細'!$J$38&lt;&gt;"",'制度詳細'!$J$38&gt;=Z$5,'制度詳細'!$J$38&lt;=EOMONTH(Z$5,0)),"◆","")))</x:f>
      </x:c>
      <x:c r="AA38" s="57" t="str">
        <x:f>IF('制度詳細'!$H$38="",IF('制度詳細'!$J$38="","",IF(AND('制度詳細'!$J$38&gt;=AA$5,'制度詳細'!$J$38&lt;=EOMONTH(AA$5,0)),"◆","")),IF(MAX('制度詳細'!$H$38,AA$5)&lt;=MIN(IF('制度詳細'!$I$38="",EOMONTH(AA$5,0),'制度詳細'!$I$38),EOMONTH(AA$5,0)),"■",IF(AND('制度詳細'!$J$38&lt;&gt;"",'制度詳細'!$J$38&gt;=AA$5,'制度詳細'!$J$38&lt;=EOMONTH(AA$5,0)),"◆","")))</x:f>
      </x:c>
      <x:c r="AB38" s="57" t="str">
        <x:f>IF('制度詳細'!$H$38="",IF('制度詳細'!$J$38="","",IF(AND('制度詳細'!$J$38&gt;=AB$5,'制度詳細'!$J$38&lt;=EOMONTH(AB$5,0)),"◆","")),IF(MAX('制度詳細'!$H$38,AB$5)&lt;=MIN(IF('制度詳細'!$I$38="",EOMONTH(AB$5,0),'制度詳細'!$I$38),EOMONTH(AB$5,0)),"■",IF(AND('制度詳細'!$J$38&lt;&gt;"",'制度詳細'!$J$38&gt;=AB$5,'制度詳細'!$J$38&lt;=EOMONTH(AB$5,0)),"◆","")))</x:f>
      </x:c>
      <x:c r="AC38" s="57" t="str">
        <x:f>IF('制度詳細'!$H$38="",IF('制度詳細'!$J$38="","",IF(AND('制度詳細'!$J$38&gt;=AC$5,'制度詳細'!$J$38&lt;=EOMONTH(AC$5,0)),"◆","")),IF(MAX('制度詳細'!$H$38,AC$5)&lt;=MIN(IF('制度詳細'!$I$38="",EOMONTH(AC$5,0),'制度詳細'!$I$38),EOMONTH(AC$5,0)),"■",IF(AND('制度詳細'!$J$38&lt;&gt;"",'制度詳細'!$J$38&gt;=AC$5,'制度詳細'!$J$38&lt;=EOMONTH(AC$5,0)),"◆","")))</x:f>
      </x:c>
      <x:c r="AD38" s="57" t="str">
        <x:f>IF('制度詳細'!$H$38="",IF('制度詳細'!$J$38="","",IF(AND('制度詳細'!$J$38&gt;=AD$5,'制度詳細'!$J$38&lt;=EOMONTH(AD$5,0)),"◆","")),IF(MAX('制度詳細'!$H$38,AD$5)&lt;=MIN(IF('制度詳細'!$I$38="",EOMONTH(AD$5,0),'制度詳細'!$I$38),EOMONTH(AD$5,0)),"■",IF(AND('制度詳細'!$J$38&lt;&gt;"",'制度詳細'!$J$38&gt;=AD$5,'制度詳細'!$J$38&lt;=EOMONTH(AD$5,0)),"◆","")))</x:f>
      </x:c>
      <x:c r="AE38" s="57" t="str">
        <x:f>IF('制度詳細'!$H$38="",IF('制度詳細'!$J$38="","",IF(AND('制度詳細'!$J$38&gt;=AE$5,'制度詳細'!$J$38&lt;=EOMONTH(AE$5,0)),"◆","")),IF(MAX('制度詳細'!$H$38,AE$5)&lt;=MIN(IF('制度詳細'!$I$38="",EOMONTH(AE$5,0),'制度詳細'!$I$38),EOMONTH(AE$5,0)),"■",IF(AND('制度詳細'!$J$38&lt;&gt;"",'制度詳細'!$J$38&gt;=AE$5,'制度詳細'!$J$38&lt;=EOMONTH(AE$5,0)),"◆","")))</x:f>
      </x:c>
      <x:c r="AF38" s="57" t="str">
        <x:f>IF('制度詳細'!$H$38="",IF('制度詳細'!$J$38="","",IF(AND('制度詳細'!$J$38&gt;=AF$5,'制度詳細'!$J$38&lt;=EOMONTH(AF$5,0)),"◆","")),IF(MAX('制度詳細'!$H$38,AF$5)&lt;=MIN(IF('制度詳細'!$I$38="",EOMONTH(AF$5,0),'制度詳細'!$I$38),EOMONTH(AF$5,0)),"■",IF(AND('制度詳細'!$J$38&lt;&gt;"",'制度詳細'!$J$38&gt;=AF$5,'制度詳細'!$J$38&lt;=EOMONTH(AF$5,0)),"◆","")))</x:f>
      </x:c>
      <x:c r="AG38" s="57" t="str">
        <x:f>IF('制度詳細'!$H$38="",IF('制度詳細'!$J$38="","",IF(AND('制度詳細'!$J$38&gt;=AG$5,'制度詳細'!$J$38&lt;=EOMONTH(AG$5,0)),"◆","")),IF(MAX('制度詳細'!$H$38,AG$5)&lt;=MIN(IF('制度詳細'!$I$38="",EOMONTH(AG$5,0),'制度詳細'!$I$38),EOMONTH(AG$5,0)),"■",IF(AND('制度詳細'!$J$38&lt;&gt;"",'制度詳細'!$J$38&gt;=AG$5,'制度詳細'!$J$38&lt;=EOMONTH(AG$5,0)),"◆","")))</x:f>
      </x:c>
      <x:c r="AH38" s="57" t="str">
        <x:f>IF('制度詳細'!$H$38="",IF('制度詳細'!$J$38="","",IF(AND('制度詳細'!$J$38&gt;=AH$5,'制度詳細'!$J$38&lt;=EOMONTH(AH$5,0)),"◆","")),IF(MAX('制度詳細'!$H$38,AH$5)&lt;=MIN(IF('制度詳細'!$I$38="",EOMONTH(AH$5,0),'制度詳細'!$I$38),EOMONTH(AH$5,0)),"■",IF(AND('制度詳細'!$J$38&lt;&gt;"",'制度詳細'!$J$38&gt;=AH$5,'制度詳細'!$J$38&lt;=EOMONTH(AH$5,0)),"◆","")))</x:f>
      </x:c>
      <x:c r="AI38" s="57" t="str">
        <x:f>IF('制度詳細'!$H$38="",IF('制度詳細'!$J$38="","",IF(AND('制度詳細'!$J$38&gt;=AI$5,'制度詳細'!$J$38&lt;=EOMONTH(AI$5,0)),"◆","")),IF(MAX('制度詳細'!$H$38,AI$5)&lt;=MIN(IF('制度詳細'!$I$38="",EOMONTH(AI$5,0),'制度詳細'!$I$38),EOMONTH(AI$5,0)),"■",IF(AND('制度詳細'!$J$38&lt;&gt;"",'制度詳細'!$J$38&gt;=AI$5,'制度詳細'!$J$38&lt;=EOMONTH(AI$5,0)),"◆","")))</x:f>
      </x:c>
      <x:c r="AJ38" s="57" t="str">
        <x:f>IF('制度詳細'!$H$38="",IF('制度詳細'!$J$38="","",IF(AND('制度詳細'!$J$38&gt;=AJ$5,'制度詳細'!$J$38&lt;=EOMONTH(AJ$5,0)),"◆","")),IF(MAX('制度詳細'!$H$38,AJ$5)&lt;=MIN(IF('制度詳細'!$I$38="",EOMONTH(AJ$5,0),'制度詳細'!$I$38),EOMONTH(AJ$5,0)),"■",IF(AND('制度詳細'!$J$38&lt;&gt;"",'制度詳細'!$J$38&gt;=AJ$5,'制度詳細'!$J$38&lt;=EOMONTH(AJ$5,0)),"◆","")))</x:f>
      </x:c>
      <x:c r="AK38" s="57" t="str">
        <x:f>IF('制度詳細'!$H$38="",IF('制度詳細'!$J$38="","",IF(AND('制度詳細'!$J$38&gt;=AK$5,'制度詳細'!$J$38&lt;=EOMONTH(AK$5,0)),"◆","")),IF(MAX('制度詳細'!$H$38,AK$5)&lt;=MIN(IF('制度詳細'!$I$38="",EOMONTH(AK$5,0),'制度詳細'!$I$38),EOMONTH(AK$5,0)),"■",IF(AND('制度詳細'!$J$38&lt;&gt;"",'制度詳細'!$J$38&gt;=AK$5,'制度詳細'!$J$38&lt;=EOMONTH(AK$5,0)),"◆","")))</x:f>
      </x:c>
      <x:c r="AL38" s="57" t="str">
        <x:f>IF('制度詳細'!$H$38="",IF('制度詳細'!$J$38="","",IF(AND('制度詳細'!$J$38&gt;=AL$5,'制度詳細'!$J$38&lt;=EOMONTH(AL$5,0)),"◆","")),IF(MAX('制度詳細'!$H$38,AL$5)&lt;=MIN(IF('制度詳細'!$I$38="",EOMONTH(AL$5,0),'制度詳細'!$I$38),EOMONTH(AL$5,0)),"■",IF(AND('制度詳細'!$J$38&lt;&gt;"",'制度詳細'!$J$38&gt;=AL$5,'制度詳細'!$J$38&lt;=EOMONTH(AL$5,0)),"◆","")))</x:f>
      </x:c>
      <x:c r="AM38" s="57" t="str">
        <x:f>IF('制度詳細'!$H$38="",IF('制度詳細'!$J$38="","",IF(AND('制度詳細'!$J$38&gt;=AM$5,'制度詳細'!$J$38&lt;=EOMONTH(AM$5,0)),"◆","")),IF(MAX('制度詳細'!$H$38,AM$5)&lt;=MIN(IF('制度詳細'!$I$38="",EOMONTH(AM$5,0),'制度詳細'!$I$38),EOMONTH(AM$5,0)),"■",IF(AND('制度詳細'!$J$38&lt;&gt;"",'制度詳細'!$J$38&gt;=AM$5,'制度詳細'!$J$38&lt;=EOMONTH(AM$5,0)),"◆","")))</x:f>
      </x:c>
      <x:c r="AN38" s="57" t="str">
        <x:f>IF('制度詳細'!$H$38="",IF('制度詳細'!$J$38="","",IF(AND('制度詳細'!$J$38&gt;=AN$5,'制度詳細'!$J$38&lt;=EOMONTH(AN$5,0)),"◆","")),IF(MAX('制度詳細'!$H$38,AN$5)&lt;=MIN(IF('制度詳細'!$I$38="",EOMONTH(AN$5,0),'制度詳細'!$I$38),EOMONTH(AN$5,0)),"■",IF(AND('制度詳細'!$J$38&lt;&gt;"",'制度詳細'!$J$38&gt;=AN$5,'制度詳細'!$J$38&lt;=EOMONTH(AN$5,0)),"◆","")))</x:f>
      </x:c>
      <x:c r="AO38" s="57" t="str">
        <x:f>IF('制度詳細'!$H$38="",IF('制度詳細'!$J$38="","",IF(AND('制度詳細'!$J$38&gt;=AO$5,'制度詳細'!$J$38&lt;=EOMONTH(AO$5,0)),"◆","")),IF(MAX('制度詳細'!$H$38,AO$5)&lt;=MIN(IF('制度詳細'!$I$38="",EOMONTH(AO$5,0),'制度詳細'!$I$38),EOMONTH(AO$5,0)),"■",IF(AND('制度詳細'!$J$38&lt;&gt;"",'制度詳細'!$J$38&gt;=AO$5,'制度詳細'!$J$38&lt;=EOMONTH(AO$5,0)),"◆","")))</x:f>
      </x:c>
      <x:c r="AP38" s="57" t="str">
        <x:f>IF('制度詳細'!$H$38="",IF('制度詳細'!$J$38="","",IF(AND('制度詳細'!$J$38&gt;=AP$5,'制度詳細'!$J$38&lt;=EOMONTH(AP$5,0)),"◆","")),IF(MAX('制度詳細'!$H$38,AP$5)&lt;=MIN(IF('制度詳細'!$I$38="",EOMONTH(AP$5,0),'制度詳細'!$I$38),EOMONTH(AP$5,0)),"■",IF(AND('制度詳細'!$J$38&lt;&gt;"",'制度詳細'!$J$38&gt;=AP$5,'制度詳細'!$J$38&lt;=EOMONTH(AP$5,0)),"◆","")))</x:f>
      </x:c>
      <x:c r="AQ38" s="57" t="str">
        <x:f>IF('制度詳細'!$H$38="",IF('制度詳細'!$J$38="","",IF(AND('制度詳細'!$J$38&gt;=AQ$5,'制度詳細'!$J$38&lt;=EOMONTH(AQ$5,0)),"◆","")),IF(MAX('制度詳細'!$H$38,AQ$5)&lt;=MIN(IF('制度詳細'!$I$38="",EOMONTH(AQ$5,0),'制度詳細'!$I$38),EOMONTH(AQ$5,0)),"■",IF(AND('制度詳細'!$J$38&lt;&gt;"",'制度詳細'!$J$38&gt;=AQ$5,'制度詳細'!$J$38&lt;=EOMONTH(AQ$5,0)),"◆","")))</x:f>
      </x:c>
      <x:c r="AR38" s="57" t="str">
        <x:f>IF('制度詳細'!$H$38="",IF('制度詳細'!$J$38="","",IF(AND('制度詳細'!$J$38&gt;=AR$5,'制度詳細'!$J$38&lt;=EOMONTH(AR$5,0)),"◆","")),IF(MAX('制度詳細'!$H$38,AR$5)&lt;=MIN(IF('制度詳細'!$I$38="",EOMONTH(AR$5,0),'制度詳細'!$I$38),EOMONTH(AR$5,0)),"■",IF(AND('制度詳細'!$J$38&lt;&gt;"",'制度詳細'!$J$38&gt;=AR$5,'制度詳細'!$J$38&lt;=EOMONTH(AR$5,0)),"◆","")))</x:f>
      </x:c>
      <x:c r="AS38" s="57" t="str">
        <x:f>IF('制度詳細'!$H$38="",IF('制度詳細'!$J$38="","",IF(AND('制度詳細'!$J$38&gt;=AS$5,'制度詳細'!$J$38&lt;=EOMONTH(AS$5,0)),"◆","")),IF(MAX('制度詳細'!$H$38,AS$5)&lt;=MIN(IF('制度詳細'!$I$38="",EOMONTH(AS$5,0),'制度詳細'!$I$38),EOMONTH(AS$5,0)),"■",IF(AND('制度詳細'!$J$38&lt;&gt;"",'制度詳細'!$J$38&gt;=AS$5,'制度詳細'!$J$38&lt;=EOMONTH(AS$5,0)),"◆","")))</x:f>
      </x:c>
      <x:c r="AT38" s="57" t="str">
        <x:f>IF('制度詳細'!$H$38="",IF('制度詳細'!$J$38="","",IF(AND('制度詳細'!$J$38&gt;=AT$5,'制度詳細'!$J$38&lt;=EOMONTH(AT$5,0)),"◆","")),IF(MAX('制度詳細'!$H$38,AT$5)&lt;=MIN(IF('制度詳細'!$I$38="",EOMONTH(AT$5,0),'制度詳細'!$I$38),EOMONTH(AT$5,0)),"■",IF(AND('制度詳細'!$J$38&lt;&gt;"",'制度詳細'!$J$38&gt;=AT$5,'制度詳細'!$J$38&lt;=EOMONTH(AT$5,0)),"◆","")))</x:f>
      </x:c>
      <x:c r="AU38" s="57" t="str">
        <x:f>IF('制度詳細'!$H$38="",IF('制度詳細'!$J$38="","",IF(AND('制度詳細'!$J$38&gt;=AU$5,'制度詳細'!$J$38&lt;=EOMONTH(AU$5,0)),"◆","")),IF(MAX('制度詳細'!$H$38,AU$5)&lt;=MIN(IF('制度詳細'!$I$38="",EOMONTH(AU$5,0),'制度詳細'!$I$38),EOMONTH(AU$5,0)),"■",IF(AND('制度詳細'!$J$38&lt;&gt;"",'制度詳細'!$J$38&gt;=AU$5,'制度詳細'!$J$38&lt;=EOMONTH(AU$5,0)),"◆","")))</x:f>
      </x:c>
      <x:c r="AV38" s="57" t="str">
        <x:f>IF('制度詳細'!$H$38="",IF('制度詳細'!$J$38="","",IF(AND('制度詳細'!$J$38&gt;=AV$5,'制度詳細'!$J$38&lt;=EOMONTH(AV$5,0)),"◆","")),IF(MAX('制度詳細'!$H$38,AV$5)&lt;=MIN(IF('制度詳細'!$I$38="",EOMONTH(AV$5,0),'制度詳細'!$I$38),EOMONTH(AV$5,0)),"■",IF(AND('制度詳細'!$J$38&lt;&gt;"",'制度詳細'!$J$38&gt;=AV$5,'制度詳細'!$J$38&lt;=EOMONTH(AV$5,0)),"◆","")))</x:f>
      </x:c>
      <x:c r="AW38" s="57" t="str">
        <x:f>IF('制度詳細'!$H$38="",IF('制度詳細'!$J$38="","",IF(AND('制度詳細'!$J$38&gt;=AW$5,'制度詳細'!$J$38&lt;=EOMONTH(AW$5,0)),"◆","")),IF(MAX('制度詳細'!$H$38,AW$5)&lt;=MIN(IF('制度詳細'!$I$38="",EOMONTH(AW$5,0),'制度詳細'!$I$38),EOMONTH(AW$5,0)),"■",IF(AND('制度詳細'!$J$38&lt;&gt;"",'制度詳細'!$J$38&gt;=AW$5,'制度詳細'!$J$38&lt;=EOMONTH(AW$5,0)),"◆","")))</x:f>
      </x:c>
      <x:c r="AX38" s="57" t="str">
        <x:f>IF('制度詳細'!$H$38="",IF('制度詳細'!$J$38="","",IF(AND('制度詳細'!$J$38&gt;=AX$5,'制度詳細'!$J$38&lt;=EOMONTH(AX$5,0)),"◆","")),IF(MAX('制度詳細'!$H$38,AX$5)&lt;=MIN(IF('制度詳細'!$I$38="",EOMONTH(AX$5,0),'制度詳細'!$I$38),EOMONTH(AX$5,0)),"■",IF(AND('制度詳細'!$J$38&lt;&gt;"",'制度詳細'!$J$38&gt;=AX$5,'制度詳細'!$J$38&lt;=EOMONTH(AX$5,0)),"◆","")))</x:f>
      </x:c>
      <x:c r="AY38" s="57" t="str">
        <x:f>IF('制度詳細'!$H$38="",IF('制度詳細'!$J$38="","",IF(AND('制度詳細'!$J$38&gt;=AY$5,'制度詳細'!$J$38&lt;=EOMONTH(AY$5,0)),"◆","")),IF(MAX('制度詳細'!$H$38,AY$5)&lt;=MIN(IF('制度詳細'!$I$38="",EOMONTH(AY$5,0),'制度詳細'!$I$38),EOMONTH(AY$5,0)),"■",IF(AND('制度詳細'!$J$38&lt;&gt;"",'制度詳細'!$J$38&gt;=AY$5,'制度詳細'!$J$38&lt;=EOMONTH(AY$5,0)),"◆","")))</x:f>
      </x:c>
      <x:c r="AZ38" s="57" t="str">
        <x:f>IF('制度詳細'!$H$38="",IF('制度詳細'!$J$38="","",IF(AND('制度詳細'!$J$38&gt;=AZ$5,'制度詳細'!$J$38&lt;=EOMONTH(AZ$5,0)),"◆","")),IF(MAX('制度詳細'!$H$38,AZ$5)&lt;=MIN(IF('制度詳細'!$I$38="",EOMONTH(AZ$5,0),'制度詳細'!$I$38),EOMONTH(AZ$5,0)),"■",IF(AND('制度詳細'!$J$38&lt;&gt;"",'制度詳細'!$J$38&gt;=AZ$5,'制度詳細'!$J$38&lt;=EOMONTH(AZ$5,0)),"◆","")))</x:f>
      </x:c>
      <x:c r="BA38" s="57" t="str">
        <x:f>IF('制度詳細'!$H$38="",IF('制度詳細'!$J$38="","",IF(AND('制度詳細'!$J$38&gt;=BA$5,'制度詳細'!$J$38&lt;=EOMONTH(BA$5,0)),"◆","")),IF(MAX('制度詳細'!$H$38,BA$5)&lt;=MIN(IF('制度詳細'!$I$38="",EOMONTH(BA$5,0),'制度詳細'!$I$38),EOMONTH(BA$5,0)),"■",IF(AND('制度詳細'!$J$38&lt;&gt;"",'制度詳細'!$J$38&gt;=BA$5,'制度詳細'!$J$38&lt;=EOMONTH(BA$5,0)),"◆","")))</x:f>
      </x:c>
      <x:c r="BB38" s="57" t="str">
        <x:f>IF('制度詳細'!$H$38="",IF('制度詳細'!$J$38="","",IF(AND('制度詳細'!$J$38&gt;=BB$5,'制度詳細'!$J$38&lt;=EOMONTH(BB$5,0)),"◆","")),IF(MAX('制度詳細'!$H$38,BB$5)&lt;=MIN(IF('制度詳細'!$I$38="",EOMONTH(BB$5,0),'制度詳細'!$I$38),EOMONTH(BB$5,0)),"■",IF(AND('制度詳細'!$J$38&lt;&gt;"",'制度詳細'!$J$38&gt;=BB$5,'制度詳細'!$J$38&lt;=EOMONTH(BB$5,0)),"◆","")))</x:f>
      </x:c>
      <x:c r="BC38" s="57" t="str">
        <x:f>IF('制度詳細'!$H$38="",IF('制度詳細'!$J$38="","",IF(AND('制度詳細'!$J$38&gt;=BC$5,'制度詳細'!$J$38&lt;=EOMONTH(BC$5,0)),"◆","")),IF(MAX('制度詳細'!$H$38,BC$5)&lt;=MIN(IF('制度詳細'!$I$38="",EOMONTH(BC$5,0),'制度詳細'!$I$38),EOMONTH(BC$5,0)),"■",IF(AND('制度詳細'!$J$38&lt;&gt;"",'制度詳細'!$J$38&gt;=BC$5,'制度詳細'!$J$38&lt;=EOMONTH(BC$5,0)),"◆","")))</x:f>
      </x:c>
      <x:c r="BD38" s="57" t="str">
        <x:f>IF('制度詳細'!$H$38="",IF('制度詳細'!$J$38="","",IF(AND('制度詳細'!$J$38&gt;=BD$5,'制度詳細'!$J$38&lt;=EOMONTH(BD$5,0)),"◆","")),IF(MAX('制度詳細'!$H$38,BD$5)&lt;=MIN(IF('制度詳細'!$I$38="",EOMONTH(BD$5,0),'制度詳細'!$I$38),EOMONTH(BD$5,0)),"■",IF(AND('制度詳細'!$J$38&lt;&gt;"",'制度詳細'!$J$38&gt;=BD$5,'制度詳細'!$J$38&lt;=EOMONTH(BD$5,0)),"◆","")))</x:f>
      </x:c>
      <x:c r="BE38" s="57" t="str">
        <x:f>IF('制度詳細'!$H$38="",IF('制度詳細'!$J$38="","",IF(AND('制度詳細'!$J$38&gt;=BE$5,'制度詳細'!$J$38&lt;=EOMONTH(BE$5,0)),"◆","")),IF(MAX('制度詳細'!$H$38,BE$5)&lt;=MIN(IF('制度詳細'!$I$38="",EOMONTH(BE$5,0),'制度詳細'!$I$38),EOMONTH(BE$5,0)),"■",IF(AND('制度詳細'!$J$38&lt;&gt;"",'制度詳細'!$J$38&gt;=BE$5,'制度詳細'!$J$38&lt;=EOMONTH(BE$5,0)),"◆","")))</x:f>
      </x:c>
      <x:c r="BF38" s="57" t="str">
        <x:f>IF('制度詳細'!$H$38="",IF('制度詳細'!$J$38="","",IF(AND('制度詳細'!$J$38&gt;=BF$5,'制度詳細'!$J$38&lt;=EOMONTH(BF$5,0)),"◆","")),IF(MAX('制度詳細'!$H$38,BF$5)&lt;=MIN(IF('制度詳細'!$I$38="",EOMONTH(BF$5,0),'制度詳細'!$I$38),EOMONTH(BF$5,0)),"■",IF(AND('制度詳細'!$J$38&lt;&gt;"",'制度詳細'!$J$38&gt;=BF$5,'制度詳細'!$J$38&lt;=EOMONTH(BF$5,0)),"◆","")))</x:f>
      </x:c>
      <x:c r="BG38" s="57" t="str">
        <x:f>IF('制度詳細'!$H$38="",IF('制度詳細'!$J$38="","",IF(AND('制度詳細'!$J$38&gt;=BG$5,'制度詳細'!$J$38&lt;=EOMONTH(BG$5,0)),"◆","")),IF(MAX('制度詳細'!$H$38,BG$5)&lt;=MIN(IF('制度詳細'!$I$38="",EOMONTH(BG$5,0),'制度詳細'!$I$38),EOMONTH(BG$5,0)),"■",IF(AND('制度詳細'!$J$38&lt;&gt;"",'制度詳細'!$J$38&gt;=BG$5,'制度詳細'!$J$38&lt;=EOMONTH(BG$5,0)),"◆","")))</x:f>
      </x:c>
      <x:c r="BH38" s="57" t="str">
        <x:f>IF('制度詳細'!$H$38="",IF('制度詳細'!$J$38="","",IF(AND('制度詳細'!$J$38&gt;=BH$5,'制度詳細'!$J$38&lt;=EOMONTH(BH$5,0)),"◆","")),IF(MAX('制度詳細'!$H$38,BH$5)&lt;=MIN(IF('制度詳細'!$I$38="",EOMONTH(BH$5,0),'制度詳細'!$I$38),EOMONTH(BH$5,0)),"■",IF(AND('制度詳細'!$J$38&lt;&gt;"",'制度詳細'!$J$38&gt;=BH$5,'制度詳細'!$J$38&lt;=EOMONTH(BH$5,0)),"◆","")))</x:f>
        <x:v>◆</x:v>
      </x:c>
      <x:c r="BI38" s="57" t="str">
        <x:f>IF('制度詳細'!$H$38="",IF('制度詳細'!$J$38="","",IF(AND('制度詳細'!$J$38&gt;=BI$5,'制度詳細'!$J$38&lt;=EOMONTH(BI$5,0)),"◆","")),IF(MAX('制度詳細'!$H$38,BI$5)&lt;=MIN(IF('制度詳細'!$I$38="",EOMONTH(BI$5,0),'制度詳細'!$I$38),EOMONTH(BI$5,0)),"■",IF(AND('制度詳細'!$J$38&lt;&gt;"",'制度詳細'!$J$38&gt;=BI$5,'制度詳細'!$J$38&lt;=EOMONTH(BI$5,0)),"◆","")))</x:f>
        <x:v>■</x:v>
      </x:c>
      <x:c r="BJ38" s="57" t="str">
        <x:f>IF('制度詳細'!$H$38="",IF('制度詳細'!$J$38="","",IF(AND('制度詳細'!$J$38&gt;=BJ$5,'制度詳細'!$J$38&lt;=EOMONTH(BJ$5,0)),"◆","")),IF(MAX('制度詳細'!$H$38,BJ$5)&lt;=MIN(IF('制度詳細'!$I$38="",EOMONTH(BJ$5,0),'制度詳細'!$I$38),EOMONTH(BJ$5,0)),"■",IF(AND('制度詳細'!$J$38&lt;&gt;"",'制度詳細'!$J$38&gt;=BJ$5,'制度詳細'!$J$38&lt;=EOMONTH(BJ$5,0)),"◆","")))</x:f>
        <x:v>■</x:v>
      </x:c>
      <x:c r="BK38" s="57" t="str">
        <x:f>IF('制度詳細'!$H$38="",IF('制度詳細'!$J$38="","",IF(AND('制度詳細'!$J$38&gt;=BK$5,'制度詳細'!$J$38&lt;=EOMONTH(BK$5,0)),"◆","")),IF(MAX('制度詳細'!$H$38,BK$5)&lt;=MIN(IF('制度詳細'!$I$38="",EOMONTH(BK$5,0),'制度詳細'!$I$38),EOMONTH(BK$5,0)),"■",IF(AND('制度詳細'!$J$38&lt;&gt;"",'制度詳細'!$J$38&gt;=BK$5,'制度詳細'!$J$38&lt;=EOMONTH(BK$5,0)),"◆","")))</x:f>
        <x:v>■</x:v>
      </x:c>
      <x:c r="BL38" s="57" t="str">
        <x:f>IF('制度詳細'!$H$38="",IF('制度詳細'!$J$38="","",IF(AND('制度詳細'!$J$38&gt;=BL$5,'制度詳細'!$J$38&lt;=EOMONTH(BL$5,0)),"◆","")),IF(MAX('制度詳細'!$H$38,BL$5)&lt;=MIN(IF('制度詳細'!$I$38="",EOMONTH(BL$5,0),'制度詳細'!$I$38),EOMONTH(BL$5,0)),"■",IF(AND('制度詳細'!$J$38&lt;&gt;"",'制度詳細'!$J$38&gt;=BL$5,'制度詳細'!$J$38&lt;=EOMONTH(BL$5,0)),"◆","")))</x:f>
      </x:c>
      <x:c r="BM38" s="57" t="str">
        <x:f>IF('制度詳細'!$H$38="",IF('制度詳細'!$J$38="","",IF(AND('制度詳細'!$J$38&gt;=BM$5,'制度詳細'!$J$38&lt;=EOMONTH(BM$5,0)),"◆","")),IF(MAX('制度詳細'!$H$38,BM$5)&lt;=MIN(IF('制度詳細'!$I$38="",EOMONTH(BM$5,0),'制度詳細'!$I$38),EOMONTH(BM$5,0)),"■",IF(AND('制度詳細'!$J$38&lt;&gt;"",'制度詳細'!$J$38&gt;=BM$5,'制度詳細'!$J$38&lt;=EOMONTH(BM$5,0)),"◆","")))</x:f>
      </x:c>
      <x:c r="BN38" s="57" t="str">
        <x:f>IF('制度詳細'!$H$38="",IF('制度詳細'!$J$38="","",IF(AND('制度詳細'!$J$38&gt;=BN$5,'制度詳細'!$J$38&lt;=EOMONTH(BN$5,0)),"◆","")),IF(MAX('制度詳細'!$H$38,BN$5)&lt;=MIN(IF('制度詳細'!$I$38="",EOMONTH(BN$5,0),'制度詳細'!$I$38),EOMONTH(BN$5,0)),"■",IF(AND('制度詳細'!$J$38&lt;&gt;"",'制度詳細'!$J$38&gt;=BN$5,'制度詳細'!$J$38&lt;=EOMONTH(BN$5,0)),"◆","")))</x:f>
      </x:c>
      <x:c r="BO38" s="57" t="str">
        <x:f>IF('制度詳細'!$H$38="",IF('制度詳細'!$J$38="","",IF(AND('制度詳細'!$J$38&gt;=BO$5,'制度詳細'!$J$38&lt;=EOMONTH(BO$5,0)),"◆","")),IF(MAX('制度詳細'!$H$38,BO$5)&lt;=MIN(IF('制度詳細'!$I$38="",EOMONTH(BO$5,0),'制度詳細'!$I$38),EOMONTH(BO$5,0)),"■",IF(AND('制度詳細'!$J$38&lt;&gt;"",'制度詳細'!$J$38&gt;=BO$5,'制度詳細'!$J$38&lt;=EOMONTH(BO$5,0)),"◆","")))</x:f>
      </x:c>
      <x:c r="BP38" s="57" t="str">
        <x:f>IF('制度詳細'!$H$38="",IF('制度詳細'!$J$38="","",IF(AND('制度詳細'!$J$38&gt;=BP$5,'制度詳細'!$J$38&lt;=EOMONTH(BP$5,0)),"◆","")),IF(MAX('制度詳細'!$H$38,BP$5)&lt;=MIN(IF('制度詳細'!$I$38="",EOMONTH(BP$5,0),'制度詳細'!$I$38),EOMONTH(BP$5,0)),"■",IF(AND('制度詳細'!$J$38&lt;&gt;"",'制度詳細'!$J$38&gt;=BP$5,'制度詳細'!$J$38&lt;=EOMONTH(BP$5,0)),"◆","")))</x:f>
      </x:c>
      <x:c r="BQ38" s="57" t="str">
        <x:f>IF('制度詳細'!$H$38="",IF('制度詳細'!$J$38="","",IF(AND('制度詳細'!$J$38&gt;=BQ$5,'制度詳細'!$J$38&lt;=EOMONTH(BQ$5,0)),"◆","")),IF(MAX('制度詳細'!$H$38,BQ$5)&lt;=MIN(IF('制度詳細'!$I$38="",EOMONTH(BQ$5,0),'制度詳細'!$I$38),EOMONTH(BQ$5,0)),"■",IF(AND('制度詳細'!$J$38&lt;&gt;"",'制度詳細'!$J$38&gt;=BQ$5,'制度詳細'!$J$38&lt;=EOMONTH(BQ$5,0)),"◆","")))</x:f>
      </x:c>
      <x:c r="BR38" s="57" t="str">
        <x:f>IF('制度詳細'!$H$38="",IF('制度詳細'!$J$38="","",IF(AND('制度詳細'!$J$38&gt;=BR$5,'制度詳細'!$J$38&lt;=EOMONTH(BR$5,0)),"◆","")),IF(MAX('制度詳細'!$H$38,BR$5)&lt;=MIN(IF('制度詳細'!$I$38="",EOMONTH(BR$5,0),'制度詳細'!$I$38),EOMONTH(BR$5,0)),"■",IF(AND('制度詳細'!$J$38&lt;&gt;"",'制度詳細'!$J$38&gt;=BR$5,'制度詳細'!$J$38&lt;=EOMONTH(BR$5,0)),"◆","")))</x:f>
      </x:c>
      <x:c r="BS38" s="57" t="str">
        <x:f>IF('制度詳細'!$H$38="",IF('制度詳細'!$J$38="","",IF(AND('制度詳細'!$J$38&gt;=BS$5,'制度詳細'!$J$38&lt;=EOMONTH(BS$5,0)),"◆","")),IF(MAX('制度詳細'!$H$38,BS$5)&lt;=MIN(IF('制度詳細'!$I$38="",EOMONTH(BS$5,0),'制度詳細'!$I$38),EOMONTH(BS$5,0)),"■",IF(AND('制度詳細'!$J$38&lt;&gt;"",'制度詳細'!$J$38&gt;=BS$5,'制度詳細'!$J$38&lt;=EOMONTH(BS$5,0)),"◆","")))</x:f>
      </x:c>
      <x:c r="BT38" s="57" t="str">
        <x:f>IF('制度詳細'!$H$38="",IF('制度詳細'!$J$38="","",IF(AND('制度詳細'!$J$38&gt;=BT$5,'制度詳細'!$J$38&lt;=EOMONTH(BT$5,0)),"◆","")),IF(MAX('制度詳細'!$H$38,BT$5)&lt;=MIN(IF('制度詳細'!$I$38="",EOMONTH(BT$5,0),'制度詳細'!$I$38),EOMONTH(BT$5,0)),"■",IF(AND('制度詳細'!$J$38&lt;&gt;"",'制度詳細'!$J$38&gt;=BT$5,'制度詳細'!$J$38&lt;=EOMONTH(BT$5,0)),"◆","")))</x:f>
      </x:c>
      <x:c r="BU38" s="57" t="str">
        <x:f>IF('制度詳細'!$H$38="",IF('制度詳細'!$J$38="","",IF(AND('制度詳細'!$J$38&gt;=BU$5,'制度詳細'!$J$38&lt;=EOMONTH(BU$5,0)),"◆","")),IF(MAX('制度詳細'!$H$38,BU$5)&lt;=MIN(IF('制度詳細'!$I$38="",EOMONTH(BU$5,0),'制度詳細'!$I$38),EOMONTH(BU$5,0)),"■",IF(AND('制度詳細'!$J$38&lt;&gt;"",'制度詳細'!$J$38&gt;=BU$5,'制度詳細'!$J$38&lt;=EOMONTH(BU$5,0)),"◆","")))</x:f>
      </x:c>
      <x:c r="BV38" s="57" t="str">
        <x:f>IF('制度詳細'!$H$38="",IF('制度詳細'!$J$38="","",IF(AND('制度詳細'!$J$38&gt;=BV$5,'制度詳細'!$J$38&lt;=EOMONTH(BV$5,0)),"◆","")),IF(MAX('制度詳細'!$H$38,BV$5)&lt;=MIN(IF('制度詳細'!$I$38="",EOMONTH(BV$5,0),'制度詳細'!$I$38),EOMONTH(BV$5,0)),"■",IF(AND('制度詳細'!$J$38&lt;&gt;"",'制度詳細'!$J$38&gt;=BV$5,'制度詳細'!$J$38&lt;=EOMONTH(BV$5,0)),"◆","")))</x:f>
      </x:c>
      <x:c r="BW38" s="57" t="str">
        <x:f>IF('制度詳細'!$H$38="",IF('制度詳細'!$J$38="","",IF(AND('制度詳細'!$J$38&gt;=BW$5,'制度詳細'!$J$38&lt;=EOMONTH(BW$5,0)),"◆","")),IF(MAX('制度詳細'!$H$38,BW$5)&lt;=MIN(IF('制度詳細'!$I$38="",EOMONTH(BW$5,0),'制度詳細'!$I$38),EOMONTH(BW$5,0)),"■",IF(AND('制度詳細'!$J$38&lt;&gt;"",'制度詳細'!$J$38&gt;=BW$5,'制度詳細'!$J$38&lt;=EOMONTH(BW$5,0)),"◆","")))</x:f>
      </x:c>
      <x:c r="BX38" s="57" t="str">
        <x:f>IF('制度詳細'!$H$38="",IF('制度詳細'!$J$38="","",IF(AND('制度詳細'!$J$38&gt;=BX$5,'制度詳細'!$J$38&lt;=EOMONTH(BX$5,0)),"◆","")),IF(MAX('制度詳細'!$H$38,BX$5)&lt;=MIN(IF('制度詳細'!$I$38="",EOMONTH(BX$5,0),'制度詳細'!$I$38),EOMONTH(BX$5,0)),"■",IF(AND('制度詳細'!$J$38&lt;&gt;"",'制度詳細'!$J$38&gt;=BX$5,'制度詳細'!$J$38&lt;=EOMONTH(BX$5,0)),"◆","")))</x:f>
      </x:c>
      <x:c r="BY38" s="57" t="str">
        <x:f>IF('制度詳細'!$H$38="",IF('制度詳細'!$J$38="","",IF(AND('制度詳細'!$J$38&gt;=BY$5,'制度詳細'!$J$38&lt;=EOMONTH(BY$5,0)),"◆","")),IF(MAX('制度詳細'!$H$38,BY$5)&lt;=MIN(IF('制度詳細'!$I$38="",EOMONTH(BY$5,0),'制度詳細'!$I$38),EOMONTH(BY$5,0)),"■",IF(AND('制度詳細'!$J$38&lt;&gt;"",'制度詳細'!$J$38&gt;=BY$5,'制度詳細'!$J$38&lt;=EOMONTH(BY$5,0)),"◆","")))</x:f>
      </x:c>
      <x:c r="BZ38" s="57" t="str">
        <x:f>IF('制度詳細'!$H$38="",IF('制度詳細'!$J$38="","",IF(AND('制度詳細'!$J$38&gt;=BZ$5,'制度詳細'!$J$38&lt;=EOMONTH(BZ$5,0)),"◆","")),IF(MAX('制度詳細'!$H$38,BZ$5)&lt;=MIN(IF('制度詳細'!$I$38="",EOMONTH(BZ$5,0),'制度詳細'!$I$38),EOMONTH(BZ$5,0)),"■",IF(AND('制度詳細'!$J$38&lt;&gt;"",'制度詳細'!$J$38&gt;=BZ$5,'制度詳細'!$J$38&lt;=EOMONTH(BZ$5,0)),"◆","")))</x:f>
      </x:c>
      <x:c r="CA38" s="57" t="str">
        <x:f>IF('制度詳細'!$H$38="",IF('制度詳細'!$J$38="","",IF(AND('制度詳細'!$J$38&gt;=CA$5,'制度詳細'!$J$38&lt;=EOMONTH(CA$5,0)),"◆","")),IF(MAX('制度詳細'!$H$38,CA$5)&lt;=MIN(IF('制度詳細'!$I$38="",EOMONTH(CA$5,0),'制度詳細'!$I$38),EOMONTH(CA$5,0)),"■",IF(AND('制度詳細'!$J$38&lt;&gt;"",'制度詳細'!$J$38&gt;=CA$5,'制度詳細'!$J$38&lt;=EOMONTH(CA$5,0)),"◆","")))</x:f>
      </x:c>
      <x:c r="CB38" s="57" t="str">
        <x:f>IF('制度詳細'!$H$38="",IF('制度詳細'!$J$38="","",IF(AND('制度詳細'!$J$38&gt;=CB$5,'制度詳細'!$J$38&lt;=EOMONTH(CB$5,0)),"◆","")),IF(MAX('制度詳細'!$H$38,CB$5)&lt;=MIN(IF('制度詳細'!$I$38="",EOMONTH(CB$5,0),'制度詳細'!$I$38),EOMONTH(CB$5,0)),"■",IF(AND('制度詳細'!$J$38&lt;&gt;"",'制度詳細'!$J$38&gt;=CB$5,'制度詳細'!$J$38&lt;=EOMONTH(CB$5,0)),"◆","")))</x:f>
      </x:c>
      <x:c r="CC38" s="57" t="str">
        <x:f>IF('制度詳細'!$H$38="",IF('制度詳細'!$J$38="","",IF(AND('制度詳細'!$J$38&gt;=CC$5,'制度詳細'!$J$38&lt;=EOMONTH(CC$5,0)),"◆","")),IF(MAX('制度詳細'!$H$38,CC$5)&lt;=MIN(IF('制度詳細'!$I$38="",EOMONTH(CC$5,0),'制度詳細'!$I$38),EOMONTH(CC$5,0)),"■",IF(AND('制度詳細'!$J$38&lt;&gt;"",'制度詳細'!$J$38&gt;=CC$5,'制度詳細'!$J$38&lt;=EOMONTH(CC$5,0)),"◆","")))</x:f>
      </x:c>
      <x:c r="CD38" s="57" t="str">
        <x:f>IF('制度詳細'!$H$38="",IF('制度詳細'!$J$38="","",IF(AND('制度詳細'!$J$38&gt;=CD$5,'制度詳細'!$J$38&lt;=EOMONTH(CD$5,0)),"◆","")),IF(MAX('制度詳細'!$H$38,CD$5)&lt;=MIN(IF('制度詳細'!$I$38="",EOMONTH(CD$5,0),'制度詳細'!$I$38),EOMONTH(CD$5,0)),"■",IF(AND('制度詳細'!$J$38&lt;&gt;"",'制度詳細'!$J$38&gt;=CD$5,'制度詳細'!$J$38&lt;=EOMONTH(CD$5,0)),"◆","")))</x:f>
      </x:c>
      <x:c r="CE38" s="57" t="str">
        <x:f>IF('制度詳細'!$H$38="",IF('制度詳細'!$J$38="","",IF(AND('制度詳細'!$J$38&gt;=CE$5,'制度詳細'!$J$38&lt;=EOMONTH(CE$5,0)),"◆","")),IF(MAX('制度詳細'!$H$38,CE$5)&lt;=MIN(IF('制度詳細'!$I$38="",EOMONTH(CE$5,0),'制度詳細'!$I$38),EOMONTH(CE$5,0)),"■",IF(AND('制度詳細'!$J$38&lt;&gt;"",'制度詳細'!$J$38&gt;=CE$5,'制度詳細'!$J$38&lt;=EOMONTH(CE$5,0)),"◆","")))</x:f>
      </x:c>
      <x:c r="CF38" s="57" t="str">
        <x:f>IF('制度詳細'!$H$38="",IF('制度詳細'!$J$38="","",IF(AND('制度詳細'!$J$38&gt;=CF$5,'制度詳細'!$J$38&lt;=EOMONTH(CF$5,0)),"◆","")),IF(MAX('制度詳細'!$H$38,CF$5)&lt;=MIN(IF('制度詳細'!$I$38="",EOMONTH(CF$5,0),'制度詳細'!$I$38),EOMONTH(CF$5,0)),"■",IF(AND('制度詳細'!$J$38&lt;&gt;"",'制度詳細'!$J$38&gt;=CF$5,'制度詳細'!$J$38&lt;=EOMONTH(CF$5,0)),"◆","")))</x:f>
      </x:c>
      <x:c r="CG38" s="57" t="str">
        <x:f>IF('制度詳細'!$H$38="",IF('制度詳細'!$J$38="","",IF(AND('制度詳細'!$J$38&gt;=CG$5,'制度詳細'!$J$38&lt;=EOMONTH(CG$5,0)),"◆","")),IF(MAX('制度詳細'!$H$38,CG$5)&lt;=MIN(IF('制度詳細'!$I$38="",EOMONTH(CG$5,0),'制度詳細'!$I$38),EOMONTH(CG$5,0)),"■",IF(AND('制度詳細'!$J$38&lt;&gt;"",'制度詳細'!$J$38&gt;=CG$5,'制度詳細'!$J$38&lt;=EOMONTH(CG$5,0)),"◆","")))</x:f>
      </x:c>
      <x:c r="CH38" s="57" t="str">
        <x:f>IF('制度詳細'!$H$38="",IF('制度詳細'!$J$38="","",IF(AND('制度詳細'!$J$38&gt;=CH$5,'制度詳細'!$J$38&lt;=EOMONTH(CH$5,0)),"◆","")),IF(MAX('制度詳細'!$H$38,CH$5)&lt;=MIN(IF('制度詳細'!$I$38="",EOMONTH(CH$5,0),'制度詳細'!$I$38),EOMONTH(CH$5,0)),"■",IF(AND('制度詳細'!$J$38&lt;&gt;"",'制度詳細'!$J$38&gt;=CH$5,'制度詳細'!$J$38&lt;=EOMONTH(CH$5,0)),"◆","")))</x:f>
      </x:c>
      <x:c r="CI38" s="57" t="str">
        <x:f>IF('制度詳細'!$H$38="",IF('制度詳細'!$J$38="","",IF(AND('制度詳細'!$J$38&gt;=CI$5,'制度詳細'!$J$38&lt;=EOMONTH(CI$5,0)),"◆","")),IF(MAX('制度詳細'!$H$38,CI$5)&lt;=MIN(IF('制度詳細'!$I$38="",EOMONTH(CI$5,0),'制度詳細'!$I$38),EOMONTH(CI$5,0)),"■",IF(AND('制度詳細'!$J$38&lt;&gt;"",'制度詳細'!$J$38&gt;=CI$5,'制度詳細'!$J$38&lt;=EOMONTH(CI$5,0)),"◆","")))</x:f>
      </x:c>
      <x:c r="CJ38" s="57" t="str">
        <x:f>IF('制度詳細'!$H$38="",IF('制度詳細'!$J$38="","",IF(AND('制度詳細'!$J$38&gt;=CJ$5,'制度詳細'!$J$38&lt;=EOMONTH(CJ$5,0)),"◆","")),IF(MAX('制度詳細'!$H$38,CJ$5)&lt;=MIN(IF('制度詳細'!$I$38="",EOMONTH(CJ$5,0),'制度詳細'!$I$38),EOMONTH(CJ$5,0)),"■",IF(AND('制度詳細'!$J$38&lt;&gt;"",'制度詳細'!$J$38&gt;=CJ$5,'制度詳細'!$J$38&lt;=EOMONTH(CJ$5,0)),"◆","")))</x:f>
      </x:c>
      <x:c r="CK38" s="57" t="str">
        <x:f>IF('制度詳細'!$H$38="",IF('制度詳細'!$J$38="","",IF(AND('制度詳細'!$J$38&gt;=CK$5,'制度詳細'!$J$38&lt;=EOMONTH(CK$5,0)),"◆","")),IF(MAX('制度詳細'!$H$38,CK$5)&lt;=MIN(IF('制度詳細'!$I$38="",EOMONTH(CK$5,0),'制度詳細'!$I$38),EOMONTH(CK$5,0)),"■",IF(AND('制度詳細'!$J$38&lt;&gt;"",'制度詳細'!$J$38&gt;=CK$5,'制度詳細'!$J$38&lt;=EOMONTH(CK$5,0)),"◆","")))</x:f>
      </x:c>
      <x:c r="CL38" s="57" t="str">
        <x:f>IF('制度詳細'!$H$38="",IF('制度詳細'!$J$38="","",IF(AND('制度詳細'!$J$38&gt;=CL$5,'制度詳細'!$J$38&lt;=EOMONTH(CL$5,0)),"◆","")),IF(MAX('制度詳細'!$H$38,CL$5)&lt;=MIN(IF('制度詳細'!$I$38="",EOMONTH(CL$5,0),'制度詳細'!$I$38),EOMONTH(CL$5,0)),"■",IF(AND('制度詳細'!$J$38&lt;&gt;"",'制度詳細'!$J$38&gt;=CL$5,'制度詳細'!$J$38&lt;=EOMONTH(CL$5,0)),"◆","")))</x:f>
      </x:c>
      <x:c r="CM38" s="57" t="str">
        <x:f>IF('制度詳細'!$H$38="",IF('制度詳細'!$J$38="","",IF(AND('制度詳細'!$J$38&gt;=CM$5,'制度詳細'!$J$38&lt;=EOMONTH(CM$5,0)),"◆","")),IF(MAX('制度詳細'!$H$38,CM$5)&lt;=MIN(IF('制度詳細'!$I$38="",EOMONTH(CM$5,0),'制度詳細'!$I$38),EOMONTH(CM$5,0)),"■",IF(AND('制度詳細'!$J$38&lt;&gt;"",'制度詳細'!$J$38&gt;=CM$5,'制度詳細'!$J$38&lt;=EOMONTH(CM$5,0)),"◆","")))</x:f>
      </x:c>
      <x:c r="CN38" s="57" t="str">
        <x:f>IF('制度詳細'!$H$38="",IF('制度詳細'!$J$38="","",IF(AND('制度詳細'!$J$38&gt;=CN$5,'制度詳細'!$J$38&lt;=EOMONTH(CN$5,0)),"◆","")),IF(MAX('制度詳細'!$H$38,CN$5)&lt;=MIN(IF('制度詳細'!$I$38="",EOMONTH(CN$5,0),'制度詳細'!$I$38),EOMONTH(CN$5,0)),"■",IF(AND('制度詳細'!$J$38&lt;&gt;"",'制度詳細'!$J$38&gt;=CN$5,'制度詳細'!$J$38&lt;=EOMONTH(CN$5,0)),"◆","")))</x:f>
      </x:c>
      <x:c r="CO38" s="57" t="str">
        <x:f>IF('制度詳細'!$H$38="",IF('制度詳細'!$J$38="","",IF(AND('制度詳細'!$J$38&gt;=CO$5,'制度詳細'!$J$38&lt;=EOMONTH(CO$5,0)),"◆","")),IF(MAX('制度詳細'!$H$38,CO$5)&lt;=MIN(IF('制度詳細'!$I$38="",EOMONTH(CO$5,0),'制度詳細'!$I$38),EOMONTH(CO$5,0)),"■",IF(AND('制度詳細'!$J$38&lt;&gt;"",'制度詳細'!$J$38&gt;=CO$5,'制度詳細'!$J$38&lt;=EOMONTH(CO$5,0)),"◆","")))</x:f>
      </x:c>
      <x:c r="CP38" s="57" t="str">
        <x:f>IF('制度詳細'!$H$38="",IF('制度詳細'!$J$38="","",IF(AND('制度詳細'!$J$38&gt;=CP$5,'制度詳細'!$J$38&lt;=EOMONTH(CP$5,0)),"◆","")),IF(MAX('制度詳細'!$H$38,CP$5)&lt;=MIN(IF('制度詳細'!$I$38="",EOMONTH(CP$5,0),'制度詳細'!$I$38),EOMONTH(CP$5,0)),"■",IF(AND('制度詳細'!$J$38&lt;&gt;"",'制度詳細'!$J$38&gt;=CP$5,'制度詳細'!$J$38&lt;=EOMONTH(CP$5,0)),"◆","")))</x:f>
      </x:c>
      <x:c r="CQ38" s="57" t="str">
        <x:f>IF('制度詳細'!$H$38="",IF('制度詳細'!$J$38="","",IF(AND('制度詳細'!$J$38&gt;=CQ$5,'制度詳細'!$J$38&lt;=EOMONTH(CQ$5,0)),"◆","")),IF(MAX('制度詳細'!$H$38,CQ$5)&lt;=MIN(IF('制度詳細'!$I$38="",EOMONTH(CQ$5,0),'制度詳細'!$I$38),EOMONTH(CQ$5,0)),"■",IF(AND('制度詳細'!$J$38&lt;&gt;"",'制度詳細'!$J$38&gt;=CQ$5,'制度詳細'!$J$38&lt;=EOMONTH(CQ$5,0)),"◆","")))</x:f>
      </x:c>
      <x:c r="CR38" s="57" t="str">
        <x:f>IF('制度詳細'!$H$38="",IF('制度詳細'!$J$38="","",IF(AND('制度詳細'!$J$38&gt;=CR$5,'制度詳細'!$J$38&lt;=EOMONTH(CR$5,0)),"◆","")),IF(MAX('制度詳細'!$H$38,CR$5)&lt;=MIN(IF('制度詳細'!$I$38="",EOMONTH(CR$5,0),'制度詳細'!$I$38),EOMONTH(CR$5,0)),"■",IF(AND('制度詳細'!$J$38&lt;&gt;"",'制度詳細'!$J$38&gt;=CR$5,'制度詳細'!$J$38&lt;=EOMONTH(CR$5,0)),"◆","")))</x:f>
      </x:c>
      <x:c r="CS38" s="57" t="str">
        <x:f>IF('制度詳細'!$H$38="",IF('制度詳細'!$J$38="","",IF(AND('制度詳細'!$J$38&gt;=CS$5,'制度詳細'!$J$38&lt;=EOMONTH(CS$5,0)),"◆","")),IF(MAX('制度詳細'!$H$38,CS$5)&lt;=MIN(IF('制度詳細'!$I$38="",EOMONTH(CS$5,0),'制度詳細'!$I$38),EOMONTH(CS$5,0)),"■",IF(AND('制度詳細'!$J$38&lt;&gt;"",'制度詳細'!$J$38&gt;=CS$5,'制度詳細'!$J$38&lt;=EOMONTH(CS$5,0)),"◆","")))</x:f>
      </x:c>
      <x:c r="CT38" s="57" t="str">
        <x:f>IF('制度詳細'!$H$38="",IF('制度詳細'!$J$38="","",IF(AND('制度詳細'!$J$38&gt;=CT$5,'制度詳細'!$J$38&lt;=EOMONTH(CT$5,0)),"◆","")),IF(MAX('制度詳細'!$H$38,CT$5)&lt;=MIN(IF('制度詳細'!$I$38="",EOMONTH(CT$5,0),'制度詳細'!$I$38),EOMONTH(CT$5,0)),"■",IF(AND('制度詳細'!$J$38&lt;&gt;"",'制度詳細'!$J$38&gt;=CT$5,'制度詳細'!$J$38&lt;=EOMONTH(CT$5,0)),"◆","")))</x:f>
      </x:c>
      <x:c r="CU38" s="57" t="str">
        <x:f>IF('制度詳細'!$H$38="",IF('制度詳細'!$J$38="","",IF(AND('制度詳細'!$J$38&gt;=CU$5,'制度詳細'!$J$38&lt;=EOMONTH(CU$5,0)),"◆","")),IF(MAX('制度詳細'!$H$38,CU$5)&lt;=MIN(IF('制度詳細'!$I$38="",EOMONTH(CU$5,0),'制度詳細'!$I$38),EOMONTH(CU$5,0)),"■",IF(AND('制度詳細'!$J$38&lt;&gt;"",'制度詳細'!$J$38&gt;=CU$5,'制度詳細'!$J$38&lt;=EOMONTH(CU$5,0)),"◆","")))</x:f>
      </x:c>
      <x:c r="CV38" s="57" t="str">
        <x:f>IF('制度詳細'!$H$38="",IF('制度詳細'!$J$38="","",IF(AND('制度詳細'!$J$38&gt;=CV$5,'制度詳細'!$J$38&lt;=EOMONTH(CV$5,0)),"◆","")),IF(MAX('制度詳細'!$H$38,CV$5)&lt;=MIN(IF('制度詳細'!$I$38="",EOMONTH(CV$5,0),'制度詳細'!$I$38),EOMONTH(CV$5,0)),"■",IF(AND('制度詳細'!$J$38&lt;&gt;"",'制度詳細'!$J$38&gt;=CV$5,'制度詳細'!$J$38&lt;=EOMONTH(CV$5,0)),"◆","")))</x:f>
      </x:c>
      <x:c r="CW38" s="1"/>
      <x:c r="CX38" s="1"/>
      <x:c r="CY38" s="1"/>
      <x:c r="CZ38" s="1"/>
      <x:c r="DA38" s="1"/>
      <x:c r="DB38" s="1"/>
      <x:c r="DC38" s="1"/>
      <x:c r="DD38" s="1"/>
    </x:row>
    <x:row r="39" ht="27" customHeight="1">
      <x:c r="A39" s="58" t="str">
        <x:v>PH01</x:v>
      </x:c>
      <x:c r="B39" s="58" t="str">
        <x:v>フィリピン</x:v>
      </x:c>
      <x:c r="C39" s="58" t="str">
        <x:v>純EV：物品税免除</x:v>
      </x:c>
      <x:c r="D39" s="58" t="str">
        <x:v>BEV</x:v>
      </x:c>
      <x:c r="E39" s="57" t="str">
        <x:f>IF('制度詳細'!$H$39="",IF('制度詳細'!$J$39="","",IF(AND('制度詳細'!$J$39&gt;=E$5,'制度詳細'!$J$39&lt;=EOMONTH(E$5,0)),"◆","")),IF(MAX('制度詳細'!$H$39,E$5)&lt;=MIN(IF('制度詳細'!$I$39="",EOMONTH(E$5,0),'制度詳細'!$I$39),EOMONTH(E$5,0)),"■",IF(AND('制度詳細'!$J$39&lt;&gt;"",'制度詳細'!$J$39&gt;=E$5,'制度詳細'!$J$39&lt;=EOMONTH(E$5,0)),"◆","")))</x:f>
        <x:v>■</x:v>
      </x:c>
      <x:c r="F39" s="57" t="str">
        <x:f>IF('制度詳細'!$H$39="",IF('制度詳細'!$J$39="","",IF(AND('制度詳細'!$J$39&gt;=F$5,'制度詳細'!$J$39&lt;=EOMONTH(F$5,0)),"◆","")),IF(MAX('制度詳細'!$H$39,F$5)&lt;=MIN(IF('制度詳細'!$I$39="",EOMONTH(F$5,0),'制度詳細'!$I$39),EOMONTH(F$5,0)),"■",IF(AND('制度詳細'!$J$39&lt;&gt;"",'制度詳細'!$J$39&gt;=F$5,'制度詳細'!$J$39&lt;=EOMONTH(F$5,0)),"◆","")))</x:f>
        <x:v>■</x:v>
      </x:c>
      <x:c r="G39" s="57" t="str">
        <x:f>IF('制度詳細'!$H$39="",IF('制度詳細'!$J$39="","",IF(AND('制度詳細'!$J$39&gt;=G$5,'制度詳細'!$J$39&lt;=EOMONTH(G$5,0)),"◆","")),IF(MAX('制度詳細'!$H$39,G$5)&lt;=MIN(IF('制度詳細'!$I$39="",EOMONTH(G$5,0),'制度詳細'!$I$39),EOMONTH(G$5,0)),"■",IF(AND('制度詳細'!$J$39&lt;&gt;"",'制度詳細'!$J$39&gt;=G$5,'制度詳細'!$J$39&lt;=EOMONTH(G$5,0)),"◆","")))</x:f>
        <x:v>■</x:v>
      </x:c>
      <x:c r="H39" s="57" t="str">
        <x:f>IF('制度詳細'!$H$39="",IF('制度詳細'!$J$39="","",IF(AND('制度詳細'!$J$39&gt;=H$5,'制度詳細'!$J$39&lt;=EOMONTH(H$5,0)),"◆","")),IF(MAX('制度詳細'!$H$39,H$5)&lt;=MIN(IF('制度詳細'!$I$39="",EOMONTH(H$5,0),'制度詳細'!$I$39),EOMONTH(H$5,0)),"■",IF(AND('制度詳細'!$J$39&lt;&gt;"",'制度詳細'!$J$39&gt;=H$5,'制度詳細'!$J$39&lt;=EOMONTH(H$5,0)),"◆","")))</x:f>
        <x:v>■</x:v>
      </x:c>
      <x:c r="I39" s="57" t="str">
        <x:f>IF('制度詳細'!$H$39="",IF('制度詳細'!$J$39="","",IF(AND('制度詳細'!$J$39&gt;=I$5,'制度詳細'!$J$39&lt;=EOMONTH(I$5,0)),"◆","")),IF(MAX('制度詳細'!$H$39,I$5)&lt;=MIN(IF('制度詳細'!$I$39="",EOMONTH(I$5,0),'制度詳細'!$I$39),EOMONTH(I$5,0)),"■",IF(AND('制度詳細'!$J$39&lt;&gt;"",'制度詳細'!$J$39&gt;=I$5,'制度詳細'!$J$39&lt;=EOMONTH(I$5,0)),"◆","")))</x:f>
        <x:v>■</x:v>
      </x:c>
      <x:c r="J39" s="57" t="str">
        <x:f>IF('制度詳細'!$H$39="",IF('制度詳細'!$J$39="","",IF(AND('制度詳細'!$J$39&gt;=J$5,'制度詳細'!$J$39&lt;=EOMONTH(J$5,0)),"◆","")),IF(MAX('制度詳細'!$H$39,J$5)&lt;=MIN(IF('制度詳細'!$I$39="",EOMONTH(J$5,0),'制度詳細'!$I$39),EOMONTH(J$5,0)),"■",IF(AND('制度詳細'!$J$39&lt;&gt;"",'制度詳細'!$J$39&gt;=J$5,'制度詳細'!$J$39&lt;=EOMONTH(J$5,0)),"◆","")))</x:f>
        <x:v>■</x:v>
      </x:c>
      <x:c r="K39" s="57" t="str">
        <x:f>IF('制度詳細'!$H$39="",IF('制度詳細'!$J$39="","",IF(AND('制度詳細'!$J$39&gt;=K$5,'制度詳細'!$J$39&lt;=EOMONTH(K$5,0)),"◆","")),IF(MAX('制度詳細'!$H$39,K$5)&lt;=MIN(IF('制度詳細'!$I$39="",EOMONTH(K$5,0),'制度詳細'!$I$39),EOMONTH(K$5,0)),"■",IF(AND('制度詳細'!$J$39&lt;&gt;"",'制度詳細'!$J$39&gt;=K$5,'制度詳細'!$J$39&lt;=EOMONTH(K$5,0)),"◆","")))</x:f>
        <x:v>■</x:v>
      </x:c>
      <x:c r="L39" s="57" t="str">
        <x:f>IF('制度詳細'!$H$39="",IF('制度詳細'!$J$39="","",IF(AND('制度詳細'!$J$39&gt;=L$5,'制度詳細'!$J$39&lt;=EOMONTH(L$5,0)),"◆","")),IF(MAX('制度詳細'!$H$39,L$5)&lt;=MIN(IF('制度詳細'!$I$39="",EOMONTH(L$5,0),'制度詳細'!$I$39),EOMONTH(L$5,0)),"■",IF(AND('制度詳細'!$J$39&lt;&gt;"",'制度詳細'!$J$39&gt;=L$5,'制度詳細'!$J$39&lt;=EOMONTH(L$5,0)),"◆","")))</x:f>
        <x:v>■</x:v>
      </x:c>
      <x:c r="M39" s="57" t="str">
        <x:f>IF('制度詳細'!$H$39="",IF('制度詳細'!$J$39="","",IF(AND('制度詳細'!$J$39&gt;=M$5,'制度詳細'!$J$39&lt;=EOMONTH(M$5,0)),"◆","")),IF(MAX('制度詳細'!$H$39,M$5)&lt;=MIN(IF('制度詳細'!$I$39="",EOMONTH(M$5,0),'制度詳細'!$I$39),EOMONTH(M$5,0)),"■",IF(AND('制度詳細'!$J$39&lt;&gt;"",'制度詳細'!$J$39&gt;=M$5,'制度詳細'!$J$39&lt;=EOMONTH(M$5,0)),"◆","")))</x:f>
        <x:v>■</x:v>
      </x:c>
      <x:c r="N39" s="57" t="str">
        <x:f>IF('制度詳細'!$H$39="",IF('制度詳細'!$J$39="","",IF(AND('制度詳細'!$J$39&gt;=N$5,'制度詳細'!$J$39&lt;=EOMONTH(N$5,0)),"◆","")),IF(MAX('制度詳細'!$H$39,N$5)&lt;=MIN(IF('制度詳細'!$I$39="",EOMONTH(N$5,0),'制度詳細'!$I$39),EOMONTH(N$5,0)),"■",IF(AND('制度詳細'!$J$39&lt;&gt;"",'制度詳細'!$J$39&gt;=N$5,'制度詳細'!$J$39&lt;=EOMONTH(N$5,0)),"◆","")))</x:f>
        <x:v>■</x:v>
      </x:c>
      <x:c r="O39" s="57" t="str">
        <x:f>IF('制度詳細'!$H$39="",IF('制度詳細'!$J$39="","",IF(AND('制度詳細'!$J$39&gt;=O$5,'制度詳細'!$J$39&lt;=EOMONTH(O$5,0)),"◆","")),IF(MAX('制度詳細'!$H$39,O$5)&lt;=MIN(IF('制度詳細'!$I$39="",EOMONTH(O$5,0),'制度詳細'!$I$39),EOMONTH(O$5,0)),"■",IF(AND('制度詳細'!$J$39&lt;&gt;"",'制度詳細'!$J$39&gt;=O$5,'制度詳細'!$J$39&lt;=EOMONTH(O$5,0)),"◆","")))</x:f>
        <x:v>■</x:v>
      </x:c>
      <x:c r="P39" s="57" t="str">
        <x:f>IF('制度詳細'!$H$39="",IF('制度詳細'!$J$39="","",IF(AND('制度詳細'!$J$39&gt;=P$5,'制度詳細'!$J$39&lt;=EOMONTH(P$5,0)),"◆","")),IF(MAX('制度詳細'!$H$39,P$5)&lt;=MIN(IF('制度詳細'!$I$39="",EOMONTH(P$5,0),'制度詳細'!$I$39),EOMONTH(P$5,0)),"■",IF(AND('制度詳細'!$J$39&lt;&gt;"",'制度詳細'!$J$39&gt;=P$5,'制度詳細'!$J$39&lt;=EOMONTH(P$5,0)),"◆","")))</x:f>
        <x:v>■</x:v>
      </x:c>
      <x:c r="Q39" s="57" t="str">
        <x:f>IF('制度詳細'!$H$39="",IF('制度詳細'!$J$39="","",IF(AND('制度詳細'!$J$39&gt;=Q$5,'制度詳細'!$J$39&lt;=EOMONTH(Q$5,0)),"◆","")),IF(MAX('制度詳細'!$H$39,Q$5)&lt;=MIN(IF('制度詳細'!$I$39="",EOMONTH(Q$5,0),'制度詳細'!$I$39),EOMONTH(Q$5,0)),"■",IF(AND('制度詳細'!$J$39&lt;&gt;"",'制度詳細'!$J$39&gt;=Q$5,'制度詳細'!$J$39&lt;=EOMONTH(Q$5,0)),"◆","")))</x:f>
        <x:v>■</x:v>
      </x:c>
      <x:c r="R39" s="57" t="str">
        <x:f>IF('制度詳細'!$H$39="",IF('制度詳細'!$J$39="","",IF(AND('制度詳細'!$J$39&gt;=R$5,'制度詳細'!$J$39&lt;=EOMONTH(R$5,0)),"◆","")),IF(MAX('制度詳細'!$H$39,R$5)&lt;=MIN(IF('制度詳細'!$I$39="",EOMONTH(R$5,0),'制度詳細'!$I$39),EOMONTH(R$5,0)),"■",IF(AND('制度詳細'!$J$39&lt;&gt;"",'制度詳細'!$J$39&gt;=R$5,'制度詳細'!$J$39&lt;=EOMONTH(R$5,0)),"◆","")))</x:f>
        <x:v>■</x:v>
      </x:c>
      <x:c r="S39" s="57" t="str">
        <x:f>IF('制度詳細'!$H$39="",IF('制度詳細'!$J$39="","",IF(AND('制度詳細'!$J$39&gt;=S$5,'制度詳細'!$J$39&lt;=EOMONTH(S$5,0)),"◆","")),IF(MAX('制度詳細'!$H$39,S$5)&lt;=MIN(IF('制度詳細'!$I$39="",EOMONTH(S$5,0),'制度詳細'!$I$39),EOMONTH(S$5,0)),"■",IF(AND('制度詳細'!$J$39&lt;&gt;"",'制度詳細'!$J$39&gt;=S$5,'制度詳細'!$J$39&lt;=EOMONTH(S$5,0)),"◆","")))</x:f>
        <x:v>■</x:v>
      </x:c>
      <x:c r="T39" s="57" t="str">
        <x:f>IF('制度詳細'!$H$39="",IF('制度詳細'!$J$39="","",IF(AND('制度詳細'!$J$39&gt;=T$5,'制度詳細'!$J$39&lt;=EOMONTH(T$5,0)),"◆","")),IF(MAX('制度詳細'!$H$39,T$5)&lt;=MIN(IF('制度詳細'!$I$39="",EOMONTH(T$5,0),'制度詳細'!$I$39),EOMONTH(T$5,0)),"■",IF(AND('制度詳細'!$J$39&lt;&gt;"",'制度詳細'!$J$39&gt;=T$5,'制度詳細'!$J$39&lt;=EOMONTH(T$5,0)),"◆","")))</x:f>
        <x:v>■</x:v>
      </x:c>
      <x:c r="U39" s="57" t="str">
        <x:f>IF('制度詳細'!$H$39="",IF('制度詳細'!$J$39="","",IF(AND('制度詳細'!$J$39&gt;=U$5,'制度詳細'!$J$39&lt;=EOMONTH(U$5,0)),"◆","")),IF(MAX('制度詳細'!$H$39,U$5)&lt;=MIN(IF('制度詳細'!$I$39="",EOMONTH(U$5,0),'制度詳細'!$I$39),EOMONTH(U$5,0)),"■",IF(AND('制度詳細'!$J$39&lt;&gt;"",'制度詳細'!$J$39&gt;=U$5,'制度詳細'!$J$39&lt;=EOMONTH(U$5,0)),"◆","")))</x:f>
        <x:v>■</x:v>
      </x:c>
      <x:c r="V39" s="57" t="str">
        <x:f>IF('制度詳細'!$H$39="",IF('制度詳細'!$J$39="","",IF(AND('制度詳細'!$J$39&gt;=V$5,'制度詳細'!$J$39&lt;=EOMONTH(V$5,0)),"◆","")),IF(MAX('制度詳細'!$H$39,V$5)&lt;=MIN(IF('制度詳細'!$I$39="",EOMONTH(V$5,0),'制度詳細'!$I$39),EOMONTH(V$5,0)),"■",IF(AND('制度詳細'!$J$39&lt;&gt;"",'制度詳細'!$J$39&gt;=V$5,'制度詳細'!$J$39&lt;=EOMONTH(V$5,0)),"◆","")))</x:f>
        <x:v>■</x:v>
      </x:c>
      <x:c r="W39" s="57" t="str">
        <x:f>IF('制度詳細'!$H$39="",IF('制度詳細'!$J$39="","",IF(AND('制度詳細'!$J$39&gt;=W$5,'制度詳細'!$J$39&lt;=EOMONTH(W$5,0)),"◆","")),IF(MAX('制度詳細'!$H$39,W$5)&lt;=MIN(IF('制度詳細'!$I$39="",EOMONTH(W$5,0),'制度詳細'!$I$39),EOMONTH(W$5,0)),"■",IF(AND('制度詳細'!$J$39&lt;&gt;"",'制度詳細'!$J$39&gt;=W$5,'制度詳細'!$J$39&lt;=EOMONTH(W$5,0)),"◆","")))</x:f>
        <x:v>■</x:v>
      </x:c>
      <x:c r="X39" s="57" t="str">
        <x:f>IF('制度詳細'!$H$39="",IF('制度詳細'!$J$39="","",IF(AND('制度詳細'!$J$39&gt;=X$5,'制度詳細'!$J$39&lt;=EOMONTH(X$5,0)),"◆","")),IF(MAX('制度詳細'!$H$39,X$5)&lt;=MIN(IF('制度詳細'!$I$39="",EOMONTH(X$5,0),'制度詳細'!$I$39),EOMONTH(X$5,0)),"■",IF(AND('制度詳細'!$J$39&lt;&gt;"",'制度詳細'!$J$39&gt;=X$5,'制度詳細'!$J$39&lt;=EOMONTH(X$5,0)),"◆","")))</x:f>
        <x:v>■</x:v>
      </x:c>
      <x:c r="Y39" s="57" t="str">
        <x:f>IF('制度詳細'!$H$39="",IF('制度詳細'!$J$39="","",IF(AND('制度詳細'!$J$39&gt;=Y$5,'制度詳細'!$J$39&lt;=EOMONTH(Y$5,0)),"◆","")),IF(MAX('制度詳細'!$H$39,Y$5)&lt;=MIN(IF('制度詳細'!$I$39="",EOMONTH(Y$5,0),'制度詳細'!$I$39),EOMONTH(Y$5,0)),"■",IF(AND('制度詳細'!$J$39&lt;&gt;"",'制度詳細'!$J$39&gt;=Y$5,'制度詳細'!$J$39&lt;=EOMONTH(Y$5,0)),"◆","")))</x:f>
        <x:v>■</x:v>
      </x:c>
      <x:c r="Z39" s="57" t="str">
        <x:f>IF('制度詳細'!$H$39="",IF('制度詳細'!$J$39="","",IF(AND('制度詳細'!$J$39&gt;=Z$5,'制度詳細'!$J$39&lt;=EOMONTH(Z$5,0)),"◆","")),IF(MAX('制度詳細'!$H$39,Z$5)&lt;=MIN(IF('制度詳細'!$I$39="",EOMONTH(Z$5,0),'制度詳細'!$I$39),EOMONTH(Z$5,0)),"■",IF(AND('制度詳細'!$J$39&lt;&gt;"",'制度詳細'!$J$39&gt;=Z$5,'制度詳細'!$J$39&lt;=EOMONTH(Z$5,0)),"◆","")))</x:f>
        <x:v>■</x:v>
      </x:c>
      <x:c r="AA39" s="57" t="str">
        <x:f>IF('制度詳細'!$H$39="",IF('制度詳細'!$J$39="","",IF(AND('制度詳細'!$J$39&gt;=AA$5,'制度詳細'!$J$39&lt;=EOMONTH(AA$5,0)),"◆","")),IF(MAX('制度詳細'!$H$39,AA$5)&lt;=MIN(IF('制度詳細'!$I$39="",EOMONTH(AA$5,0),'制度詳細'!$I$39),EOMONTH(AA$5,0)),"■",IF(AND('制度詳細'!$J$39&lt;&gt;"",'制度詳細'!$J$39&gt;=AA$5,'制度詳細'!$J$39&lt;=EOMONTH(AA$5,0)),"◆","")))</x:f>
        <x:v>■</x:v>
      </x:c>
      <x:c r="AB39" s="57" t="str">
        <x:f>IF('制度詳細'!$H$39="",IF('制度詳細'!$J$39="","",IF(AND('制度詳細'!$J$39&gt;=AB$5,'制度詳細'!$J$39&lt;=EOMONTH(AB$5,0)),"◆","")),IF(MAX('制度詳細'!$H$39,AB$5)&lt;=MIN(IF('制度詳細'!$I$39="",EOMONTH(AB$5,0),'制度詳細'!$I$39),EOMONTH(AB$5,0)),"■",IF(AND('制度詳細'!$J$39&lt;&gt;"",'制度詳細'!$J$39&gt;=AB$5,'制度詳細'!$J$39&lt;=EOMONTH(AB$5,0)),"◆","")))</x:f>
        <x:v>■</x:v>
      </x:c>
      <x:c r="AC39" s="57" t="str">
        <x:f>IF('制度詳細'!$H$39="",IF('制度詳細'!$J$39="","",IF(AND('制度詳細'!$J$39&gt;=AC$5,'制度詳細'!$J$39&lt;=EOMONTH(AC$5,0)),"◆","")),IF(MAX('制度詳細'!$H$39,AC$5)&lt;=MIN(IF('制度詳細'!$I$39="",EOMONTH(AC$5,0),'制度詳細'!$I$39),EOMONTH(AC$5,0)),"■",IF(AND('制度詳細'!$J$39&lt;&gt;"",'制度詳細'!$J$39&gt;=AC$5,'制度詳細'!$J$39&lt;=EOMONTH(AC$5,0)),"◆","")))</x:f>
        <x:v>■</x:v>
      </x:c>
      <x:c r="AD39" s="57" t="str">
        <x:f>IF('制度詳細'!$H$39="",IF('制度詳細'!$J$39="","",IF(AND('制度詳細'!$J$39&gt;=AD$5,'制度詳細'!$J$39&lt;=EOMONTH(AD$5,0)),"◆","")),IF(MAX('制度詳細'!$H$39,AD$5)&lt;=MIN(IF('制度詳細'!$I$39="",EOMONTH(AD$5,0),'制度詳細'!$I$39),EOMONTH(AD$5,0)),"■",IF(AND('制度詳細'!$J$39&lt;&gt;"",'制度詳細'!$J$39&gt;=AD$5,'制度詳細'!$J$39&lt;=EOMONTH(AD$5,0)),"◆","")))</x:f>
        <x:v>■</x:v>
      </x:c>
      <x:c r="AE39" s="57" t="str">
        <x:f>IF('制度詳細'!$H$39="",IF('制度詳細'!$J$39="","",IF(AND('制度詳細'!$J$39&gt;=AE$5,'制度詳細'!$J$39&lt;=EOMONTH(AE$5,0)),"◆","")),IF(MAX('制度詳細'!$H$39,AE$5)&lt;=MIN(IF('制度詳細'!$I$39="",EOMONTH(AE$5,0),'制度詳細'!$I$39),EOMONTH(AE$5,0)),"■",IF(AND('制度詳細'!$J$39&lt;&gt;"",'制度詳細'!$J$39&gt;=AE$5,'制度詳細'!$J$39&lt;=EOMONTH(AE$5,0)),"◆","")))</x:f>
        <x:v>■</x:v>
      </x:c>
      <x:c r="AF39" s="57" t="str">
        <x:f>IF('制度詳細'!$H$39="",IF('制度詳細'!$J$39="","",IF(AND('制度詳細'!$J$39&gt;=AF$5,'制度詳細'!$J$39&lt;=EOMONTH(AF$5,0)),"◆","")),IF(MAX('制度詳細'!$H$39,AF$5)&lt;=MIN(IF('制度詳細'!$I$39="",EOMONTH(AF$5,0),'制度詳細'!$I$39),EOMONTH(AF$5,0)),"■",IF(AND('制度詳細'!$J$39&lt;&gt;"",'制度詳細'!$J$39&gt;=AF$5,'制度詳細'!$J$39&lt;=EOMONTH(AF$5,0)),"◆","")))</x:f>
        <x:v>■</x:v>
      </x:c>
      <x:c r="AG39" s="57" t="str">
        <x:f>IF('制度詳細'!$H$39="",IF('制度詳細'!$J$39="","",IF(AND('制度詳細'!$J$39&gt;=AG$5,'制度詳細'!$J$39&lt;=EOMONTH(AG$5,0)),"◆","")),IF(MAX('制度詳細'!$H$39,AG$5)&lt;=MIN(IF('制度詳細'!$I$39="",EOMONTH(AG$5,0),'制度詳細'!$I$39),EOMONTH(AG$5,0)),"■",IF(AND('制度詳細'!$J$39&lt;&gt;"",'制度詳細'!$J$39&gt;=AG$5,'制度詳細'!$J$39&lt;=EOMONTH(AG$5,0)),"◆","")))</x:f>
        <x:v>■</x:v>
      </x:c>
      <x:c r="AH39" s="57" t="str">
        <x:f>IF('制度詳細'!$H$39="",IF('制度詳細'!$J$39="","",IF(AND('制度詳細'!$J$39&gt;=AH$5,'制度詳細'!$J$39&lt;=EOMONTH(AH$5,0)),"◆","")),IF(MAX('制度詳細'!$H$39,AH$5)&lt;=MIN(IF('制度詳細'!$I$39="",EOMONTH(AH$5,0),'制度詳細'!$I$39),EOMONTH(AH$5,0)),"■",IF(AND('制度詳細'!$J$39&lt;&gt;"",'制度詳細'!$J$39&gt;=AH$5,'制度詳細'!$J$39&lt;=EOMONTH(AH$5,0)),"◆","")))</x:f>
        <x:v>■</x:v>
      </x:c>
      <x:c r="AI39" s="57" t="str">
        <x:f>IF('制度詳細'!$H$39="",IF('制度詳細'!$J$39="","",IF(AND('制度詳細'!$J$39&gt;=AI$5,'制度詳細'!$J$39&lt;=EOMONTH(AI$5,0)),"◆","")),IF(MAX('制度詳細'!$H$39,AI$5)&lt;=MIN(IF('制度詳細'!$I$39="",EOMONTH(AI$5,0),'制度詳細'!$I$39),EOMONTH(AI$5,0)),"■",IF(AND('制度詳細'!$J$39&lt;&gt;"",'制度詳細'!$J$39&gt;=AI$5,'制度詳細'!$J$39&lt;=EOMONTH(AI$5,0)),"◆","")))</x:f>
        <x:v>■</x:v>
      </x:c>
      <x:c r="AJ39" s="57" t="str">
        <x:f>IF('制度詳細'!$H$39="",IF('制度詳細'!$J$39="","",IF(AND('制度詳細'!$J$39&gt;=AJ$5,'制度詳細'!$J$39&lt;=EOMONTH(AJ$5,0)),"◆","")),IF(MAX('制度詳細'!$H$39,AJ$5)&lt;=MIN(IF('制度詳細'!$I$39="",EOMONTH(AJ$5,0),'制度詳細'!$I$39),EOMONTH(AJ$5,0)),"■",IF(AND('制度詳細'!$J$39&lt;&gt;"",'制度詳細'!$J$39&gt;=AJ$5,'制度詳細'!$J$39&lt;=EOMONTH(AJ$5,0)),"◆","")))</x:f>
        <x:v>■</x:v>
      </x:c>
      <x:c r="AK39" s="57" t="str">
        <x:f>IF('制度詳細'!$H$39="",IF('制度詳細'!$J$39="","",IF(AND('制度詳細'!$J$39&gt;=AK$5,'制度詳細'!$J$39&lt;=EOMONTH(AK$5,0)),"◆","")),IF(MAX('制度詳細'!$H$39,AK$5)&lt;=MIN(IF('制度詳細'!$I$39="",EOMONTH(AK$5,0),'制度詳細'!$I$39),EOMONTH(AK$5,0)),"■",IF(AND('制度詳細'!$J$39&lt;&gt;"",'制度詳細'!$J$39&gt;=AK$5,'制度詳細'!$J$39&lt;=EOMONTH(AK$5,0)),"◆","")))</x:f>
        <x:v>■</x:v>
      </x:c>
      <x:c r="AL39" s="57" t="str">
        <x:f>IF('制度詳細'!$H$39="",IF('制度詳細'!$J$39="","",IF(AND('制度詳細'!$J$39&gt;=AL$5,'制度詳細'!$J$39&lt;=EOMONTH(AL$5,0)),"◆","")),IF(MAX('制度詳細'!$H$39,AL$5)&lt;=MIN(IF('制度詳細'!$I$39="",EOMONTH(AL$5,0),'制度詳細'!$I$39),EOMONTH(AL$5,0)),"■",IF(AND('制度詳細'!$J$39&lt;&gt;"",'制度詳細'!$J$39&gt;=AL$5,'制度詳細'!$J$39&lt;=EOMONTH(AL$5,0)),"◆","")))</x:f>
        <x:v>■</x:v>
      </x:c>
      <x:c r="AM39" s="57" t="str">
        <x:f>IF('制度詳細'!$H$39="",IF('制度詳細'!$J$39="","",IF(AND('制度詳細'!$J$39&gt;=AM$5,'制度詳細'!$J$39&lt;=EOMONTH(AM$5,0)),"◆","")),IF(MAX('制度詳細'!$H$39,AM$5)&lt;=MIN(IF('制度詳細'!$I$39="",EOMONTH(AM$5,0),'制度詳細'!$I$39),EOMONTH(AM$5,0)),"■",IF(AND('制度詳細'!$J$39&lt;&gt;"",'制度詳細'!$J$39&gt;=AM$5,'制度詳細'!$J$39&lt;=EOMONTH(AM$5,0)),"◆","")))</x:f>
        <x:v>■</x:v>
      </x:c>
      <x:c r="AN39" s="57" t="str">
        <x:f>IF('制度詳細'!$H$39="",IF('制度詳細'!$J$39="","",IF(AND('制度詳細'!$J$39&gt;=AN$5,'制度詳細'!$J$39&lt;=EOMONTH(AN$5,0)),"◆","")),IF(MAX('制度詳細'!$H$39,AN$5)&lt;=MIN(IF('制度詳細'!$I$39="",EOMONTH(AN$5,0),'制度詳細'!$I$39),EOMONTH(AN$5,0)),"■",IF(AND('制度詳細'!$J$39&lt;&gt;"",'制度詳細'!$J$39&gt;=AN$5,'制度詳細'!$J$39&lt;=EOMONTH(AN$5,0)),"◆","")))</x:f>
        <x:v>■</x:v>
      </x:c>
      <x:c r="AO39" s="57" t="str">
        <x:f>IF('制度詳細'!$H$39="",IF('制度詳細'!$J$39="","",IF(AND('制度詳細'!$J$39&gt;=AO$5,'制度詳細'!$J$39&lt;=EOMONTH(AO$5,0)),"◆","")),IF(MAX('制度詳細'!$H$39,AO$5)&lt;=MIN(IF('制度詳細'!$I$39="",EOMONTH(AO$5,0),'制度詳細'!$I$39),EOMONTH(AO$5,0)),"■",IF(AND('制度詳細'!$J$39&lt;&gt;"",'制度詳細'!$J$39&gt;=AO$5,'制度詳細'!$J$39&lt;=EOMONTH(AO$5,0)),"◆","")))</x:f>
        <x:v>■</x:v>
      </x:c>
      <x:c r="AP39" s="57" t="str">
        <x:f>IF('制度詳細'!$H$39="",IF('制度詳細'!$J$39="","",IF(AND('制度詳細'!$J$39&gt;=AP$5,'制度詳細'!$J$39&lt;=EOMONTH(AP$5,0)),"◆","")),IF(MAX('制度詳細'!$H$39,AP$5)&lt;=MIN(IF('制度詳細'!$I$39="",EOMONTH(AP$5,0),'制度詳細'!$I$39),EOMONTH(AP$5,0)),"■",IF(AND('制度詳細'!$J$39&lt;&gt;"",'制度詳細'!$J$39&gt;=AP$5,'制度詳細'!$J$39&lt;=EOMONTH(AP$5,0)),"◆","")))</x:f>
        <x:v>■</x:v>
      </x:c>
      <x:c r="AQ39" s="57" t="str">
        <x:f>IF('制度詳細'!$H$39="",IF('制度詳細'!$J$39="","",IF(AND('制度詳細'!$J$39&gt;=AQ$5,'制度詳細'!$J$39&lt;=EOMONTH(AQ$5,0)),"◆","")),IF(MAX('制度詳細'!$H$39,AQ$5)&lt;=MIN(IF('制度詳細'!$I$39="",EOMONTH(AQ$5,0),'制度詳細'!$I$39),EOMONTH(AQ$5,0)),"■",IF(AND('制度詳細'!$J$39&lt;&gt;"",'制度詳細'!$J$39&gt;=AQ$5,'制度詳細'!$J$39&lt;=EOMONTH(AQ$5,0)),"◆","")))</x:f>
        <x:v>■</x:v>
      </x:c>
      <x:c r="AR39" s="57" t="str">
        <x:f>IF('制度詳細'!$H$39="",IF('制度詳細'!$J$39="","",IF(AND('制度詳細'!$J$39&gt;=AR$5,'制度詳細'!$J$39&lt;=EOMONTH(AR$5,0)),"◆","")),IF(MAX('制度詳細'!$H$39,AR$5)&lt;=MIN(IF('制度詳細'!$I$39="",EOMONTH(AR$5,0),'制度詳細'!$I$39),EOMONTH(AR$5,0)),"■",IF(AND('制度詳細'!$J$39&lt;&gt;"",'制度詳細'!$J$39&gt;=AR$5,'制度詳細'!$J$39&lt;=EOMONTH(AR$5,0)),"◆","")))</x:f>
        <x:v>■</x:v>
      </x:c>
      <x:c r="AS39" s="57" t="str">
        <x:f>IF('制度詳細'!$H$39="",IF('制度詳細'!$J$39="","",IF(AND('制度詳細'!$J$39&gt;=AS$5,'制度詳細'!$J$39&lt;=EOMONTH(AS$5,0)),"◆","")),IF(MAX('制度詳細'!$H$39,AS$5)&lt;=MIN(IF('制度詳細'!$I$39="",EOMONTH(AS$5,0),'制度詳細'!$I$39),EOMONTH(AS$5,0)),"■",IF(AND('制度詳細'!$J$39&lt;&gt;"",'制度詳細'!$J$39&gt;=AS$5,'制度詳細'!$J$39&lt;=EOMONTH(AS$5,0)),"◆","")))</x:f>
        <x:v>■</x:v>
      </x:c>
      <x:c r="AT39" s="57" t="str">
        <x:f>IF('制度詳細'!$H$39="",IF('制度詳細'!$J$39="","",IF(AND('制度詳細'!$J$39&gt;=AT$5,'制度詳細'!$J$39&lt;=EOMONTH(AT$5,0)),"◆","")),IF(MAX('制度詳細'!$H$39,AT$5)&lt;=MIN(IF('制度詳細'!$I$39="",EOMONTH(AT$5,0),'制度詳細'!$I$39),EOMONTH(AT$5,0)),"■",IF(AND('制度詳細'!$J$39&lt;&gt;"",'制度詳細'!$J$39&gt;=AT$5,'制度詳細'!$J$39&lt;=EOMONTH(AT$5,0)),"◆","")))</x:f>
        <x:v>■</x:v>
      </x:c>
      <x:c r="AU39" s="57" t="str">
        <x:f>IF('制度詳細'!$H$39="",IF('制度詳細'!$J$39="","",IF(AND('制度詳細'!$J$39&gt;=AU$5,'制度詳細'!$J$39&lt;=EOMONTH(AU$5,0)),"◆","")),IF(MAX('制度詳細'!$H$39,AU$5)&lt;=MIN(IF('制度詳細'!$I$39="",EOMONTH(AU$5,0),'制度詳細'!$I$39),EOMONTH(AU$5,0)),"■",IF(AND('制度詳細'!$J$39&lt;&gt;"",'制度詳細'!$J$39&gt;=AU$5,'制度詳細'!$J$39&lt;=EOMONTH(AU$5,0)),"◆","")))</x:f>
        <x:v>■</x:v>
      </x:c>
      <x:c r="AV39" s="57" t="str">
        <x:f>IF('制度詳細'!$H$39="",IF('制度詳細'!$J$39="","",IF(AND('制度詳細'!$J$39&gt;=AV$5,'制度詳細'!$J$39&lt;=EOMONTH(AV$5,0)),"◆","")),IF(MAX('制度詳細'!$H$39,AV$5)&lt;=MIN(IF('制度詳細'!$I$39="",EOMONTH(AV$5,0),'制度詳細'!$I$39),EOMONTH(AV$5,0)),"■",IF(AND('制度詳細'!$J$39&lt;&gt;"",'制度詳細'!$J$39&gt;=AV$5,'制度詳細'!$J$39&lt;=EOMONTH(AV$5,0)),"◆","")))</x:f>
        <x:v>■</x:v>
      </x:c>
      <x:c r="AW39" s="57" t="str">
        <x:f>IF('制度詳細'!$H$39="",IF('制度詳細'!$J$39="","",IF(AND('制度詳細'!$J$39&gt;=AW$5,'制度詳細'!$J$39&lt;=EOMONTH(AW$5,0)),"◆","")),IF(MAX('制度詳細'!$H$39,AW$5)&lt;=MIN(IF('制度詳細'!$I$39="",EOMONTH(AW$5,0),'制度詳細'!$I$39),EOMONTH(AW$5,0)),"■",IF(AND('制度詳細'!$J$39&lt;&gt;"",'制度詳細'!$J$39&gt;=AW$5,'制度詳細'!$J$39&lt;=EOMONTH(AW$5,0)),"◆","")))</x:f>
        <x:v>■</x:v>
      </x:c>
      <x:c r="AX39" s="57" t="str">
        <x:f>IF('制度詳細'!$H$39="",IF('制度詳細'!$J$39="","",IF(AND('制度詳細'!$J$39&gt;=AX$5,'制度詳細'!$J$39&lt;=EOMONTH(AX$5,0)),"◆","")),IF(MAX('制度詳細'!$H$39,AX$5)&lt;=MIN(IF('制度詳細'!$I$39="",EOMONTH(AX$5,0),'制度詳細'!$I$39),EOMONTH(AX$5,0)),"■",IF(AND('制度詳細'!$J$39&lt;&gt;"",'制度詳細'!$J$39&gt;=AX$5,'制度詳細'!$J$39&lt;=EOMONTH(AX$5,0)),"◆","")))</x:f>
        <x:v>■</x:v>
      </x:c>
      <x:c r="AY39" s="57" t="str">
        <x:f>IF('制度詳細'!$H$39="",IF('制度詳細'!$J$39="","",IF(AND('制度詳細'!$J$39&gt;=AY$5,'制度詳細'!$J$39&lt;=EOMONTH(AY$5,0)),"◆","")),IF(MAX('制度詳細'!$H$39,AY$5)&lt;=MIN(IF('制度詳細'!$I$39="",EOMONTH(AY$5,0),'制度詳細'!$I$39),EOMONTH(AY$5,0)),"■",IF(AND('制度詳細'!$J$39&lt;&gt;"",'制度詳細'!$J$39&gt;=AY$5,'制度詳細'!$J$39&lt;=EOMONTH(AY$5,0)),"◆","")))</x:f>
        <x:v>■</x:v>
      </x:c>
      <x:c r="AZ39" s="57" t="str">
        <x:f>IF('制度詳細'!$H$39="",IF('制度詳細'!$J$39="","",IF(AND('制度詳細'!$J$39&gt;=AZ$5,'制度詳細'!$J$39&lt;=EOMONTH(AZ$5,0)),"◆","")),IF(MAX('制度詳細'!$H$39,AZ$5)&lt;=MIN(IF('制度詳細'!$I$39="",EOMONTH(AZ$5,0),'制度詳細'!$I$39),EOMONTH(AZ$5,0)),"■",IF(AND('制度詳細'!$J$39&lt;&gt;"",'制度詳細'!$J$39&gt;=AZ$5,'制度詳細'!$J$39&lt;=EOMONTH(AZ$5,0)),"◆","")))</x:f>
        <x:v>■</x:v>
      </x:c>
      <x:c r="BA39" s="57" t="str">
        <x:f>IF('制度詳細'!$H$39="",IF('制度詳細'!$J$39="","",IF(AND('制度詳細'!$J$39&gt;=BA$5,'制度詳細'!$J$39&lt;=EOMONTH(BA$5,0)),"◆","")),IF(MAX('制度詳細'!$H$39,BA$5)&lt;=MIN(IF('制度詳細'!$I$39="",EOMONTH(BA$5,0),'制度詳細'!$I$39),EOMONTH(BA$5,0)),"■",IF(AND('制度詳細'!$J$39&lt;&gt;"",'制度詳細'!$J$39&gt;=BA$5,'制度詳細'!$J$39&lt;=EOMONTH(BA$5,0)),"◆","")))</x:f>
        <x:v>■</x:v>
      </x:c>
      <x:c r="BB39" s="57" t="str">
        <x:f>IF('制度詳細'!$H$39="",IF('制度詳細'!$J$39="","",IF(AND('制度詳細'!$J$39&gt;=BB$5,'制度詳細'!$J$39&lt;=EOMONTH(BB$5,0)),"◆","")),IF(MAX('制度詳細'!$H$39,BB$5)&lt;=MIN(IF('制度詳細'!$I$39="",EOMONTH(BB$5,0),'制度詳細'!$I$39),EOMONTH(BB$5,0)),"■",IF(AND('制度詳細'!$J$39&lt;&gt;"",'制度詳細'!$J$39&gt;=BB$5,'制度詳細'!$J$39&lt;=EOMONTH(BB$5,0)),"◆","")))</x:f>
        <x:v>■</x:v>
      </x:c>
      <x:c r="BC39" s="57" t="str">
        <x:f>IF('制度詳細'!$H$39="",IF('制度詳細'!$J$39="","",IF(AND('制度詳細'!$J$39&gt;=BC$5,'制度詳細'!$J$39&lt;=EOMONTH(BC$5,0)),"◆","")),IF(MAX('制度詳細'!$H$39,BC$5)&lt;=MIN(IF('制度詳細'!$I$39="",EOMONTH(BC$5,0),'制度詳細'!$I$39),EOMONTH(BC$5,0)),"■",IF(AND('制度詳細'!$J$39&lt;&gt;"",'制度詳細'!$J$39&gt;=BC$5,'制度詳細'!$J$39&lt;=EOMONTH(BC$5,0)),"◆","")))</x:f>
        <x:v>■</x:v>
      </x:c>
      <x:c r="BD39" s="57" t="str">
        <x:f>IF('制度詳細'!$H$39="",IF('制度詳細'!$J$39="","",IF(AND('制度詳細'!$J$39&gt;=BD$5,'制度詳細'!$J$39&lt;=EOMONTH(BD$5,0)),"◆","")),IF(MAX('制度詳細'!$H$39,BD$5)&lt;=MIN(IF('制度詳細'!$I$39="",EOMONTH(BD$5,0),'制度詳細'!$I$39),EOMONTH(BD$5,0)),"■",IF(AND('制度詳細'!$J$39&lt;&gt;"",'制度詳細'!$J$39&gt;=BD$5,'制度詳細'!$J$39&lt;=EOMONTH(BD$5,0)),"◆","")))</x:f>
        <x:v>■</x:v>
      </x:c>
      <x:c r="BE39" s="57" t="str">
        <x:f>IF('制度詳細'!$H$39="",IF('制度詳細'!$J$39="","",IF(AND('制度詳細'!$J$39&gt;=BE$5,'制度詳細'!$J$39&lt;=EOMONTH(BE$5,0)),"◆","")),IF(MAX('制度詳細'!$H$39,BE$5)&lt;=MIN(IF('制度詳細'!$I$39="",EOMONTH(BE$5,0),'制度詳細'!$I$39),EOMONTH(BE$5,0)),"■",IF(AND('制度詳細'!$J$39&lt;&gt;"",'制度詳細'!$J$39&gt;=BE$5,'制度詳細'!$J$39&lt;=EOMONTH(BE$5,0)),"◆","")))</x:f>
        <x:v>■</x:v>
      </x:c>
      <x:c r="BF39" s="57" t="str">
        <x:f>IF('制度詳細'!$H$39="",IF('制度詳細'!$J$39="","",IF(AND('制度詳細'!$J$39&gt;=BF$5,'制度詳細'!$J$39&lt;=EOMONTH(BF$5,0)),"◆","")),IF(MAX('制度詳細'!$H$39,BF$5)&lt;=MIN(IF('制度詳細'!$I$39="",EOMONTH(BF$5,0),'制度詳細'!$I$39),EOMONTH(BF$5,0)),"■",IF(AND('制度詳細'!$J$39&lt;&gt;"",'制度詳細'!$J$39&gt;=BF$5,'制度詳細'!$J$39&lt;=EOMONTH(BF$5,0)),"◆","")))</x:f>
        <x:v>■</x:v>
      </x:c>
      <x:c r="BG39" s="57" t="str">
        <x:f>IF('制度詳細'!$H$39="",IF('制度詳細'!$J$39="","",IF(AND('制度詳細'!$J$39&gt;=BG$5,'制度詳細'!$J$39&lt;=EOMONTH(BG$5,0)),"◆","")),IF(MAX('制度詳細'!$H$39,BG$5)&lt;=MIN(IF('制度詳細'!$I$39="",EOMONTH(BG$5,0),'制度詳細'!$I$39),EOMONTH(BG$5,0)),"■",IF(AND('制度詳細'!$J$39&lt;&gt;"",'制度詳細'!$J$39&gt;=BG$5,'制度詳細'!$J$39&lt;=EOMONTH(BG$5,0)),"◆","")))</x:f>
        <x:v>■</x:v>
      </x:c>
      <x:c r="BH39" s="57" t="str">
        <x:f>IF('制度詳細'!$H$39="",IF('制度詳細'!$J$39="","",IF(AND('制度詳細'!$J$39&gt;=BH$5,'制度詳細'!$J$39&lt;=EOMONTH(BH$5,0)),"◆","")),IF(MAX('制度詳細'!$H$39,BH$5)&lt;=MIN(IF('制度詳細'!$I$39="",EOMONTH(BH$5,0),'制度詳細'!$I$39),EOMONTH(BH$5,0)),"■",IF(AND('制度詳細'!$J$39&lt;&gt;"",'制度詳細'!$J$39&gt;=BH$5,'制度詳細'!$J$39&lt;=EOMONTH(BH$5,0)),"◆","")))</x:f>
        <x:v>■</x:v>
      </x:c>
      <x:c r="BI39" s="57" t="str">
        <x:f>IF('制度詳細'!$H$39="",IF('制度詳細'!$J$39="","",IF(AND('制度詳細'!$J$39&gt;=BI$5,'制度詳細'!$J$39&lt;=EOMONTH(BI$5,0)),"◆","")),IF(MAX('制度詳細'!$H$39,BI$5)&lt;=MIN(IF('制度詳細'!$I$39="",EOMONTH(BI$5,0),'制度詳細'!$I$39),EOMONTH(BI$5,0)),"■",IF(AND('制度詳細'!$J$39&lt;&gt;"",'制度詳細'!$J$39&gt;=BI$5,'制度詳細'!$J$39&lt;=EOMONTH(BI$5,0)),"◆","")))</x:f>
        <x:v>■</x:v>
      </x:c>
      <x:c r="BJ39" s="57" t="str">
        <x:f>IF('制度詳細'!$H$39="",IF('制度詳細'!$J$39="","",IF(AND('制度詳細'!$J$39&gt;=BJ$5,'制度詳細'!$J$39&lt;=EOMONTH(BJ$5,0)),"◆","")),IF(MAX('制度詳細'!$H$39,BJ$5)&lt;=MIN(IF('制度詳細'!$I$39="",EOMONTH(BJ$5,0),'制度詳細'!$I$39),EOMONTH(BJ$5,0)),"■",IF(AND('制度詳細'!$J$39&lt;&gt;"",'制度詳細'!$J$39&gt;=BJ$5,'制度詳細'!$J$39&lt;=EOMONTH(BJ$5,0)),"◆","")))</x:f>
        <x:v>■</x:v>
      </x:c>
      <x:c r="BK39" s="57" t="str">
        <x:f>IF('制度詳細'!$H$39="",IF('制度詳細'!$J$39="","",IF(AND('制度詳細'!$J$39&gt;=BK$5,'制度詳細'!$J$39&lt;=EOMONTH(BK$5,0)),"◆","")),IF(MAX('制度詳細'!$H$39,BK$5)&lt;=MIN(IF('制度詳細'!$I$39="",EOMONTH(BK$5,0),'制度詳細'!$I$39),EOMONTH(BK$5,0)),"■",IF(AND('制度詳細'!$J$39&lt;&gt;"",'制度詳細'!$J$39&gt;=BK$5,'制度詳細'!$J$39&lt;=EOMONTH(BK$5,0)),"◆","")))</x:f>
        <x:v>■</x:v>
      </x:c>
      <x:c r="BL39" s="57" t="str">
        <x:f>IF('制度詳細'!$H$39="",IF('制度詳細'!$J$39="","",IF(AND('制度詳細'!$J$39&gt;=BL$5,'制度詳細'!$J$39&lt;=EOMONTH(BL$5,0)),"◆","")),IF(MAX('制度詳細'!$H$39,BL$5)&lt;=MIN(IF('制度詳細'!$I$39="",EOMONTH(BL$5,0),'制度詳細'!$I$39),EOMONTH(BL$5,0)),"■",IF(AND('制度詳細'!$J$39&lt;&gt;"",'制度詳細'!$J$39&gt;=BL$5,'制度詳細'!$J$39&lt;=EOMONTH(BL$5,0)),"◆","")))</x:f>
        <x:v>■</x:v>
      </x:c>
      <x:c r="BM39" s="57" t="str">
        <x:f>IF('制度詳細'!$H$39="",IF('制度詳細'!$J$39="","",IF(AND('制度詳細'!$J$39&gt;=BM$5,'制度詳細'!$J$39&lt;=EOMONTH(BM$5,0)),"◆","")),IF(MAX('制度詳細'!$H$39,BM$5)&lt;=MIN(IF('制度詳細'!$I$39="",EOMONTH(BM$5,0),'制度詳細'!$I$39),EOMONTH(BM$5,0)),"■",IF(AND('制度詳細'!$J$39&lt;&gt;"",'制度詳細'!$J$39&gt;=BM$5,'制度詳細'!$J$39&lt;=EOMONTH(BM$5,0)),"◆","")))</x:f>
        <x:v>■</x:v>
      </x:c>
      <x:c r="BN39" s="57" t="str">
        <x:f>IF('制度詳細'!$H$39="",IF('制度詳細'!$J$39="","",IF(AND('制度詳細'!$J$39&gt;=BN$5,'制度詳細'!$J$39&lt;=EOMONTH(BN$5,0)),"◆","")),IF(MAX('制度詳細'!$H$39,BN$5)&lt;=MIN(IF('制度詳細'!$I$39="",EOMONTH(BN$5,0),'制度詳細'!$I$39),EOMONTH(BN$5,0)),"■",IF(AND('制度詳細'!$J$39&lt;&gt;"",'制度詳細'!$J$39&gt;=BN$5,'制度詳細'!$J$39&lt;=EOMONTH(BN$5,0)),"◆","")))</x:f>
        <x:v>■</x:v>
      </x:c>
      <x:c r="BO39" s="57" t="str">
        <x:f>IF('制度詳細'!$H$39="",IF('制度詳細'!$J$39="","",IF(AND('制度詳細'!$J$39&gt;=BO$5,'制度詳細'!$J$39&lt;=EOMONTH(BO$5,0)),"◆","")),IF(MAX('制度詳細'!$H$39,BO$5)&lt;=MIN(IF('制度詳細'!$I$39="",EOMONTH(BO$5,0),'制度詳細'!$I$39),EOMONTH(BO$5,0)),"■",IF(AND('制度詳細'!$J$39&lt;&gt;"",'制度詳細'!$J$39&gt;=BO$5,'制度詳細'!$J$39&lt;=EOMONTH(BO$5,0)),"◆","")))</x:f>
        <x:v>■</x:v>
      </x:c>
      <x:c r="BP39" s="57" t="str">
        <x:f>IF('制度詳細'!$H$39="",IF('制度詳細'!$J$39="","",IF(AND('制度詳細'!$J$39&gt;=BP$5,'制度詳細'!$J$39&lt;=EOMONTH(BP$5,0)),"◆","")),IF(MAX('制度詳細'!$H$39,BP$5)&lt;=MIN(IF('制度詳細'!$I$39="",EOMONTH(BP$5,0),'制度詳細'!$I$39),EOMONTH(BP$5,0)),"■",IF(AND('制度詳細'!$J$39&lt;&gt;"",'制度詳細'!$J$39&gt;=BP$5,'制度詳細'!$J$39&lt;=EOMONTH(BP$5,0)),"◆","")))</x:f>
        <x:v>■</x:v>
      </x:c>
      <x:c r="BQ39" s="57" t="str">
        <x:f>IF('制度詳細'!$H$39="",IF('制度詳細'!$J$39="","",IF(AND('制度詳細'!$J$39&gt;=BQ$5,'制度詳細'!$J$39&lt;=EOMONTH(BQ$5,0)),"◆","")),IF(MAX('制度詳細'!$H$39,BQ$5)&lt;=MIN(IF('制度詳細'!$I$39="",EOMONTH(BQ$5,0),'制度詳細'!$I$39),EOMONTH(BQ$5,0)),"■",IF(AND('制度詳細'!$J$39&lt;&gt;"",'制度詳細'!$J$39&gt;=BQ$5,'制度詳細'!$J$39&lt;=EOMONTH(BQ$5,0)),"◆","")))</x:f>
        <x:v>■</x:v>
      </x:c>
      <x:c r="BR39" s="57" t="str">
        <x:f>IF('制度詳細'!$H$39="",IF('制度詳細'!$J$39="","",IF(AND('制度詳細'!$J$39&gt;=BR$5,'制度詳細'!$J$39&lt;=EOMONTH(BR$5,0)),"◆","")),IF(MAX('制度詳細'!$H$39,BR$5)&lt;=MIN(IF('制度詳細'!$I$39="",EOMONTH(BR$5,0),'制度詳細'!$I$39),EOMONTH(BR$5,0)),"■",IF(AND('制度詳細'!$J$39&lt;&gt;"",'制度詳細'!$J$39&gt;=BR$5,'制度詳細'!$J$39&lt;=EOMONTH(BR$5,0)),"◆","")))</x:f>
        <x:v>■</x:v>
      </x:c>
      <x:c r="BS39" s="57" t="str">
        <x:f>IF('制度詳細'!$H$39="",IF('制度詳細'!$J$39="","",IF(AND('制度詳細'!$J$39&gt;=BS$5,'制度詳細'!$J$39&lt;=EOMONTH(BS$5,0)),"◆","")),IF(MAX('制度詳細'!$H$39,BS$5)&lt;=MIN(IF('制度詳細'!$I$39="",EOMONTH(BS$5,0),'制度詳細'!$I$39),EOMONTH(BS$5,0)),"■",IF(AND('制度詳細'!$J$39&lt;&gt;"",'制度詳細'!$J$39&gt;=BS$5,'制度詳細'!$J$39&lt;=EOMONTH(BS$5,0)),"◆","")))</x:f>
        <x:v>■</x:v>
      </x:c>
      <x:c r="BT39" s="57" t="str">
        <x:f>IF('制度詳細'!$H$39="",IF('制度詳細'!$J$39="","",IF(AND('制度詳細'!$J$39&gt;=BT$5,'制度詳細'!$J$39&lt;=EOMONTH(BT$5,0)),"◆","")),IF(MAX('制度詳細'!$H$39,BT$5)&lt;=MIN(IF('制度詳細'!$I$39="",EOMONTH(BT$5,0),'制度詳細'!$I$39),EOMONTH(BT$5,0)),"■",IF(AND('制度詳細'!$J$39&lt;&gt;"",'制度詳細'!$J$39&gt;=BT$5,'制度詳細'!$J$39&lt;=EOMONTH(BT$5,0)),"◆","")))</x:f>
        <x:v>■</x:v>
      </x:c>
      <x:c r="BU39" s="57" t="str">
        <x:f>IF('制度詳細'!$H$39="",IF('制度詳細'!$J$39="","",IF(AND('制度詳細'!$J$39&gt;=BU$5,'制度詳細'!$J$39&lt;=EOMONTH(BU$5,0)),"◆","")),IF(MAX('制度詳細'!$H$39,BU$5)&lt;=MIN(IF('制度詳細'!$I$39="",EOMONTH(BU$5,0),'制度詳細'!$I$39),EOMONTH(BU$5,0)),"■",IF(AND('制度詳細'!$J$39&lt;&gt;"",'制度詳細'!$J$39&gt;=BU$5,'制度詳細'!$J$39&lt;=EOMONTH(BU$5,0)),"◆","")))</x:f>
        <x:v>■</x:v>
      </x:c>
      <x:c r="BV39" s="57" t="str">
        <x:f>IF('制度詳細'!$H$39="",IF('制度詳細'!$J$39="","",IF(AND('制度詳細'!$J$39&gt;=BV$5,'制度詳細'!$J$39&lt;=EOMONTH(BV$5,0)),"◆","")),IF(MAX('制度詳細'!$H$39,BV$5)&lt;=MIN(IF('制度詳細'!$I$39="",EOMONTH(BV$5,0),'制度詳細'!$I$39),EOMONTH(BV$5,0)),"■",IF(AND('制度詳細'!$J$39&lt;&gt;"",'制度詳細'!$J$39&gt;=BV$5,'制度詳細'!$J$39&lt;=EOMONTH(BV$5,0)),"◆","")))</x:f>
        <x:v>■</x:v>
      </x:c>
      <x:c r="BW39" s="57" t="str">
        <x:f>IF('制度詳細'!$H$39="",IF('制度詳細'!$J$39="","",IF(AND('制度詳細'!$J$39&gt;=BW$5,'制度詳細'!$J$39&lt;=EOMONTH(BW$5,0)),"◆","")),IF(MAX('制度詳細'!$H$39,BW$5)&lt;=MIN(IF('制度詳細'!$I$39="",EOMONTH(BW$5,0),'制度詳細'!$I$39),EOMONTH(BW$5,0)),"■",IF(AND('制度詳細'!$J$39&lt;&gt;"",'制度詳細'!$J$39&gt;=BW$5,'制度詳細'!$J$39&lt;=EOMONTH(BW$5,0)),"◆","")))</x:f>
        <x:v>■</x:v>
      </x:c>
      <x:c r="BX39" s="57" t="str">
        <x:f>IF('制度詳細'!$H$39="",IF('制度詳細'!$J$39="","",IF(AND('制度詳細'!$J$39&gt;=BX$5,'制度詳細'!$J$39&lt;=EOMONTH(BX$5,0)),"◆","")),IF(MAX('制度詳細'!$H$39,BX$5)&lt;=MIN(IF('制度詳細'!$I$39="",EOMONTH(BX$5,0),'制度詳細'!$I$39),EOMONTH(BX$5,0)),"■",IF(AND('制度詳細'!$J$39&lt;&gt;"",'制度詳細'!$J$39&gt;=BX$5,'制度詳細'!$J$39&lt;=EOMONTH(BX$5,0)),"◆","")))</x:f>
        <x:v>■</x:v>
      </x:c>
      <x:c r="BY39" s="57" t="str">
        <x:f>IF('制度詳細'!$H$39="",IF('制度詳細'!$J$39="","",IF(AND('制度詳細'!$J$39&gt;=BY$5,'制度詳細'!$J$39&lt;=EOMONTH(BY$5,0)),"◆","")),IF(MAX('制度詳細'!$H$39,BY$5)&lt;=MIN(IF('制度詳細'!$I$39="",EOMONTH(BY$5,0),'制度詳細'!$I$39),EOMONTH(BY$5,0)),"■",IF(AND('制度詳細'!$J$39&lt;&gt;"",'制度詳細'!$J$39&gt;=BY$5,'制度詳細'!$J$39&lt;=EOMONTH(BY$5,0)),"◆","")))</x:f>
        <x:v>■</x:v>
      </x:c>
      <x:c r="BZ39" s="57" t="str">
        <x:f>IF('制度詳細'!$H$39="",IF('制度詳細'!$J$39="","",IF(AND('制度詳細'!$J$39&gt;=BZ$5,'制度詳細'!$J$39&lt;=EOMONTH(BZ$5,0)),"◆","")),IF(MAX('制度詳細'!$H$39,BZ$5)&lt;=MIN(IF('制度詳細'!$I$39="",EOMONTH(BZ$5,0),'制度詳細'!$I$39),EOMONTH(BZ$5,0)),"■",IF(AND('制度詳細'!$J$39&lt;&gt;"",'制度詳細'!$J$39&gt;=BZ$5,'制度詳細'!$J$39&lt;=EOMONTH(BZ$5,0)),"◆","")))</x:f>
        <x:v>■</x:v>
      </x:c>
      <x:c r="CA39" s="57" t="str">
        <x:f>IF('制度詳細'!$H$39="",IF('制度詳細'!$J$39="","",IF(AND('制度詳細'!$J$39&gt;=CA$5,'制度詳細'!$J$39&lt;=EOMONTH(CA$5,0)),"◆","")),IF(MAX('制度詳細'!$H$39,CA$5)&lt;=MIN(IF('制度詳細'!$I$39="",EOMONTH(CA$5,0),'制度詳細'!$I$39),EOMONTH(CA$5,0)),"■",IF(AND('制度詳細'!$J$39&lt;&gt;"",'制度詳細'!$J$39&gt;=CA$5,'制度詳細'!$J$39&lt;=EOMONTH(CA$5,0)),"◆","")))</x:f>
        <x:v>■</x:v>
      </x:c>
      <x:c r="CB39" s="57" t="str">
        <x:f>IF('制度詳細'!$H$39="",IF('制度詳細'!$J$39="","",IF(AND('制度詳細'!$J$39&gt;=CB$5,'制度詳細'!$J$39&lt;=EOMONTH(CB$5,0)),"◆","")),IF(MAX('制度詳細'!$H$39,CB$5)&lt;=MIN(IF('制度詳細'!$I$39="",EOMONTH(CB$5,0),'制度詳細'!$I$39),EOMONTH(CB$5,0)),"■",IF(AND('制度詳細'!$J$39&lt;&gt;"",'制度詳細'!$J$39&gt;=CB$5,'制度詳細'!$J$39&lt;=EOMONTH(CB$5,0)),"◆","")))</x:f>
        <x:v>■</x:v>
      </x:c>
      <x:c r="CC39" s="57" t="str">
        <x:f>IF('制度詳細'!$H$39="",IF('制度詳細'!$J$39="","",IF(AND('制度詳細'!$J$39&gt;=CC$5,'制度詳細'!$J$39&lt;=EOMONTH(CC$5,0)),"◆","")),IF(MAX('制度詳細'!$H$39,CC$5)&lt;=MIN(IF('制度詳細'!$I$39="",EOMONTH(CC$5,0),'制度詳細'!$I$39),EOMONTH(CC$5,0)),"■",IF(AND('制度詳細'!$J$39&lt;&gt;"",'制度詳細'!$J$39&gt;=CC$5,'制度詳細'!$J$39&lt;=EOMONTH(CC$5,0)),"◆","")))</x:f>
        <x:v>■</x:v>
      </x:c>
      <x:c r="CD39" s="57" t="str">
        <x:f>IF('制度詳細'!$H$39="",IF('制度詳細'!$J$39="","",IF(AND('制度詳細'!$J$39&gt;=CD$5,'制度詳細'!$J$39&lt;=EOMONTH(CD$5,0)),"◆","")),IF(MAX('制度詳細'!$H$39,CD$5)&lt;=MIN(IF('制度詳細'!$I$39="",EOMONTH(CD$5,0),'制度詳細'!$I$39),EOMONTH(CD$5,0)),"■",IF(AND('制度詳細'!$J$39&lt;&gt;"",'制度詳細'!$J$39&gt;=CD$5,'制度詳細'!$J$39&lt;=EOMONTH(CD$5,0)),"◆","")))</x:f>
        <x:v>■</x:v>
      </x:c>
      <x:c r="CE39" s="57" t="str">
        <x:f>IF('制度詳細'!$H$39="",IF('制度詳細'!$J$39="","",IF(AND('制度詳細'!$J$39&gt;=CE$5,'制度詳細'!$J$39&lt;=EOMONTH(CE$5,0)),"◆","")),IF(MAX('制度詳細'!$H$39,CE$5)&lt;=MIN(IF('制度詳細'!$I$39="",EOMONTH(CE$5,0),'制度詳細'!$I$39),EOMONTH(CE$5,0)),"■",IF(AND('制度詳細'!$J$39&lt;&gt;"",'制度詳細'!$J$39&gt;=CE$5,'制度詳細'!$J$39&lt;=EOMONTH(CE$5,0)),"◆","")))</x:f>
        <x:v>■</x:v>
      </x:c>
      <x:c r="CF39" s="57" t="str">
        <x:f>IF('制度詳細'!$H$39="",IF('制度詳細'!$J$39="","",IF(AND('制度詳細'!$J$39&gt;=CF$5,'制度詳細'!$J$39&lt;=EOMONTH(CF$5,0)),"◆","")),IF(MAX('制度詳細'!$H$39,CF$5)&lt;=MIN(IF('制度詳細'!$I$39="",EOMONTH(CF$5,0),'制度詳細'!$I$39),EOMONTH(CF$5,0)),"■",IF(AND('制度詳細'!$J$39&lt;&gt;"",'制度詳細'!$J$39&gt;=CF$5,'制度詳細'!$J$39&lt;=EOMONTH(CF$5,0)),"◆","")))</x:f>
        <x:v>■</x:v>
      </x:c>
      <x:c r="CG39" s="57" t="str">
        <x:f>IF('制度詳細'!$H$39="",IF('制度詳細'!$J$39="","",IF(AND('制度詳細'!$J$39&gt;=CG$5,'制度詳細'!$J$39&lt;=EOMONTH(CG$5,0)),"◆","")),IF(MAX('制度詳細'!$H$39,CG$5)&lt;=MIN(IF('制度詳細'!$I$39="",EOMONTH(CG$5,0),'制度詳細'!$I$39),EOMONTH(CG$5,0)),"■",IF(AND('制度詳細'!$J$39&lt;&gt;"",'制度詳細'!$J$39&gt;=CG$5,'制度詳細'!$J$39&lt;=EOMONTH(CG$5,0)),"◆","")))</x:f>
        <x:v>■</x:v>
      </x:c>
      <x:c r="CH39" s="57" t="str">
        <x:f>IF('制度詳細'!$H$39="",IF('制度詳細'!$J$39="","",IF(AND('制度詳細'!$J$39&gt;=CH$5,'制度詳細'!$J$39&lt;=EOMONTH(CH$5,0)),"◆","")),IF(MAX('制度詳細'!$H$39,CH$5)&lt;=MIN(IF('制度詳細'!$I$39="",EOMONTH(CH$5,0),'制度詳細'!$I$39),EOMONTH(CH$5,0)),"■",IF(AND('制度詳細'!$J$39&lt;&gt;"",'制度詳細'!$J$39&gt;=CH$5,'制度詳細'!$J$39&lt;=EOMONTH(CH$5,0)),"◆","")))</x:f>
        <x:v>■</x:v>
      </x:c>
      <x:c r="CI39" s="57" t="str">
        <x:f>IF('制度詳細'!$H$39="",IF('制度詳細'!$J$39="","",IF(AND('制度詳細'!$J$39&gt;=CI$5,'制度詳細'!$J$39&lt;=EOMONTH(CI$5,0)),"◆","")),IF(MAX('制度詳細'!$H$39,CI$5)&lt;=MIN(IF('制度詳細'!$I$39="",EOMONTH(CI$5,0),'制度詳細'!$I$39),EOMONTH(CI$5,0)),"■",IF(AND('制度詳細'!$J$39&lt;&gt;"",'制度詳細'!$J$39&gt;=CI$5,'制度詳細'!$J$39&lt;=EOMONTH(CI$5,0)),"◆","")))</x:f>
        <x:v>■</x:v>
      </x:c>
      <x:c r="CJ39" s="57" t="str">
        <x:f>IF('制度詳細'!$H$39="",IF('制度詳細'!$J$39="","",IF(AND('制度詳細'!$J$39&gt;=CJ$5,'制度詳細'!$J$39&lt;=EOMONTH(CJ$5,0)),"◆","")),IF(MAX('制度詳細'!$H$39,CJ$5)&lt;=MIN(IF('制度詳細'!$I$39="",EOMONTH(CJ$5,0),'制度詳細'!$I$39),EOMONTH(CJ$5,0)),"■",IF(AND('制度詳細'!$J$39&lt;&gt;"",'制度詳細'!$J$39&gt;=CJ$5,'制度詳細'!$J$39&lt;=EOMONTH(CJ$5,0)),"◆","")))</x:f>
        <x:v>■</x:v>
      </x:c>
      <x:c r="CK39" s="57" t="str">
        <x:f>IF('制度詳細'!$H$39="",IF('制度詳細'!$J$39="","",IF(AND('制度詳細'!$J$39&gt;=CK$5,'制度詳細'!$J$39&lt;=EOMONTH(CK$5,0)),"◆","")),IF(MAX('制度詳細'!$H$39,CK$5)&lt;=MIN(IF('制度詳細'!$I$39="",EOMONTH(CK$5,0),'制度詳細'!$I$39),EOMONTH(CK$5,0)),"■",IF(AND('制度詳細'!$J$39&lt;&gt;"",'制度詳細'!$J$39&gt;=CK$5,'制度詳細'!$J$39&lt;=EOMONTH(CK$5,0)),"◆","")))</x:f>
        <x:v>■</x:v>
      </x:c>
      <x:c r="CL39" s="57" t="str">
        <x:f>IF('制度詳細'!$H$39="",IF('制度詳細'!$J$39="","",IF(AND('制度詳細'!$J$39&gt;=CL$5,'制度詳細'!$J$39&lt;=EOMONTH(CL$5,0)),"◆","")),IF(MAX('制度詳細'!$H$39,CL$5)&lt;=MIN(IF('制度詳細'!$I$39="",EOMONTH(CL$5,0),'制度詳細'!$I$39),EOMONTH(CL$5,0)),"■",IF(AND('制度詳細'!$J$39&lt;&gt;"",'制度詳細'!$J$39&gt;=CL$5,'制度詳細'!$J$39&lt;=EOMONTH(CL$5,0)),"◆","")))</x:f>
        <x:v>■</x:v>
      </x:c>
      <x:c r="CM39" s="57" t="str">
        <x:f>IF('制度詳細'!$H$39="",IF('制度詳細'!$J$39="","",IF(AND('制度詳細'!$J$39&gt;=CM$5,'制度詳細'!$J$39&lt;=EOMONTH(CM$5,0)),"◆","")),IF(MAX('制度詳細'!$H$39,CM$5)&lt;=MIN(IF('制度詳細'!$I$39="",EOMONTH(CM$5,0),'制度詳細'!$I$39),EOMONTH(CM$5,0)),"■",IF(AND('制度詳細'!$J$39&lt;&gt;"",'制度詳細'!$J$39&gt;=CM$5,'制度詳細'!$J$39&lt;=EOMONTH(CM$5,0)),"◆","")))</x:f>
        <x:v>■</x:v>
      </x:c>
      <x:c r="CN39" s="57" t="str">
        <x:f>IF('制度詳細'!$H$39="",IF('制度詳細'!$J$39="","",IF(AND('制度詳細'!$J$39&gt;=CN$5,'制度詳細'!$J$39&lt;=EOMONTH(CN$5,0)),"◆","")),IF(MAX('制度詳細'!$H$39,CN$5)&lt;=MIN(IF('制度詳細'!$I$39="",EOMONTH(CN$5,0),'制度詳細'!$I$39),EOMONTH(CN$5,0)),"■",IF(AND('制度詳細'!$J$39&lt;&gt;"",'制度詳細'!$J$39&gt;=CN$5,'制度詳細'!$J$39&lt;=EOMONTH(CN$5,0)),"◆","")))</x:f>
        <x:v>■</x:v>
      </x:c>
      <x:c r="CO39" s="57" t="str">
        <x:f>IF('制度詳細'!$H$39="",IF('制度詳細'!$J$39="","",IF(AND('制度詳細'!$J$39&gt;=CO$5,'制度詳細'!$J$39&lt;=EOMONTH(CO$5,0)),"◆","")),IF(MAX('制度詳細'!$H$39,CO$5)&lt;=MIN(IF('制度詳細'!$I$39="",EOMONTH(CO$5,0),'制度詳細'!$I$39),EOMONTH(CO$5,0)),"■",IF(AND('制度詳細'!$J$39&lt;&gt;"",'制度詳細'!$J$39&gt;=CO$5,'制度詳細'!$J$39&lt;=EOMONTH(CO$5,0)),"◆","")))</x:f>
        <x:v>■</x:v>
      </x:c>
      <x:c r="CP39" s="57" t="str">
        <x:f>IF('制度詳細'!$H$39="",IF('制度詳細'!$J$39="","",IF(AND('制度詳細'!$J$39&gt;=CP$5,'制度詳細'!$J$39&lt;=EOMONTH(CP$5,0)),"◆","")),IF(MAX('制度詳細'!$H$39,CP$5)&lt;=MIN(IF('制度詳細'!$I$39="",EOMONTH(CP$5,0),'制度詳細'!$I$39),EOMONTH(CP$5,0)),"■",IF(AND('制度詳細'!$J$39&lt;&gt;"",'制度詳細'!$J$39&gt;=CP$5,'制度詳細'!$J$39&lt;=EOMONTH(CP$5,0)),"◆","")))</x:f>
        <x:v>■</x:v>
      </x:c>
      <x:c r="CQ39" s="57" t="str">
        <x:f>IF('制度詳細'!$H$39="",IF('制度詳細'!$J$39="","",IF(AND('制度詳細'!$J$39&gt;=CQ$5,'制度詳細'!$J$39&lt;=EOMONTH(CQ$5,0)),"◆","")),IF(MAX('制度詳細'!$H$39,CQ$5)&lt;=MIN(IF('制度詳細'!$I$39="",EOMONTH(CQ$5,0),'制度詳細'!$I$39),EOMONTH(CQ$5,0)),"■",IF(AND('制度詳細'!$J$39&lt;&gt;"",'制度詳細'!$J$39&gt;=CQ$5,'制度詳細'!$J$39&lt;=EOMONTH(CQ$5,0)),"◆","")))</x:f>
        <x:v>■</x:v>
      </x:c>
      <x:c r="CR39" s="57" t="str">
        <x:f>IF('制度詳細'!$H$39="",IF('制度詳細'!$J$39="","",IF(AND('制度詳細'!$J$39&gt;=CR$5,'制度詳細'!$J$39&lt;=EOMONTH(CR$5,0)),"◆","")),IF(MAX('制度詳細'!$H$39,CR$5)&lt;=MIN(IF('制度詳細'!$I$39="",EOMONTH(CR$5,0),'制度詳細'!$I$39),EOMONTH(CR$5,0)),"■",IF(AND('制度詳細'!$J$39&lt;&gt;"",'制度詳細'!$J$39&gt;=CR$5,'制度詳細'!$J$39&lt;=EOMONTH(CR$5,0)),"◆","")))</x:f>
        <x:v>■</x:v>
      </x:c>
      <x:c r="CS39" s="57" t="str">
        <x:f>IF('制度詳細'!$H$39="",IF('制度詳細'!$J$39="","",IF(AND('制度詳細'!$J$39&gt;=CS$5,'制度詳細'!$J$39&lt;=EOMONTH(CS$5,0)),"◆","")),IF(MAX('制度詳細'!$H$39,CS$5)&lt;=MIN(IF('制度詳細'!$I$39="",EOMONTH(CS$5,0),'制度詳細'!$I$39),EOMONTH(CS$5,0)),"■",IF(AND('制度詳細'!$J$39&lt;&gt;"",'制度詳細'!$J$39&gt;=CS$5,'制度詳細'!$J$39&lt;=EOMONTH(CS$5,0)),"◆","")))</x:f>
        <x:v>■</x:v>
      </x:c>
      <x:c r="CT39" s="57" t="str">
        <x:f>IF('制度詳細'!$H$39="",IF('制度詳細'!$J$39="","",IF(AND('制度詳細'!$J$39&gt;=CT$5,'制度詳細'!$J$39&lt;=EOMONTH(CT$5,0)),"◆","")),IF(MAX('制度詳細'!$H$39,CT$5)&lt;=MIN(IF('制度詳細'!$I$39="",EOMONTH(CT$5,0),'制度詳細'!$I$39),EOMONTH(CT$5,0)),"■",IF(AND('制度詳細'!$J$39&lt;&gt;"",'制度詳細'!$J$39&gt;=CT$5,'制度詳細'!$J$39&lt;=EOMONTH(CT$5,0)),"◆","")))</x:f>
        <x:v>■</x:v>
      </x:c>
      <x:c r="CU39" s="57" t="str">
        <x:f>IF('制度詳細'!$H$39="",IF('制度詳細'!$J$39="","",IF(AND('制度詳細'!$J$39&gt;=CU$5,'制度詳細'!$J$39&lt;=EOMONTH(CU$5,0)),"◆","")),IF(MAX('制度詳細'!$H$39,CU$5)&lt;=MIN(IF('制度詳細'!$I$39="",EOMONTH(CU$5,0),'制度詳細'!$I$39),EOMONTH(CU$5,0)),"■",IF(AND('制度詳細'!$J$39&lt;&gt;"",'制度詳細'!$J$39&gt;=CU$5,'制度詳細'!$J$39&lt;=EOMONTH(CU$5,0)),"◆","")))</x:f>
        <x:v>■</x:v>
      </x:c>
      <x:c r="CV39" s="57" t="str">
        <x:f>IF('制度詳細'!$H$39="",IF('制度詳細'!$J$39="","",IF(AND('制度詳細'!$J$39&gt;=CV$5,'制度詳細'!$J$39&lt;=EOMONTH(CV$5,0)),"◆","")),IF(MAX('制度詳細'!$H$39,CV$5)&lt;=MIN(IF('制度詳細'!$I$39="",EOMONTH(CV$5,0),'制度詳細'!$I$39),EOMONTH(CV$5,0)),"■",IF(AND('制度詳細'!$J$39&lt;&gt;"",'制度詳細'!$J$39&gt;=CV$5,'制度詳細'!$J$39&lt;=EOMONTH(CV$5,0)),"◆","")))</x:f>
        <x:v>■</x:v>
      </x:c>
      <x:c r="CW39" s="1"/>
      <x:c r="CX39" s="1"/>
      <x:c r="CY39" s="1"/>
      <x:c r="CZ39" s="1"/>
      <x:c r="DA39" s="1"/>
      <x:c r="DB39" s="1"/>
      <x:c r="DC39" s="1"/>
      <x:c r="DD39" s="1"/>
    </x:row>
    <x:row r="40" ht="27" customHeight="1">
      <x:c r="A40" s="53" t="str">
        <x:v>PH02</x:v>
      </x:c>
      <x:c r="B40" s="53" t="str">
        <x:v>フィリピン</x:v>
      </x:c>
      <x:c r="C40" s="53" t="str">
        <x:v>適格Hybrid：物品税50%</x:v>
      </x:c>
      <x:c r="D40" s="53" t="str">
        <x:v>HEV/PHEV等</x:v>
      </x:c>
      <x:c r="E40" s="57" t="str">
        <x:f>IF('制度詳細'!$H$40="",IF('制度詳細'!$J$40="","",IF(AND('制度詳細'!$J$40&gt;=E$5,'制度詳細'!$J$40&lt;=EOMONTH(E$5,0)),"◆","")),IF(MAX('制度詳細'!$H$40,E$5)&lt;=MIN(IF('制度詳細'!$I$40="",EOMONTH(E$5,0),'制度詳細'!$I$40),EOMONTH(E$5,0)),"■",IF(AND('制度詳細'!$J$40&lt;&gt;"",'制度詳細'!$J$40&gt;=E$5,'制度詳細'!$J$40&lt;=EOMONTH(E$5,0)),"◆","")))</x:f>
        <x:v>■</x:v>
      </x:c>
      <x:c r="F40" s="57" t="str">
        <x:f>IF('制度詳細'!$H$40="",IF('制度詳細'!$J$40="","",IF(AND('制度詳細'!$J$40&gt;=F$5,'制度詳細'!$J$40&lt;=EOMONTH(F$5,0)),"◆","")),IF(MAX('制度詳細'!$H$40,F$5)&lt;=MIN(IF('制度詳細'!$I$40="",EOMONTH(F$5,0),'制度詳細'!$I$40),EOMONTH(F$5,0)),"■",IF(AND('制度詳細'!$J$40&lt;&gt;"",'制度詳細'!$J$40&gt;=F$5,'制度詳細'!$J$40&lt;=EOMONTH(F$5,0)),"◆","")))</x:f>
        <x:v>■</x:v>
      </x:c>
      <x:c r="G40" s="57" t="str">
        <x:f>IF('制度詳細'!$H$40="",IF('制度詳細'!$J$40="","",IF(AND('制度詳細'!$J$40&gt;=G$5,'制度詳細'!$J$40&lt;=EOMONTH(G$5,0)),"◆","")),IF(MAX('制度詳細'!$H$40,G$5)&lt;=MIN(IF('制度詳細'!$I$40="",EOMONTH(G$5,0),'制度詳細'!$I$40),EOMONTH(G$5,0)),"■",IF(AND('制度詳細'!$J$40&lt;&gt;"",'制度詳細'!$J$40&gt;=G$5,'制度詳細'!$J$40&lt;=EOMONTH(G$5,0)),"◆","")))</x:f>
        <x:v>■</x:v>
      </x:c>
      <x:c r="H40" s="57" t="str">
        <x:f>IF('制度詳細'!$H$40="",IF('制度詳細'!$J$40="","",IF(AND('制度詳細'!$J$40&gt;=H$5,'制度詳細'!$J$40&lt;=EOMONTH(H$5,0)),"◆","")),IF(MAX('制度詳細'!$H$40,H$5)&lt;=MIN(IF('制度詳細'!$I$40="",EOMONTH(H$5,0),'制度詳細'!$I$40),EOMONTH(H$5,0)),"■",IF(AND('制度詳細'!$J$40&lt;&gt;"",'制度詳細'!$J$40&gt;=H$5,'制度詳細'!$J$40&lt;=EOMONTH(H$5,0)),"◆","")))</x:f>
        <x:v>■</x:v>
      </x:c>
      <x:c r="I40" s="57" t="str">
        <x:f>IF('制度詳細'!$H$40="",IF('制度詳細'!$J$40="","",IF(AND('制度詳細'!$J$40&gt;=I$5,'制度詳細'!$J$40&lt;=EOMONTH(I$5,0)),"◆","")),IF(MAX('制度詳細'!$H$40,I$5)&lt;=MIN(IF('制度詳細'!$I$40="",EOMONTH(I$5,0),'制度詳細'!$I$40),EOMONTH(I$5,0)),"■",IF(AND('制度詳細'!$J$40&lt;&gt;"",'制度詳細'!$J$40&gt;=I$5,'制度詳細'!$J$40&lt;=EOMONTH(I$5,0)),"◆","")))</x:f>
        <x:v>■</x:v>
      </x:c>
      <x:c r="J40" s="57" t="str">
        <x:f>IF('制度詳細'!$H$40="",IF('制度詳細'!$J$40="","",IF(AND('制度詳細'!$J$40&gt;=J$5,'制度詳細'!$J$40&lt;=EOMONTH(J$5,0)),"◆","")),IF(MAX('制度詳細'!$H$40,J$5)&lt;=MIN(IF('制度詳細'!$I$40="",EOMONTH(J$5,0),'制度詳細'!$I$40),EOMONTH(J$5,0)),"■",IF(AND('制度詳細'!$J$40&lt;&gt;"",'制度詳細'!$J$40&gt;=J$5,'制度詳細'!$J$40&lt;=EOMONTH(J$5,0)),"◆","")))</x:f>
        <x:v>■</x:v>
      </x:c>
      <x:c r="K40" s="57" t="str">
        <x:f>IF('制度詳細'!$H$40="",IF('制度詳細'!$J$40="","",IF(AND('制度詳細'!$J$40&gt;=K$5,'制度詳細'!$J$40&lt;=EOMONTH(K$5,0)),"◆","")),IF(MAX('制度詳細'!$H$40,K$5)&lt;=MIN(IF('制度詳細'!$I$40="",EOMONTH(K$5,0),'制度詳細'!$I$40),EOMONTH(K$5,0)),"■",IF(AND('制度詳細'!$J$40&lt;&gt;"",'制度詳細'!$J$40&gt;=K$5,'制度詳細'!$J$40&lt;=EOMONTH(K$5,0)),"◆","")))</x:f>
        <x:v>■</x:v>
      </x:c>
      <x:c r="L40" s="57" t="str">
        <x:f>IF('制度詳細'!$H$40="",IF('制度詳細'!$J$40="","",IF(AND('制度詳細'!$J$40&gt;=L$5,'制度詳細'!$J$40&lt;=EOMONTH(L$5,0)),"◆","")),IF(MAX('制度詳細'!$H$40,L$5)&lt;=MIN(IF('制度詳細'!$I$40="",EOMONTH(L$5,0),'制度詳細'!$I$40),EOMONTH(L$5,0)),"■",IF(AND('制度詳細'!$J$40&lt;&gt;"",'制度詳細'!$J$40&gt;=L$5,'制度詳細'!$J$40&lt;=EOMONTH(L$5,0)),"◆","")))</x:f>
        <x:v>■</x:v>
      </x:c>
      <x:c r="M40" s="57" t="str">
        <x:f>IF('制度詳細'!$H$40="",IF('制度詳細'!$J$40="","",IF(AND('制度詳細'!$J$40&gt;=M$5,'制度詳細'!$J$40&lt;=EOMONTH(M$5,0)),"◆","")),IF(MAX('制度詳細'!$H$40,M$5)&lt;=MIN(IF('制度詳細'!$I$40="",EOMONTH(M$5,0),'制度詳細'!$I$40),EOMONTH(M$5,0)),"■",IF(AND('制度詳細'!$J$40&lt;&gt;"",'制度詳細'!$J$40&gt;=M$5,'制度詳細'!$J$40&lt;=EOMONTH(M$5,0)),"◆","")))</x:f>
        <x:v>■</x:v>
      </x:c>
      <x:c r="N40" s="57" t="str">
        <x:f>IF('制度詳細'!$H$40="",IF('制度詳細'!$J$40="","",IF(AND('制度詳細'!$J$40&gt;=N$5,'制度詳細'!$J$40&lt;=EOMONTH(N$5,0)),"◆","")),IF(MAX('制度詳細'!$H$40,N$5)&lt;=MIN(IF('制度詳細'!$I$40="",EOMONTH(N$5,0),'制度詳細'!$I$40),EOMONTH(N$5,0)),"■",IF(AND('制度詳細'!$J$40&lt;&gt;"",'制度詳細'!$J$40&gt;=N$5,'制度詳細'!$J$40&lt;=EOMONTH(N$5,0)),"◆","")))</x:f>
        <x:v>■</x:v>
      </x:c>
      <x:c r="O40" s="57" t="str">
        <x:f>IF('制度詳細'!$H$40="",IF('制度詳細'!$J$40="","",IF(AND('制度詳細'!$J$40&gt;=O$5,'制度詳細'!$J$40&lt;=EOMONTH(O$5,0)),"◆","")),IF(MAX('制度詳細'!$H$40,O$5)&lt;=MIN(IF('制度詳細'!$I$40="",EOMONTH(O$5,0),'制度詳細'!$I$40),EOMONTH(O$5,0)),"■",IF(AND('制度詳細'!$J$40&lt;&gt;"",'制度詳細'!$J$40&gt;=O$5,'制度詳細'!$J$40&lt;=EOMONTH(O$5,0)),"◆","")))</x:f>
        <x:v>■</x:v>
      </x:c>
      <x:c r="P40" s="57" t="str">
        <x:f>IF('制度詳細'!$H$40="",IF('制度詳細'!$J$40="","",IF(AND('制度詳細'!$J$40&gt;=P$5,'制度詳細'!$J$40&lt;=EOMONTH(P$5,0)),"◆","")),IF(MAX('制度詳細'!$H$40,P$5)&lt;=MIN(IF('制度詳細'!$I$40="",EOMONTH(P$5,0),'制度詳細'!$I$40),EOMONTH(P$5,0)),"■",IF(AND('制度詳細'!$J$40&lt;&gt;"",'制度詳細'!$J$40&gt;=P$5,'制度詳細'!$J$40&lt;=EOMONTH(P$5,0)),"◆","")))</x:f>
        <x:v>■</x:v>
      </x:c>
      <x:c r="Q40" s="57" t="str">
        <x:f>IF('制度詳細'!$H$40="",IF('制度詳細'!$J$40="","",IF(AND('制度詳細'!$J$40&gt;=Q$5,'制度詳細'!$J$40&lt;=EOMONTH(Q$5,0)),"◆","")),IF(MAX('制度詳細'!$H$40,Q$5)&lt;=MIN(IF('制度詳細'!$I$40="",EOMONTH(Q$5,0),'制度詳細'!$I$40),EOMONTH(Q$5,0)),"■",IF(AND('制度詳細'!$J$40&lt;&gt;"",'制度詳細'!$J$40&gt;=Q$5,'制度詳細'!$J$40&lt;=EOMONTH(Q$5,0)),"◆","")))</x:f>
        <x:v>■</x:v>
      </x:c>
      <x:c r="R40" s="57" t="str">
        <x:f>IF('制度詳細'!$H$40="",IF('制度詳細'!$J$40="","",IF(AND('制度詳細'!$J$40&gt;=R$5,'制度詳細'!$J$40&lt;=EOMONTH(R$5,0)),"◆","")),IF(MAX('制度詳細'!$H$40,R$5)&lt;=MIN(IF('制度詳細'!$I$40="",EOMONTH(R$5,0),'制度詳細'!$I$40),EOMONTH(R$5,0)),"■",IF(AND('制度詳細'!$J$40&lt;&gt;"",'制度詳細'!$J$40&gt;=R$5,'制度詳細'!$J$40&lt;=EOMONTH(R$5,0)),"◆","")))</x:f>
        <x:v>■</x:v>
      </x:c>
      <x:c r="S40" s="57" t="str">
        <x:f>IF('制度詳細'!$H$40="",IF('制度詳細'!$J$40="","",IF(AND('制度詳細'!$J$40&gt;=S$5,'制度詳細'!$J$40&lt;=EOMONTH(S$5,0)),"◆","")),IF(MAX('制度詳細'!$H$40,S$5)&lt;=MIN(IF('制度詳細'!$I$40="",EOMONTH(S$5,0),'制度詳細'!$I$40),EOMONTH(S$5,0)),"■",IF(AND('制度詳細'!$J$40&lt;&gt;"",'制度詳細'!$J$40&gt;=S$5,'制度詳細'!$J$40&lt;=EOMONTH(S$5,0)),"◆","")))</x:f>
        <x:v>■</x:v>
      </x:c>
      <x:c r="T40" s="57" t="str">
        <x:f>IF('制度詳細'!$H$40="",IF('制度詳細'!$J$40="","",IF(AND('制度詳細'!$J$40&gt;=T$5,'制度詳細'!$J$40&lt;=EOMONTH(T$5,0)),"◆","")),IF(MAX('制度詳細'!$H$40,T$5)&lt;=MIN(IF('制度詳細'!$I$40="",EOMONTH(T$5,0),'制度詳細'!$I$40),EOMONTH(T$5,0)),"■",IF(AND('制度詳細'!$J$40&lt;&gt;"",'制度詳細'!$J$40&gt;=T$5,'制度詳細'!$J$40&lt;=EOMONTH(T$5,0)),"◆","")))</x:f>
        <x:v>■</x:v>
      </x:c>
      <x:c r="U40" s="57" t="str">
        <x:f>IF('制度詳細'!$H$40="",IF('制度詳細'!$J$40="","",IF(AND('制度詳細'!$J$40&gt;=U$5,'制度詳細'!$J$40&lt;=EOMONTH(U$5,0)),"◆","")),IF(MAX('制度詳細'!$H$40,U$5)&lt;=MIN(IF('制度詳細'!$I$40="",EOMONTH(U$5,0),'制度詳細'!$I$40),EOMONTH(U$5,0)),"■",IF(AND('制度詳細'!$J$40&lt;&gt;"",'制度詳細'!$J$40&gt;=U$5,'制度詳細'!$J$40&lt;=EOMONTH(U$5,0)),"◆","")))</x:f>
        <x:v>■</x:v>
      </x:c>
      <x:c r="V40" s="57" t="str">
        <x:f>IF('制度詳細'!$H$40="",IF('制度詳細'!$J$40="","",IF(AND('制度詳細'!$J$40&gt;=V$5,'制度詳細'!$J$40&lt;=EOMONTH(V$5,0)),"◆","")),IF(MAX('制度詳細'!$H$40,V$5)&lt;=MIN(IF('制度詳細'!$I$40="",EOMONTH(V$5,0),'制度詳細'!$I$40),EOMONTH(V$5,0)),"■",IF(AND('制度詳細'!$J$40&lt;&gt;"",'制度詳細'!$J$40&gt;=V$5,'制度詳細'!$J$40&lt;=EOMONTH(V$5,0)),"◆","")))</x:f>
        <x:v>■</x:v>
      </x:c>
      <x:c r="W40" s="57" t="str">
        <x:f>IF('制度詳細'!$H$40="",IF('制度詳細'!$J$40="","",IF(AND('制度詳細'!$J$40&gt;=W$5,'制度詳細'!$J$40&lt;=EOMONTH(W$5,0)),"◆","")),IF(MAX('制度詳細'!$H$40,W$5)&lt;=MIN(IF('制度詳細'!$I$40="",EOMONTH(W$5,0),'制度詳細'!$I$40),EOMONTH(W$5,0)),"■",IF(AND('制度詳細'!$J$40&lt;&gt;"",'制度詳細'!$J$40&gt;=W$5,'制度詳細'!$J$40&lt;=EOMONTH(W$5,0)),"◆","")))</x:f>
        <x:v>■</x:v>
      </x:c>
      <x:c r="X40" s="57" t="str">
        <x:f>IF('制度詳細'!$H$40="",IF('制度詳細'!$J$40="","",IF(AND('制度詳細'!$J$40&gt;=X$5,'制度詳細'!$J$40&lt;=EOMONTH(X$5,0)),"◆","")),IF(MAX('制度詳細'!$H$40,X$5)&lt;=MIN(IF('制度詳細'!$I$40="",EOMONTH(X$5,0),'制度詳細'!$I$40),EOMONTH(X$5,0)),"■",IF(AND('制度詳細'!$J$40&lt;&gt;"",'制度詳細'!$J$40&gt;=X$5,'制度詳細'!$J$40&lt;=EOMONTH(X$5,0)),"◆","")))</x:f>
        <x:v>■</x:v>
      </x:c>
      <x:c r="Y40" s="57" t="str">
        <x:f>IF('制度詳細'!$H$40="",IF('制度詳細'!$J$40="","",IF(AND('制度詳細'!$J$40&gt;=Y$5,'制度詳細'!$J$40&lt;=EOMONTH(Y$5,0)),"◆","")),IF(MAX('制度詳細'!$H$40,Y$5)&lt;=MIN(IF('制度詳細'!$I$40="",EOMONTH(Y$5,0),'制度詳細'!$I$40),EOMONTH(Y$5,0)),"■",IF(AND('制度詳細'!$J$40&lt;&gt;"",'制度詳細'!$J$40&gt;=Y$5,'制度詳細'!$J$40&lt;=EOMONTH(Y$5,0)),"◆","")))</x:f>
        <x:v>■</x:v>
      </x:c>
      <x:c r="Z40" s="57" t="str">
        <x:f>IF('制度詳細'!$H$40="",IF('制度詳細'!$J$40="","",IF(AND('制度詳細'!$J$40&gt;=Z$5,'制度詳細'!$J$40&lt;=EOMONTH(Z$5,0)),"◆","")),IF(MAX('制度詳細'!$H$40,Z$5)&lt;=MIN(IF('制度詳細'!$I$40="",EOMONTH(Z$5,0),'制度詳細'!$I$40),EOMONTH(Z$5,0)),"■",IF(AND('制度詳細'!$J$40&lt;&gt;"",'制度詳細'!$J$40&gt;=Z$5,'制度詳細'!$J$40&lt;=EOMONTH(Z$5,0)),"◆","")))</x:f>
        <x:v>■</x:v>
      </x:c>
      <x:c r="AA40" s="57" t="str">
        <x:f>IF('制度詳細'!$H$40="",IF('制度詳細'!$J$40="","",IF(AND('制度詳細'!$J$40&gt;=AA$5,'制度詳細'!$J$40&lt;=EOMONTH(AA$5,0)),"◆","")),IF(MAX('制度詳細'!$H$40,AA$5)&lt;=MIN(IF('制度詳細'!$I$40="",EOMONTH(AA$5,0),'制度詳細'!$I$40),EOMONTH(AA$5,0)),"■",IF(AND('制度詳細'!$J$40&lt;&gt;"",'制度詳細'!$J$40&gt;=AA$5,'制度詳細'!$J$40&lt;=EOMONTH(AA$5,0)),"◆","")))</x:f>
        <x:v>■</x:v>
      </x:c>
      <x:c r="AB40" s="57" t="str">
        <x:f>IF('制度詳細'!$H$40="",IF('制度詳細'!$J$40="","",IF(AND('制度詳細'!$J$40&gt;=AB$5,'制度詳細'!$J$40&lt;=EOMONTH(AB$5,0)),"◆","")),IF(MAX('制度詳細'!$H$40,AB$5)&lt;=MIN(IF('制度詳細'!$I$40="",EOMONTH(AB$5,0),'制度詳細'!$I$40),EOMONTH(AB$5,0)),"■",IF(AND('制度詳細'!$J$40&lt;&gt;"",'制度詳細'!$J$40&gt;=AB$5,'制度詳細'!$J$40&lt;=EOMONTH(AB$5,0)),"◆","")))</x:f>
        <x:v>■</x:v>
      </x:c>
      <x:c r="AC40" s="57" t="str">
        <x:f>IF('制度詳細'!$H$40="",IF('制度詳細'!$J$40="","",IF(AND('制度詳細'!$J$40&gt;=AC$5,'制度詳細'!$J$40&lt;=EOMONTH(AC$5,0)),"◆","")),IF(MAX('制度詳細'!$H$40,AC$5)&lt;=MIN(IF('制度詳細'!$I$40="",EOMONTH(AC$5,0),'制度詳細'!$I$40),EOMONTH(AC$5,0)),"■",IF(AND('制度詳細'!$J$40&lt;&gt;"",'制度詳細'!$J$40&gt;=AC$5,'制度詳細'!$J$40&lt;=EOMONTH(AC$5,0)),"◆","")))</x:f>
        <x:v>■</x:v>
      </x:c>
      <x:c r="AD40" s="57" t="str">
        <x:f>IF('制度詳細'!$H$40="",IF('制度詳細'!$J$40="","",IF(AND('制度詳細'!$J$40&gt;=AD$5,'制度詳細'!$J$40&lt;=EOMONTH(AD$5,0)),"◆","")),IF(MAX('制度詳細'!$H$40,AD$5)&lt;=MIN(IF('制度詳細'!$I$40="",EOMONTH(AD$5,0),'制度詳細'!$I$40),EOMONTH(AD$5,0)),"■",IF(AND('制度詳細'!$J$40&lt;&gt;"",'制度詳細'!$J$40&gt;=AD$5,'制度詳細'!$J$40&lt;=EOMONTH(AD$5,0)),"◆","")))</x:f>
        <x:v>■</x:v>
      </x:c>
      <x:c r="AE40" s="57" t="str">
        <x:f>IF('制度詳細'!$H$40="",IF('制度詳細'!$J$40="","",IF(AND('制度詳細'!$J$40&gt;=AE$5,'制度詳細'!$J$40&lt;=EOMONTH(AE$5,0)),"◆","")),IF(MAX('制度詳細'!$H$40,AE$5)&lt;=MIN(IF('制度詳細'!$I$40="",EOMONTH(AE$5,0),'制度詳細'!$I$40),EOMONTH(AE$5,0)),"■",IF(AND('制度詳細'!$J$40&lt;&gt;"",'制度詳細'!$J$40&gt;=AE$5,'制度詳細'!$J$40&lt;=EOMONTH(AE$5,0)),"◆","")))</x:f>
        <x:v>■</x:v>
      </x:c>
      <x:c r="AF40" s="57" t="str">
        <x:f>IF('制度詳細'!$H$40="",IF('制度詳細'!$J$40="","",IF(AND('制度詳細'!$J$40&gt;=AF$5,'制度詳細'!$J$40&lt;=EOMONTH(AF$5,0)),"◆","")),IF(MAX('制度詳細'!$H$40,AF$5)&lt;=MIN(IF('制度詳細'!$I$40="",EOMONTH(AF$5,0),'制度詳細'!$I$40),EOMONTH(AF$5,0)),"■",IF(AND('制度詳細'!$J$40&lt;&gt;"",'制度詳細'!$J$40&gt;=AF$5,'制度詳細'!$J$40&lt;=EOMONTH(AF$5,0)),"◆","")))</x:f>
        <x:v>■</x:v>
      </x:c>
      <x:c r="AG40" s="57" t="str">
        <x:f>IF('制度詳細'!$H$40="",IF('制度詳細'!$J$40="","",IF(AND('制度詳細'!$J$40&gt;=AG$5,'制度詳細'!$J$40&lt;=EOMONTH(AG$5,0)),"◆","")),IF(MAX('制度詳細'!$H$40,AG$5)&lt;=MIN(IF('制度詳細'!$I$40="",EOMONTH(AG$5,0),'制度詳細'!$I$40),EOMONTH(AG$5,0)),"■",IF(AND('制度詳細'!$J$40&lt;&gt;"",'制度詳細'!$J$40&gt;=AG$5,'制度詳細'!$J$40&lt;=EOMONTH(AG$5,0)),"◆","")))</x:f>
        <x:v>■</x:v>
      </x:c>
      <x:c r="AH40" s="57" t="str">
        <x:f>IF('制度詳細'!$H$40="",IF('制度詳細'!$J$40="","",IF(AND('制度詳細'!$J$40&gt;=AH$5,'制度詳細'!$J$40&lt;=EOMONTH(AH$5,0)),"◆","")),IF(MAX('制度詳細'!$H$40,AH$5)&lt;=MIN(IF('制度詳細'!$I$40="",EOMONTH(AH$5,0),'制度詳細'!$I$40),EOMONTH(AH$5,0)),"■",IF(AND('制度詳細'!$J$40&lt;&gt;"",'制度詳細'!$J$40&gt;=AH$5,'制度詳細'!$J$40&lt;=EOMONTH(AH$5,0)),"◆","")))</x:f>
        <x:v>■</x:v>
      </x:c>
      <x:c r="AI40" s="57" t="str">
        <x:f>IF('制度詳細'!$H$40="",IF('制度詳細'!$J$40="","",IF(AND('制度詳細'!$J$40&gt;=AI$5,'制度詳細'!$J$40&lt;=EOMONTH(AI$5,0)),"◆","")),IF(MAX('制度詳細'!$H$40,AI$5)&lt;=MIN(IF('制度詳細'!$I$40="",EOMONTH(AI$5,0),'制度詳細'!$I$40),EOMONTH(AI$5,0)),"■",IF(AND('制度詳細'!$J$40&lt;&gt;"",'制度詳細'!$J$40&gt;=AI$5,'制度詳細'!$J$40&lt;=EOMONTH(AI$5,0)),"◆","")))</x:f>
        <x:v>■</x:v>
      </x:c>
      <x:c r="AJ40" s="57" t="str">
        <x:f>IF('制度詳細'!$H$40="",IF('制度詳細'!$J$40="","",IF(AND('制度詳細'!$J$40&gt;=AJ$5,'制度詳細'!$J$40&lt;=EOMONTH(AJ$5,0)),"◆","")),IF(MAX('制度詳細'!$H$40,AJ$5)&lt;=MIN(IF('制度詳細'!$I$40="",EOMONTH(AJ$5,0),'制度詳細'!$I$40),EOMONTH(AJ$5,0)),"■",IF(AND('制度詳細'!$J$40&lt;&gt;"",'制度詳細'!$J$40&gt;=AJ$5,'制度詳細'!$J$40&lt;=EOMONTH(AJ$5,0)),"◆","")))</x:f>
        <x:v>■</x:v>
      </x:c>
      <x:c r="AK40" s="57" t="str">
        <x:f>IF('制度詳細'!$H$40="",IF('制度詳細'!$J$40="","",IF(AND('制度詳細'!$J$40&gt;=AK$5,'制度詳細'!$J$40&lt;=EOMONTH(AK$5,0)),"◆","")),IF(MAX('制度詳細'!$H$40,AK$5)&lt;=MIN(IF('制度詳細'!$I$40="",EOMONTH(AK$5,0),'制度詳細'!$I$40),EOMONTH(AK$5,0)),"■",IF(AND('制度詳細'!$J$40&lt;&gt;"",'制度詳細'!$J$40&gt;=AK$5,'制度詳細'!$J$40&lt;=EOMONTH(AK$5,0)),"◆","")))</x:f>
        <x:v>■</x:v>
      </x:c>
      <x:c r="AL40" s="57" t="str">
        <x:f>IF('制度詳細'!$H$40="",IF('制度詳細'!$J$40="","",IF(AND('制度詳細'!$J$40&gt;=AL$5,'制度詳細'!$J$40&lt;=EOMONTH(AL$5,0)),"◆","")),IF(MAX('制度詳細'!$H$40,AL$5)&lt;=MIN(IF('制度詳細'!$I$40="",EOMONTH(AL$5,0),'制度詳細'!$I$40),EOMONTH(AL$5,0)),"■",IF(AND('制度詳細'!$J$40&lt;&gt;"",'制度詳細'!$J$40&gt;=AL$5,'制度詳細'!$J$40&lt;=EOMONTH(AL$5,0)),"◆","")))</x:f>
        <x:v>■</x:v>
      </x:c>
      <x:c r="AM40" s="57" t="str">
        <x:f>IF('制度詳細'!$H$40="",IF('制度詳細'!$J$40="","",IF(AND('制度詳細'!$J$40&gt;=AM$5,'制度詳細'!$J$40&lt;=EOMONTH(AM$5,0)),"◆","")),IF(MAX('制度詳細'!$H$40,AM$5)&lt;=MIN(IF('制度詳細'!$I$40="",EOMONTH(AM$5,0),'制度詳細'!$I$40),EOMONTH(AM$5,0)),"■",IF(AND('制度詳細'!$J$40&lt;&gt;"",'制度詳細'!$J$40&gt;=AM$5,'制度詳細'!$J$40&lt;=EOMONTH(AM$5,0)),"◆","")))</x:f>
        <x:v>■</x:v>
      </x:c>
      <x:c r="AN40" s="57" t="str">
        <x:f>IF('制度詳細'!$H$40="",IF('制度詳細'!$J$40="","",IF(AND('制度詳細'!$J$40&gt;=AN$5,'制度詳細'!$J$40&lt;=EOMONTH(AN$5,0)),"◆","")),IF(MAX('制度詳細'!$H$40,AN$5)&lt;=MIN(IF('制度詳細'!$I$40="",EOMONTH(AN$5,0),'制度詳細'!$I$40),EOMONTH(AN$5,0)),"■",IF(AND('制度詳細'!$J$40&lt;&gt;"",'制度詳細'!$J$40&gt;=AN$5,'制度詳細'!$J$40&lt;=EOMONTH(AN$5,0)),"◆","")))</x:f>
        <x:v>■</x:v>
      </x:c>
      <x:c r="AO40" s="57" t="str">
        <x:f>IF('制度詳細'!$H$40="",IF('制度詳細'!$J$40="","",IF(AND('制度詳細'!$J$40&gt;=AO$5,'制度詳細'!$J$40&lt;=EOMONTH(AO$5,0)),"◆","")),IF(MAX('制度詳細'!$H$40,AO$5)&lt;=MIN(IF('制度詳細'!$I$40="",EOMONTH(AO$5,0),'制度詳細'!$I$40),EOMONTH(AO$5,0)),"■",IF(AND('制度詳細'!$J$40&lt;&gt;"",'制度詳細'!$J$40&gt;=AO$5,'制度詳細'!$J$40&lt;=EOMONTH(AO$5,0)),"◆","")))</x:f>
        <x:v>■</x:v>
      </x:c>
      <x:c r="AP40" s="57" t="str">
        <x:f>IF('制度詳細'!$H$40="",IF('制度詳細'!$J$40="","",IF(AND('制度詳細'!$J$40&gt;=AP$5,'制度詳細'!$J$40&lt;=EOMONTH(AP$5,0)),"◆","")),IF(MAX('制度詳細'!$H$40,AP$5)&lt;=MIN(IF('制度詳細'!$I$40="",EOMONTH(AP$5,0),'制度詳細'!$I$40),EOMONTH(AP$5,0)),"■",IF(AND('制度詳細'!$J$40&lt;&gt;"",'制度詳細'!$J$40&gt;=AP$5,'制度詳細'!$J$40&lt;=EOMONTH(AP$5,0)),"◆","")))</x:f>
        <x:v>■</x:v>
      </x:c>
      <x:c r="AQ40" s="57" t="str">
        <x:f>IF('制度詳細'!$H$40="",IF('制度詳細'!$J$40="","",IF(AND('制度詳細'!$J$40&gt;=AQ$5,'制度詳細'!$J$40&lt;=EOMONTH(AQ$5,0)),"◆","")),IF(MAX('制度詳細'!$H$40,AQ$5)&lt;=MIN(IF('制度詳細'!$I$40="",EOMONTH(AQ$5,0),'制度詳細'!$I$40),EOMONTH(AQ$5,0)),"■",IF(AND('制度詳細'!$J$40&lt;&gt;"",'制度詳細'!$J$40&gt;=AQ$5,'制度詳細'!$J$40&lt;=EOMONTH(AQ$5,0)),"◆","")))</x:f>
        <x:v>■</x:v>
      </x:c>
      <x:c r="AR40" s="57" t="str">
        <x:f>IF('制度詳細'!$H$40="",IF('制度詳細'!$J$40="","",IF(AND('制度詳細'!$J$40&gt;=AR$5,'制度詳細'!$J$40&lt;=EOMONTH(AR$5,0)),"◆","")),IF(MAX('制度詳細'!$H$40,AR$5)&lt;=MIN(IF('制度詳細'!$I$40="",EOMONTH(AR$5,0),'制度詳細'!$I$40),EOMONTH(AR$5,0)),"■",IF(AND('制度詳細'!$J$40&lt;&gt;"",'制度詳細'!$J$40&gt;=AR$5,'制度詳細'!$J$40&lt;=EOMONTH(AR$5,0)),"◆","")))</x:f>
        <x:v>■</x:v>
      </x:c>
      <x:c r="AS40" s="57" t="str">
        <x:f>IF('制度詳細'!$H$40="",IF('制度詳細'!$J$40="","",IF(AND('制度詳細'!$J$40&gt;=AS$5,'制度詳細'!$J$40&lt;=EOMONTH(AS$5,0)),"◆","")),IF(MAX('制度詳細'!$H$40,AS$5)&lt;=MIN(IF('制度詳細'!$I$40="",EOMONTH(AS$5,0),'制度詳細'!$I$40),EOMONTH(AS$5,0)),"■",IF(AND('制度詳細'!$J$40&lt;&gt;"",'制度詳細'!$J$40&gt;=AS$5,'制度詳細'!$J$40&lt;=EOMONTH(AS$5,0)),"◆","")))</x:f>
        <x:v>■</x:v>
      </x:c>
      <x:c r="AT40" s="57" t="str">
        <x:f>IF('制度詳細'!$H$40="",IF('制度詳細'!$J$40="","",IF(AND('制度詳細'!$J$40&gt;=AT$5,'制度詳細'!$J$40&lt;=EOMONTH(AT$5,0)),"◆","")),IF(MAX('制度詳細'!$H$40,AT$5)&lt;=MIN(IF('制度詳細'!$I$40="",EOMONTH(AT$5,0),'制度詳細'!$I$40),EOMONTH(AT$5,0)),"■",IF(AND('制度詳細'!$J$40&lt;&gt;"",'制度詳細'!$J$40&gt;=AT$5,'制度詳細'!$J$40&lt;=EOMONTH(AT$5,0)),"◆","")))</x:f>
        <x:v>■</x:v>
      </x:c>
      <x:c r="AU40" s="57" t="str">
        <x:f>IF('制度詳細'!$H$40="",IF('制度詳細'!$J$40="","",IF(AND('制度詳細'!$J$40&gt;=AU$5,'制度詳細'!$J$40&lt;=EOMONTH(AU$5,0)),"◆","")),IF(MAX('制度詳細'!$H$40,AU$5)&lt;=MIN(IF('制度詳細'!$I$40="",EOMONTH(AU$5,0),'制度詳細'!$I$40),EOMONTH(AU$5,0)),"■",IF(AND('制度詳細'!$J$40&lt;&gt;"",'制度詳細'!$J$40&gt;=AU$5,'制度詳細'!$J$40&lt;=EOMONTH(AU$5,0)),"◆","")))</x:f>
        <x:v>■</x:v>
      </x:c>
      <x:c r="AV40" s="57" t="str">
        <x:f>IF('制度詳細'!$H$40="",IF('制度詳細'!$J$40="","",IF(AND('制度詳細'!$J$40&gt;=AV$5,'制度詳細'!$J$40&lt;=EOMONTH(AV$5,0)),"◆","")),IF(MAX('制度詳細'!$H$40,AV$5)&lt;=MIN(IF('制度詳細'!$I$40="",EOMONTH(AV$5,0),'制度詳細'!$I$40),EOMONTH(AV$5,0)),"■",IF(AND('制度詳細'!$J$40&lt;&gt;"",'制度詳細'!$J$40&gt;=AV$5,'制度詳細'!$J$40&lt;=EOMONTH(AV$5,0)),"◆","")))</x:f>
        <x:v>■</x:v>
      </x:c>
      <x:c r="AW40" s="57" t="str">
        <x:f>IF('制度詳細'!$H$40="",IF('制度詳細'!$J$40="","",IF(AND('制度詳細'!$J$40&gt;=AW$5,'制度詳細'!$J$40&lt;=EOMONTH(AW$5,0)),"◆","")),IF(MAX('制度詳細'!$H$40,AW$5)&lt;=MIN(IF('制度詳細'!$I$40="",EOMONTH(AW$5,0),'制度詳細'!$I$40),EOMONTH(AW$5,0)),"■",IF(AND('制度詳細'!$J$40&lt;&gt;"",'制度詳細'!$J$40&gt;=AW$5,'制度詳細'!$J$40&lt;=EOMONTH(AW$5,0)),"◆","")))</x:f>
        <x:v>■</x:v>
      </x:c>
      <x:c r="AX40" s="57" t="str">
        <x:f>IF('制度詳細'!$H$40="",IF('制度詳細'!$J$40="","",IF(AND('制度詳細'!$J$40&gt;=AX$5,'制度詳細'!$J$40&lt;=EOMONTH(AX$5,0)),"◆","")),IF(MAX('制度詳細'!$H$40,AX$5)&lt;=MIN(IF('制度詳細'!$I$40="",EOMONTH(AX$5,0),'制度詳細'!$I$40),EOMONTH(AX$5,0)),"■",IF(AND('制度詳細'!$J$40&lt;&gt;"",'制度詳細'!$J$40&gt;=AX$5,'制度詳細'!$J$40&lt;=EOMONTH(AX$5,0)),"◆","")))</x:f>
        <x:v>■</x:v>
      </x:c>
      <x:c r="AY40" s="57" t="str">
        <x:f>IF('制度詳細'!$H$40="",IF('制度詳細'!$J$40="","",IF(AND('制度詳細'!$J$40&gt;=AY$5,'制度詳細'!$J$40&lt;=EOMONTH(AY$5,0)),"◆","")),IF(MAX('制度詳細'!$H$40,AY$5)&lt;=MIN(IF('制度詳細'!$I$40="",EOMONTH(AY$5,0),'制度詳細'!$I$40),EOMONTH(AY$5,0)),"■",IF(AND('制度詳細'!$J$40&lt;&gt;"",'制度詳細'!$J$40&gt;=AY$5,'制度詳細'!$J$40&lt;=EOMONTH(AY$5,0)),"◆","")))</x:f>
        <x:v>■</x:v>
      </x:c>
      <x:c r="AZ40" s="57" t="str">
        <x:f>IF('制度詳細'!$H$40="",IF('制度詳細'!$J$40="","",IF(AND('制度詳細'!$J$40&gt;=AZ$5,'制度詳細'!$J$40&lt;=EOMONTH(AZ$5,0)),"◆","")),IF(MAX('制度詳細'!$H$40,AZ$5)&lt;=MIN(IF('制度詳細'!$I$40="",EOMONTH(AZ$5,0),'制度詳細'!$I$40),EOMONTH(AZ$5,0)),"■",IF(AND('制度詳細'!$J$40&lt;&gt;"",'制度詳細'!$J$40&gt;=AZ$5,'制度詳細'!$J$40&lt;=EOMONTH(AZ$5,0)),"◆","")))</x:f>
        <x:v>■</x:v>
      </x:c>
      <x:c r="BA40" s="57" t="str">
        <x:f>IF('制度詳細'!$H$40="",IF('制度詳細'!$J$40="","",IF(AND('制度詳細'!$J$40&gt;=BA$5,'制度詳細'!$J$40&lt;=EOMONTH(BA$5,0)),"◆","")),IF(MAX('制度詳細'!$H$40,BA$5)&lt;=MIN(IF('制度詳細'!$I$40="",EOMONTH(BA$5,0),'制度詳細'!$I$40),EOMONTH(BA$5,0)),"■",IF(AND('制度詳細'!$J$40&lt;&gt;"",'制度詳細'!$J$40&gt;=BA$5,'制度詳細'!$J$40&lt;=EOMONTH(BA$5,0)),"◆","")))</x:f>
        <x:v>■</x:v>
      </x:c>
      <x:c r="BB40" s="57" t="str">
        <x:f>IF('制度詳細'!$H$40="",IF('制度詳細'!$J$40="","",IF(AND('制度詳細'!$J$40&gt;=BB$5,'制度詳細'!$J$40&lt;=EOMONTH(BB$5,0)),"◆","")),IF(MAX('制度詳細'!$H$40,BB$5)&lt;=MIN(IF('制度詳細'!$I$40="",EOMONTH(BB$5,0),'制度詳細'!$I$40),EOMONTH(BB$5,0)),"■",IF(AND('制度詳細'!$J$40&lt;&gt;"",'制度詳細'!$J$40&gt;=BB$5,'制度詳細'!$J$40&lt;=EOMONTH(BB$5,0)),"◆","")))</x:f>
        <x:v>■</x:v>
      </x:c>
      <x:c r="BC40" s="57" t="str">
        <x:f>IF('制度詳細'!$H$40="",IF('制度詳細'!$J$40="","",IF(AND('制度詳細'!$J$40&gt;=BC$5,'制度詳細'!$J$40&lt;=EOMONTH(BC$5,0)),"◆","")),IF(MAX('制度詳細'!$H$40,BC$5)&lt;=MIN(IF('制度詳細'!$I$40="",EOMONTH(BC$5,0),'制度詳細'!$I$40),EOMONTH(BC$5,0)),"■",IF(AND('制度詳細'!$J$40&lt;&gt;"",'制度詳細'!$J$40&gt;=BC$5,'制度詳細'!$J$40&lt;=EOMONTH(BC$5,0)),"◆","")))</x:f>
        <x:v>■</x:v>
      </x:c>
      <x:c r="BD40" s="57" t="str">
        <x:f>IF('制度詳細'!$H$40="",IF('制度詳細'!$J$40="","",IF(AND('制度詳細'!$J$40&gt;=BD$5,'制度詳細'!$J$40&lt;=EOMONTH(BD$5,0)),"◆","")),IF(MAX('制度詳細'!$H$40,BD$5)&lt;=MIN(IF('制度詳細'!$I$40="",EOMONTH(BD$5,0),'制度詳細'!$I$40),EOMONTH(BD$5,0)),"■",IF(AND('制度詳細'!$J$40&lt;&gt;"",'制度詳細'!$J$40&gt;=BD$5,'制度詳細'!$J$40&lt;=EOMONTH(BD$5,0)),"◆","")))</x:f>
        <x:v>■</x:v>
      </x:c>
      <x:c r="BE40" s="57" t="str">
        <x:f>IF('制度詳細'!$H$40="",IF('制度詳細'!$J$40="","",IF(AND('制度詳細'!$J$40&gt;=BE$5,'制度詳細'!$J$40&lt;=EOMONTH(BE$5,0)),"◆","")),IF(MAX('制度詳細'!$H$40,BE$5)&lt;=MIN(IF('制度詳細'!$I$40="",EOMONTH(BE$5,0),'制度詳細'!$I$40),EOMONTH(BE$5,0)),"■",IF(AND('制度詳細'!$J$40&lt;&gt;"",'制度詳細'!$J$40&gt;=BE$5,'制度詳細'!$J$40&lt;=EOMONTH(BE$5,0)),"◆","")))</x:f>
        <x:v>■</x:v>
      </x:c>
      <x:c r="BF40" s="57" t="str">
        <x:f>IF('制度詳細'!$H$40="",IF('制度詳細'!$J$40="","",IF(AND('制度詳細'!$J$40&gt;=BF$5,'制度詳細'!$J$40&lt;=EOMONTH(BF$5,0)),"◆","")),IF(MAX('制度詳細'!$H$40,BF$5)&lt;=MIN(IF('制度詳細'!$I$40="",EOMONTH(BF$5,0),'制度詳細'!$I$40),EOMONTH(BF$5,0)),"■",IF(AND('制度詳細'!$J$40&lt;&gt;"",'制度詳細'!$J$40&gt;=BF$5,'制度詳細'!$J$40&lt;=EOMONTH(BF$5,0)),"◆","")))</x:f>
        <x:v>■</x:v>
      </x:c>
      <x:c r="BG40" s="57" t="str">
        <x:f>IF('制度詳細'!$H$40="",IF('制度詳細'!$J$40="","",IF(AND('制度詳細'!$J$40&gt;=BG$5,'制度詳細'!$J$40&lt;=EOMONTH(BG$5,0)),"◆","")),IF(MAX('制度詳細'!$H$40,BG$5)&lt;=MIN(IF('制度詳細'!$I$40="",EOMONTH(BG$5,0),'制度詳細'!$I$40),EOMONTH(BG$5,0)),"■",IF(AND('制度詳細'!$J$40&lt;&gt;"",'制度詳細'!$J$40&gt;=BG$5,'制度詳細'!$J$40&lt;=EOMONTH(BG$5,0)),"◆","")))</x:f>
        <x:v>■</x:v>
      </x:c>
      <x:c r="BH40" s="57" t="str">
        <x:f>IF('制度詳細'!$H$40="",IF('制度詳細'!$J$40="","",IF(AND('制度詳細'!$J$40&gt;=BH$5,'制度詳細'!$J$40&lt;=EOMONTH(BH$5,0)),"◆","")),IF(MAX('制度詳細'!$H$40,BH$5)&lt;=MIN(IF('制度詳細'!$I$40="",EOMONTH(BH$5,0),'制度詳細'!$I$40),EOMONTH(BH$5,0)),"■",IF(AND('制度詳細'!$J$40&lt;&gt;"",'制度詳細'!$J$40&gt;=BH$5,'制度詳細'!$J$40&lt;=EOMONTH(BH$5,0)),"◆","")))</x:f>
        <x:v>■</x:v>
      </x:c>
      <x:c r="BI40" s="57" t="str">
        <x:f>IF('制度詳細'!$H$40="",IF('制度詳細'!$J$40="","",IF(AND('制度詳細'!$J$40&gt;=BI$5,'制度詳細'!$J$40&lt;=EOMONTH(BI$5,0)),"◆","")),IF(MAX('制度詳細'!$H$40,BI$5)&lt;=MIN(IF('制度詳細'!$I$40="",EOMONTH(BI$5,0),'制度詳細'!$I$40),EOMONTH(BI$5,0)),"■",IF(AND('制度詳細'!$J$40&lt;&gt;"",'制度詳細'!$J$40&gt;=BI$5,'制度詳細'!$J$40&lt;=EOMONTH(BI$5,0)),"◆","")))</x:f>
        <x:v>■</x:v>
      </x:c>
      <x:c r="BJ40" s="57" t="str">
        <x:f>IF('制度詳細'!$H$40="",IF('制度詳細'!$J$40="","",IF(AND('制度詳細'!$J$40&gt;=BJ$5,'制度詳細'!$J$40&lt;=EOMONTH(BJ$5,0)),"◆","")),IF(MAX('制度詳細'!$H$40,BJ$5)&lt;=MIN(IF('制度詳細'!$I$40="",EOMONTH(BJ$5,0),'制度詳細'!$I$40),EOMONTH(BJ$5,0)),"■",IF(AND('制度詳細'!$J$40&lt;&gt;"",'制度詳細'!$J$40&gt;=BJ$5,'制度詳細'!$J$40&lt;=EOMONTH(BJ$5,0)),"◆","")))</x:f>
        <x:v>■</x:v>
      </x:c>
      <x:c r="BK40" s="57" t="str">
        <x:f>IF('制度詳細'!$H$40="",IF('制度詳細'!$J$40="","",IF(AND('制度詳細'!$J$40&gt;=BK$5,'制度詳細'!$J$40&lt;=EOMONTH(BK$5,0)),"◆","")),IF(MAX('制度詳細'!$H$40,BK$5)&lt;=MIN(IF('制度詳細'!$I$40="",EOMONTH(BK$5,0),'制度詳細'!$I$40),EOMONTH(BK$5,0)),"■",IF(AND('制度詳細'!$J$40&lt;&gt;"",'制度詳細'!$J$40&gt;=BK$5,'制度詳細'!$J$40&lt;=EOMONTH(BK$5,0)),"◆","")))</x:f>
        <x:v>■</x:v>
      </x:c>
      <x:c r="BL40" s="57" t="str">
        <x:f>IF('制度詳細'!$H$40="",IF('制度詳細'!$J$40="","",IF(AND('制度詳細'!$J$40&gt;=BL$5,'制度詳細'!$J$40&lt;=EOMONTH(BL$5,0)),"◆","")),IF(MAX('制度詳細'!$H$40,BL$5)&lt;=MIN(IF('制度詳細'!$I$40="",EOMONTH(BL$5,0),'制度詳細'!$I$40),EOMONTH(BL$5,0)),"■",IF(AND('制度詳細'!$J$40&lt;&gt;"",'制度詳細'!$J$40&gt;=BL$5,'制度詳細'!$J$40&lt;=EOMONTH(BL$5,0)),"◆","")))</x:f>
        <x:v>■</x:v>
      </x:c>
      <x:c r="BM40" s="57" t="str">
        <x:f>IF('制度詳細'!$H$40="",IF('制度詳細'!$J$40="","",IF(AND('制度詳細'!$J$40&gt;=BM$5,'制度詳細'!$J$40&lt;=EOMONTH(BM$5,0)),"◆","")),IF(MAX('制度詳細'!$H$40,BM$5)&lt;=MIN(IF('制度詳細'!$I$40="",EOMONTH(BM$5,0),'制度詳細'!$I$40),EOMONTH(BM$5,0)),"■",IF(AND('制度詳細'!$J$40&lt;&gt;"",'制度詳細'!$J$40&gt;=BM$5,'制度詳細'!$J$40&lt;=EOMONTH(BM$5,0)),"◆","")))</x:f>
        <x:v>■</x:v>
      </x:c>
      <x:c r="BN40" s="57" t="str">
        <x:f>IF('制度詳細'!$H$40="",IF('制度詳細'!$J$40="","",IF(AND('制度詳細'!$J$40&gt;=BN$5,'制度詳細'!$J$40&lt;=EOMONTH(BN$5,0)),"◆","")),IF(MAX('制度詳細'!$H$40,BN$5)&lt;=MIN(IF('制度詳細'!$I$40="",EOMONTH(BN$5,0),'制度詳細'!$I$40),EOMONTH(BN$5,0)),"■",IF(AND('制度詳細'!$J$40&lt;&gt;"",'制度詳細'!$J$40&gt;=BN$5,'制度詳細'!$J$40&lt;=EOMONTH(BN$5,0)),"◆","")))</x:f>
        <x:v>■</x:v>
      </x:c>
      <x:c r="BO40" s="57" t="str">
        <x:f>IF('制度詳細'!$H$40="",IF('制度詳細'!$J$40="","",IF(AND('制度詳細'!$J$40&gt;=BO$5,'制度詳細'!$J$40&lt;=EOMONTH(BO$5,0)),"◆","")),IF(MAX('制度詳細'!$H$40,BO$5)&lt;=MIN(IF('制度詳細'!$I$40="",EOMONTH(BO$5,0),'制度詳細'!$I$40),EOMONTH(BO$5,0)),"■",IF(AND('制度詳細'!$J$40&lt;&gt;"",'制度詳細'!$J$40&gt;=BO$5,'制度詳細'!$J$40&lt;=EOMONTH(BO$5,0)),"◆","")))</x:f>
        <x:v>■</x:v>
      </x:c>
      <x:c r="BP40" s="57" t="str">
        <x:f>IF('制度詳細'!$H$40="",IF('制度詳細'!$J$40="","",IF(AND('制度詳細'!$J$40&gt;=BP$5,'制度詳細'!$J$40&lt;=EOMONTH(BP$5,0)),"◆","")),IF(MAX('制度詳細'!$H$40,BP$5)&lt;=MIN(IF('制度詳細'!$I$40="",EOMONTH(BP$5,0),'制度詳細'!$I$40),EOMONTH(BP$5,0)),"■",IF(AND('制度詳細'!$J$40&lt;&gt;"",'制度詳細'!$J$40&gt;=BP$5,'制度詳細'!$J$40&lt;=EOMONTH(BP$5,0)),"◆","")))</x:f>
        <x:v>■</x:v>
      </x:c>
      <x:c r="BQ40" s="57" t="str">
        <x:f>IF('制度詳細'!$H$40="",IF('制度詳細'!$J$40="","",IF(AND('制度詳細'!$J$40&gt;=BQ$5,'制度詳細'!$J$40&lt;=EOMONTH(BQ$5,0)),"◆","")),IF(MAX('制度詳細'!$H$40,BQ$5)&lt;=MIN(IF('制度詳細'!$I$40="",EOMONTH(BQ$5,0),'制度詳細'!$I$40),EOMONTH(BQ$5,0)),"■",IF(AND('制度詳細'!$J$40&lt;&gt;"",'制度詳細'!$J$40&gt;=BQ$5,'制度詳細'!$J$40&lt;=EOMONTH(BQ$5,0)),"◆","")))</x:f>
        <x:v>■</x:v>
      </x:c>
      <x:c r="BR40" s="57" t="str">
        <x:f>IF('制度詳細'!$H$40="",IF('制度詳細'!$J$40="","",IF(AND('制度詳細'!$J$40&gt;=BR$5,'制度詳細'!$J$40&lt;=EOMONTH(BR$5,0)),"◆","")),IF(MAX('制度詳細'!$H$40,BR$5)&lt;=MIN(IF('制度詳細'!$I$40="",EOMONTH(BR$5,0),'制度詳細'!$I$40),EOMONTH(BR$5,0)),"■",IF(AND('制度詳細'!$J$40&lt;&gt;"",'制度詳細'!$J$40&gt;=BR$5,'制度詳細'!$J$40&lt;=EOMONTH(BR$5,0)),"◆","")))</x:f>
        <x:v>■</x:v>
      </x:c>
      <x:c r="BS40" s="57" t="str">
        <x:f>IF('制度詳細'!$H$40="",IF('制度詳細'!$J$40="","",IF(AND('制度詳細'!$J$40&gt;=BS$5,'制度詳細'!$J$40&lt;=EOMONTH(BS$5,0)),"◆","")),IF(MAX('制度詳細'!$H$40,BS$5)&lt;=MIN(IF('制度詳細'!$I$40="",EOMONTH(BS$5,0),'制度詳細'!$I$40),EOMONTH(BS$5,0)),"■",IF(AND('制度詳細'!$J$40&lt;&gt;"",'制度詳細'!$J$40&gt;=BS$5,'制度詳細'!$J$40&lt;=EOMONTH(BS$5,0)),"◆","")))</x:f>
        <x:v>■</x:v>
      </x:c>
      <x:c r="BT40" s="57" t="str">
        <x:f>IF('制度詳細'!$H$40="",IF('制度詳細'!$J$40="","",IF(AND('制度詳細'!$J$40&gt;=BT$5,'制度詳細'!$J$40&lt;=EOMONTH(BT$5,0)),"◆","")),IF(MAX('制度詳細'!$H$40,BT$5)&lt;=MIN(IF('制度詳細'!$I$40="",EOMONTH(BT$5,0),'制度詳細'!$I$40),EOMONTH(BT$5,0)),"■",IF(AND('制度詳細'!$J$40&lt;&gt;"",'制度詳細'!$J$40&gt;=BT$5,'制度詳細'!$J$40&lt;=EOMONTH(BT$5,0)),"◆","")))</x:f>
        <x:v>■</x:v>
      </x:c>
      <x:c r="BU40" s="57" t="str">
        <x:f>IF('制度詳細'!$H$40="",IF('制度詳細'!$J$40="","",IF(AND('制度詳細'!$J$40&gt;=BU$5,'制度詳細'!$J$40&lt;=EOMONTH(BU$5,0)),"◆","")),IF(MAX('制度詳細'!$H$40,BU$5)&lt;=MIN(IF('制度詳細'!$I$40="",EOMONTH(BU$5,0),'制度詳細'!$I$40),EOMONTH(BU$5,0)),"■",IF(AND('制度詳細'!$J$40&lt;&gt;"",'制度詳細'!$J$40&gt;=BU$5,'制度詳細'!$J$40&lt;=EOMONTH(BU$5,0)),"◆","")))</x:f>
        <x:v>■</x:v>
      </x:c>
      <x:c r="BV40" s="57" t="str">
        <x:f>IF('制度詳細'!$H$40="",IF('制度詳細'!$J$40="","",IF(AND('制度詳細'!$J$40&gt;=BV$5,'制度詳細'!$J$40&lt;=EOMONTH(BV$5,0)),"◆","")),IF(MAX('制度詳細'!$H$40,BV$5)&lt;=MIN(IF('制度詳細'!$I$40="",EOMONTH(BV$5,0),'制度詳細'!$I$40),EOMONTH(BV$5,0)),"■",IF(AND('制度詳細'!$J$40&lt;&gt;"",'制度詳細'!$J$40&gt;=BV$5,'制度詳細'!$J$40&lt;=EOMONTH(BV$5,0)),"◆","")))</x:f>
        <x:v>■</x:v>
      </x:c>
      <x:c r="BW40" s="57" t="str">
        <x:f>IF('制度詳細'!$H$40="",IF('制度詳細'!$J$40="","",IF(AND('制度詳細'!$J$40&gt;=BW$5,'制度詳細'!$J$40&lt;=EOMONTH(BW$5,0)),"◆","")),IF(MAX('制度詳細'!$H$40,BW$5)&lt;=MIN(IF('制度詳細'!$I$40="",EOMONTH(BW$5,0),'制度詳細'!$I$40),EOMONTH(BW$5,0)),"■",IF(AND('制度詳細'!$J$40&lt;&gt;"",'制度詳細'!$J$40&gt;=BW$5,'制度詳細'!$J$40&lt;=EOMONTH(BW$5,0)),"◆","")))</x:f>
        <x:v>■</x:v>
      </x:c>
      <x:c r="BX40" s="57" t="str">
        <x:f>IF('制度詳細'!$H$40="",IF('制度詳細'!$J$40="","",IF(AND('制度詳細'!$J$40&gt;=BX$5,'制度詳細'!$J$40&lt;=EOMONTH(BX$5,0)),"◆","")),IF(MAX('制度詳細'!$H$40,BX$5)&lt;=MIN(IF('制度詳細'!$I$40="",EOMONTH(BX$5,0),'制度詳細'!$I$40),EOMONTH(BX$5,0)),"■",IF(AND('制度詳細'!$J$40&lt;&gt;"",'制度詳細'!$J$40&gt;=BX$5,'制度詳細'!$J$40&lt;=EOMONTH(BX$5,0)),"◆","")))</x:f>
        <x:v>■</x:v>
      </x:c>
      <x:c r="BY40" s="57" t="str">
        <x:f>IF('制度詳細'!$H$40="",IF('制度詳細'!$J$40="","",IF(AND('制度詳細'!$J$40&gt;=BY$5,'制度詳細'!$J$40&lt;=EOMONTH(BY$5,0)),"◆","")),IF(MAX('制度詳細'!$H$40,BY$5)&lt;=MIN(IF('制度詳細'!$I$40="",EOMONTH(BY$5,0),'制度詳細'!$I$40),EOMONTH(BY$5,0)),"■",IF(AND('制度詳細'!$J$40&lt;&gt;"",'制度詳細'!$J$40&gt;=BY$5,'制度詳細'!$J$40&lt;=EOMONTH(BY$5,0)),"◆","")))</x:f>
        <x:v>■</x:v>
      </x:c>
      <x:c r="BZ40" s="57" t="str">
        <x:f>IF('制度詳細'!$H$40="",IF('制度詳細'!$J$40="","",IF(AND('制度詳細'!$J$40&gt;=BZ$5,'制度詳細'!$J$40&lt;=EOMONTH(BZ$5,0)),"◆","")),IF(MAX('制度詳細'!$H$40,BZ$5)&lt;=MIN(IF('制度詳細'!$I$40="",EOMONTH(BZ$5,0),'制度詳細'!$I$40),EOMONTH(BZ$5,0)),"■",IF(AND('制度詳細'!$J$40&lt;&gt;"",'制度詳細'!$J$40&gt;=BZ$5,'制度詳細'!$J$40&lt;=EOMONTH(BZ$5,0)),"◆","")))</x:f>
        <x:v>■</x:v>
      </x:c>
      <x:c r="CA40" s="57" t="str">
        <x:f>IF('制度詳細'!$H$40="",IF('制度詳細'!$J$40="","",IF(AND('制度詳細'!$J$40&gt;=CA$5,'制度詳細'!$J$40&lt;=EOMONTH(CA$5,0)),"◆","")),IF(MAX('制度詳細'!$H$40,CA$5)&lt;=MIN(IF('制度詳細'!$I$40="",EOMONTH(CA$5,0),'制度詳細'!$I$40),EOMONTH(CA$5,0)),"■",IF(AND('制度詳細'!$J$40&lt;&gt;"",'制度詳細'!$J$40&gt;=CA$5,'制度詳細'!$J$40&lt;=EOMONTH(CA$5,0)),"◆","")))</x:f>
        <x:v>■</x:v>
      </x:c>
      <x:c r="CB40" s="57" t="str">
        <x:f>IF('制度詳細'!$H$40="",IF('制度詳細'!$J$40="","",IF(AND('制度詳細'!$J$40&gt;=CB$5,'制度詳細'!$J$40&lt;=EOMONTH(CB$5,0)),"◆","")),IF(MAX('制度詳細'!$H$40,CB$5)&lt;=MIN(IF('制度詳細'!$I$40="",EOMONTH(CB$5,0),'制度詳細'!$I$40),EOMONTH(CB$5,0)),"■",IF(AND('制度詳細'!$J$40&lt;&gt;"",'制度詳細'!$J$40&gt;=CB$5,'制度詳細'!$J$40&lt;=EOMONTH(CB$5,0)),"◆","")))</x:f>
        <x:v>■</x:v>
      </x:c>
      <x:c r="CC40" s="57" t="str">
        <x:f>IF('制度詳細'!$H$40="",IF('制度詳細'!$J$40="","",IF(AND('制度詳細'!$J$40&gt;=CC$5,'制度詳細'!$J$40&lt;=EOMONTH(CC$5,0)),"◆","")),IF(MAX('制度詳細'!$H$40,CC$5)&lt;=MIN(IF('制度詳細'!$I$40="",EOMONTH(CC$5,0),'制度詳細'!$I$40),EOMONTH(CC$5,0)),"■",IF(AND('制度詳細'!$J$40&lt;&gt;"",'制度詳細'!$J$40&gt;=CC$5,'制度詳細'!$J$40&lt;=EOMONTH(CC$5,0)),"◆","")))</x:f>
        <x:v>■</x:v>
      </x:c>
      <x:c r="CD40" s="57" t="str">
        <x:f>IF('制度詳細'!$H$40="",IF('制度詳細'!$J$40="","",IF(AND('制度詳細'!$J$40&gt;=CD$5,'制度詳細'!$J$40&lt;=EOMONTH(CD$5,0)),"◆","")),IF(MAX('制度詳細'!$H$40,CD$5)&lt;=MIN(IF('制度詳細'!$I$40="",EOMONTH(CD$5,0),'制度詳細'!$I$40),EOMONTH(CD$5,0)),"■",IF(AND('制度詳細'!$J$40&lt;&gt;"",'制度詳細'!$J$40&gt;=CD$5,'制度詳細'!$J$40&lt;=EOMONTH(CD$5,0)),"◆","")))</x:f>
        <x:v>■</x:v>
      </x:c>
      <x:c r="CE40" s="57" t="str">
        <x:f>IF('制度詳細'!$H$40="",IF('制度詳細'!$J$40="","",IF(AND('制度詳細'!$J$40&gt;=CE$5,'制度詳細'!$J$40&lt;=EOMONTH(CE$5,0)),"◆","")),IF(MAX('制度詳細'!$H$40,CE$5)&lt;=MIN(IF('制度詳細'!$I$40="",EOMONTH(CE$5,0),'制度詳細'!$I$40),EOMONTH(CE$5,0)),"■",IF(AND('制度詳細'!$J$40&lt;&gt;"",'制度詳細'!$J$40&gt;=CE$5,'制度詳細'!$J$40&lt;=EOMONTH(CE$5,0)),"◆","")))</x:f>
        <x:v>■</x:v>
      </x:c>
      <x:c r="CF40" s="57" t="str">
        <x:f>IF('制度詳細'!$H$40="",IF('制度詳細'!$J$40="","",IF(AND('制度詳細'!$J$40&gt;=CF$5,'制度詳細'!$J$40&lt;=EOMONTH(CF$5,0)),"◆","")),IF(MAX('制度詳細'!$H$40,CF$5)&lt;=MIN(IF('制度詳細'!$I$40="",EOMONTH(CF$5,0),'制度詳細'!$I$40),EOMONTH(CF$5,0)),"■",IF(AND('制度詳細'!$J$40&lt;&gt;"",'制度詳細'!$J$40&gt;=CF$5,'制度詳細'!$J$40&lt;=EOMONTH(CF$5,0)),"◆","")))</x:f>
        <x:v>■</x:v>
      </x:c>
      <x:c r="CG40" s="57" t="str">
        <x:f>IF('制度詳細'!$H$40="",IF('制度詳細'!$J$40="","",IF(AND('制度詳細'!$J$40&gt;=CG$5,'制度詳細'!$J$40&lt;=EOMONTH(CG$5,0)),"◆","")),IF(MAX('制度詳細'!$H$40,CG$5)&lt;=MIN(IF('制度詳細'!$I$40="",EOMONTH(CG$5,0),'制度詳細'!$I$40),EOMONTH(CG$5,0)),"■",IF(AND('制度詳細'!$J$40&lt;&gt;"",'制度詳細'!$J$40&gt;=CG$5,'制度詳細'!$J$40&lt;=EOMONTH(CG$5,0)),"◆","")))</x:f>
        <x:v>■</x:v>
      </x:c>
      <x:c r="CH40" s="57" t="str">
        <x:f>IF('制度詳細'!$H$40="",IF('制度詳細'!$J$40="","",IF(AND('制度詳細'!$J$40&gt;=CH$5,'制度詳細'!$J$40&lt;=EOMONTH(CH$5,0)),"◆","")),IF(MAX('制度詳細'!$H$40,CH$5)&lt;=MIN(IF('制度詳細'!$I$40="",EOMONTH(CH$5,0),'制度詳細'!$I$40),EOMONTH(CH$5,0)),"■",IF(AND('制度詳細'!$J$40&lt;&gt;"",'制度詳細'!$J$40&gt;=CH$5,'制度詳細'!$J$40&lt;=EOMONTH(CH$5,0)),"◆","")))</x:f>
        <x:v>■</x:v>
      </x:c>
      <x:c r="CI40" s="57" t="str">
        <x:f>IF('制度詳細'!$H$40="",IF('制度詳細'!$J$40="","",IF(AND('制度詳細'!$J$40&gt;=CI$5,'制度詳細'!$J$40&lt;=EOMONTH(CI$5,0)),"◆","")),IF(MAX('制度詳細'!$H$40,CI$5)&lt;=MIN(IF('制度詳細'!$I$40="",EOMONTH(CI$5,0),'制度詳細'!$I$40),EOMONTH(CI$5,0)),"■",IF(AND('制度詳細'!$J$40&lt;&gt;"",'制度詳細'!$J$40&gt;=CI$5,'制度詳細'!$J$40&lt;=EOMONTH(CI$5,0)),"◆","")))</x:f>
        <x:v>■</x:v>
      </x:c>
      <x:c r="CJ40" s="57" t="str">
        <x:f>IF('制度詳細'!$H$40="",IF('制度詳細'!$J$40="","",IF(AND('制度詳細'!$J$40&gt;=CJ$5,'制度詳細'!$J$40&lt;=EOMONTH(CJ$5,0)),"◆","")),IF(MAX('制度詳細'!$H$40,CJ$5)&lt;=MIN(IF('制度詳細'!$I$40="",EOMONTH(CJ$5,0),'制度詳細'!$I$40),EOMONTH(CJ$5,0)),"■",IF(AND('制度詳細'!$J$40&lt;&gt;"",'制度詳細'!$J$40&gt;=CJ$5,'制度詳細'!$J$40&lt;=EOMONTH(CJ$5,0)),"◆","")))</x:f>
        <x:v>■</x:v>
      </x:c>
      <x:c r="CK40" s="57" t="str">
        <x:f>IF('制度詳細'!$H$40="",IF('制度詳細'!$J$40="","",IF(AND('制度詳細'!$J$40&gt;=CK$5,'制度詳細'!$J$40&lt;=EOMONTH(CK$5,0)),"◆","")),IF(MAX('制度詳細'!$H$40,CK$5)&lt;=MIN(IF('制度詳細'!$I$40="",EOMONTH(CK$5,0),'制度詳細'!$I$40),EOMONTH(CK$5,0)),"■",IF(AND('制度詳細'!$J$40&lt;&gt;"",'制度詳細'!$J$40&gt;=CK$5,'制度詳細'!$J$40&lt;=EOMONTH(CK$5,0)),"◆","")))</x:f>
        <x:v>■</x:v>
      </x:c>
      <x:c r="CL40" s="57" t="str">
        <x:f>IF('制度詳細'!$H$40="",IF('制度詳細'!$J$40="","",IF(AND('制度詳細'!$J$40&gt;=CL$5,'制度詳細'!$J$40&lt;=EOMONTH(CL$5,0)),"◆","")),IF(MAX('制度詳細'!$H$40,CL$5)&lt;=MIN(IF('制度詳細'!$I$40="",EOMONTH(CL$5,0),'制度詳細'!$I$40),EOMONTH(CL$5,0)),"■",IF(AND('制度詳細'!$J$40&lt;&gt;"",'制度詳細'!$J$40&gt;=CL$5,'制度詳細'!$J$40&lt;=EOMONTH(CL$5,0)),"◆","")))</x:f>
        <x:v>■</x:v>
      </x:c>
      <x:c r="CM40" s="57" t="str">
        <x:f>IF('制度詳細'!$H$40="",IF('制度詳細'!$J$40="","",IF(AND('制度詳細'!$J$40&gt;=CM$5,'制度詳細'!$J$40&lt;=EOMONTH(CM$5,0)),"◆","")),IF(MAX('制度詳細'!$H$40,CM$5)&lt;=MIN(IF('制度詳細'!$I$40="",EOMONTH(CM$5,0),'制度詳細'!$I$40),EOMONTH(CM$5,0)),"■",IF(AND('制度詳細'!$J$40&lt;&gt;"",'制度詳細'!$J$40&gt;=CM$5,'制度詳細'!$J$40&lt;=EOMONTH(CM$5,0)),"◆","")))</x:f>
        <x:v>■</x:v>
      </x:c>
      <x:c r="CN40" s="57" t="str">
        <x:f>IF('制度詳細'!$H$40="",IF('制度詳細'!$J$40="","",IF(AND('制度詳細'!$J$40&gt;=CN$5,'制度詳細'!$J$40&lt;=EOMONTH(CN$5,0)),"◆","")),IF(MAX('制度詳細'!$H$40,CN$5)&lt;=MIN(IF('制度詳細'!$I$40="",EOMONTH(CN$5,0),'制度詳細'!$I$40),EOMONTH(CN$5,0)),"■",IF(AND('制度詳細'!$J$40&lt;&gt;"",'制度詳細'!$J$40&gt;=CN$5,'制度詳細'!$J$40&lt;=EOMONTH(CN$5,0)),"◆","")))</x:f>
        <x:v>■</x:v>
      </x:c>
      <x:c r="CO40" s="57" t="str">
        <x:f>IF('制度詳細'!$H$40="",IF('制度詳細'!$J$40="","",IF(AND('制度詳細'!$J$40&gt;=CO$5,'制度詳細'!$J$40&lt;=EOMONTH(CO$5,0)),"◆","")),IF(MAX('制度詳細'!$H$40,CO$5)&lt;=MIN(IF('制度詳細'!$I$40="",EOMONTH(CO$5,0),'制度詳細'!$I$40),EOMONTH(CO$5,0)),"■",IF(AND('制度詳細'!$J$40&lt;&gt;"",'制度詳細'!$J$40&gt;=CO$5,'制度詳細'!$J$40&lt;=EOMONTH(CO$5,0)),"◆","")))</x:f>
        <x:v>■</x:v>
      </x:c>
      <x:c r="CP40" s="57" t="str">
        <x:f>IF('制度詳細'!$H$40="",IF('制度詳細'!$J$40="","",IF(AND('制度詳細'!$J$40&gt;=CP$5,'制度詳細'!$J$40&lt;=EOMONTH(CP$5,0)),"◆","")),IF(MAX('制度詳細'!$H$40,CP$5)&lt;=MIN(IF('制度詳細'!$I$40="",EOMONTH(CP$5,0),'制度詳細'!$I$40),EOMONTH(CP$5,0)),"■",IF(AND('制度詳細'!$J$40&lt;&gt;"",'制度詳細'!$J$40&gt;=CP$5,'制度詳細'!$J$40&lt;=EOMONTH(CP$5,0)),"◆","")))</x:f>
        <x:v>■</x:v>
      </x:c>
      <x:c r="CQ40" s="57" t="str">
        <x:f>IF('制度詳細'!$H$40="",IF('制度詳細'!$J$40="","",IF(AND('制度詳細'!$J$40&gt;=CQ$5,'制度詳細'!$J$40&lt;=EOMONTH(CQ$5,0)),"◆","")),IF(MAX('制度詳細'!$H$40,CQ$5)&lt;=MIN(IF('制度詳細'!$I$40="",EOMONTH(CQ$5,0),'制度詳細'!$I$40),EOMONTH(CQ$5,0)),"■",IF(AND('制度詳細'!$J$40&lt;&gt;"",'制度詳細'!$J$40&gt;=CQ$5,'制度詳細'!$J$40&lt;=EOMONTH(CQ$5,0)),"◆","")))</x:f>
        <x:v>■</x:v>
      </x:c>
      <x:c r="CR40" s="57" t="str">
        <x:f>IF('制度詳細'!$H$40="",IF('制度詳細'!$J$40="","",IF(AND('制度詳細'!$J$40&gt;=CR$5,'制度詳細'!$J$40&lt;=EOMONTH(CR$5,0)),"◆","")),IF(MAX('制度詳細'!$H$40,CR$5)&lt;=MIN(IF('制度詳細'!$I$40="",EOMONTH(CR$5,0),'制度詳細'!$I$40),EOMONTH(CR$5,0)),"■",IF(AND('制度詳細'!$J$40&lt;&gt;"",'制度詳細'!$J$40&gt;=CR$5,'制度詳細'!$J$40&lt;=EOMONTH(CR$5,0)),"◆","")))</x:f>
        <x:v>■</x:v>
      </x:c>
      <x:c r="CS40" s="57" t="str">
        <x:f>IF('制度詳細'!$H$40="",IF('制度詳細'!$J$40="","",IF(AND('制度詳細'!$J$40&gt;=CS$5,'制度詳細'!$J$40&lt;=EOMONTH(CS$5,0)),"◆","")),IF(MAX('制度詳細'!$H$40,CS$5)&lt;=MIN(IF('制度詳細'!$I$40="",EOMONTH(CS$5,0),'制度詳細'!$I$40),EOMONTH(CS$5,0)),"■",IF(AND('制度詳細'!$J$40&lt;&gt;"",'制度詳細'!$J$40&gt;=CS$5,'制度詳細'!$J$40&lt;=EOMONTH(CS$5,0)),"◆","")))</x:f>
        <x:v>■</x:v>
      </x:c>
      <x:c r="CT40" s="57" t="str">
        <x:f>IF('制度詳細'!$H$40="",IF('制度詳細'!$J$40="","",IF(AND('制度詳細'!$J$40&gt;=CT$5,'制度詳細'!$J$40&lt;=EOMONTH(CT$5,0)),"◆","")),IF(MAX('制度詳細'!$H$40,CT$5)&lt;=MIN(IF('制度詳細'!$I$40="",EOMONTH(CT$5,0),'制度詳細'!$I$40),EOMONTH(CT$5,0)),"■",IF(AND('制度詳細'!$J$40&lt;&gt;"",'制度詳細'!$J$40&gt;=CT$5,'制度詳細'!$J$40&lt;=EOMONTH(CT$5,0)),"◆","")))</x:f>
        <x:v>■</x:v>
      </x:c>
      <x:c r="CU40" s="57" t="str">
        <x:f>IF('制度詳細'!$H$40="",IF('制度詳細'!$J$40="","",IF(AND('制度詳細'!$J$40&gt;=CU$5,'制度詳細'!$J$40&lt;=EOMONTH(CU$5,0)),"◆","")),IF(MAX('制度詳細'!$H$40,CU$5)&lt;=MIN(IF('制度詳細'!$I$40="",EOMONTH(CU$5,0),'制度詳細'!$I$40),EOMONTH(CU$5,0)),"■",IF(AND('制度詳細'!$J$40&lt;&gt;"",'制度詳細'!$J$40&gt;=CU$5,'制度詳細'!$J$40&lt;=EOMONTH(CU$5,0)),"◆","")))</x:f>
        <x:v>■</x:v>
      </x:c>
      <x:c r="CV40" s="57" t="str">
        <x:f>IF('制度詳細'!$H$40="",IF('制度詳細'!$J$40="","",IF(AND('制度詳細'!$J$40&gt;=CV$5,'制度詳細'!$J$40&lt;=EOMONTH(CV$5,0)),"◆","")),IF(MAX('制度詳細'!$H$40,CV$5)&lt;=MIN(IF('制度詳細'!$I$40="",EOMONTH(CV$5,0),'制度詳細'!$I$40),EOMONTH(CV$5,0)),"■",IF(AND('制度詳細'!$J$40&lt;&gt;"",'制度詳細'!$J$40&gt;=CV$5,'制度詳細'!$J$40&lt;=EOMONTH(CV$5,0)),"◆","")))</x:f>
        <x:v>■</x:v>
      </x:c>
      <x:c r="CW40" s="1"/>
      <x:c r="CX40" s="1"/>
      <x:c r="CY40" s="1"/>
      <x:c r="CZ40" s="1"/>
      <x:c r="DA40" s="1"/>
      <x:c r="DB40" s="1"/>
      <x:c r="DC40" s="1"/>
      <x:c r="DD40" s="1"/>
    </x:row>
    <x:row r="41" ht="27" customHeight="1">
      <x:c r="A41" s="58" t="str">
        <x:v>PH03</x:v>
      </x:c>
      <x:c r="B41" s="58" t="str">
        <x:v>フィリピン</x:v>
      </x:c>
      <x:c r="C41" s="58" t="str">
        <x:v>EO12：対象BEV輸入関税0</x:v>
      </x:c>
      <x:c r="D41" s="58" t="str">
        <x:v>BEV</x:v>
      </x:c>
      <x:c r="E41" s="57" t="str">
        <x:f>IF('制度詳細'!$H$41="",IF('制度詳細'!$J$41="","",IF(AND('制度詳細'!$J$41&gt;=E$5,'制度詳細'!$J$41&lt;=EOMONTH(E$5,0)),"◆","")),IF(MAX('制度詳細'!$H$41,E$5)&lt;=MIN(IF('制度詳細'!$I$41="",EOMONTH(E$5,0),'制度詳細'!$I$41),EOMONTH(E$5,0)),"■",IF(AND('制度詳細'!$J$41&lt;&gt;"",'制度詳細'!$J$41&gt;=E$5,'制度詳細'!$J$41&lt;=EOMONTH(E$5,0)),"◆","")))</x:f>
      </x:c>
      <x:c r="F41" s="57" t="str">
        <x:f>IF('制度詳細'!$H$41="",IF('制度詳細'!$J$41="","",IF(AND('制度詳細'!$J$41&gt;=F$5,'制度詳細'!$J$41&lt;=EOMONTH(F$5,0)),"◆","")),IF(MAX('制度詳細'!$H$41,F$5)&lt;=MIN(IF('制度詳細'!$I$41="",EOMONTH(F$5,0),'制度詳細'!$I$41),EOMONTH(F$5,0)),"■",IF(AND('制度詳細'!$J$41&lt;&gt;"",'制度詳細'!$J$41&gt;=F$5,'制度詳細'!$J$41&lt;=EOMONTH(F$5,0)),"◆","")))</x:f>
      </x:c>
      <x:c r="G41" s="57" t="str">
        <x:f>IF('制度詳細'!$H$41="",IF('制度詳細'!$J$41="","",IF(AND('制度詳細'!$J$41&gt;=G$5,'制度詳細'!$J$41&lt;=EOMONTH(G$5,0)),"◆","")),IF(MAX('制度詳細'!$H$41,G$5)&lt;=MIN(IF('制度詳細'!$I$41="",EOMONTH(G$5,0),'制度詳細'!$I$41),EOMONTH(G$5,0)),"■",IF(AND('制度詳細'!$J$41&lt;&gt;"",'制度詳細'!$J$41&gt;=G$5,'制度詳細'!$J$41&lt;=EOMONTH(G$5,0)),"◆","")))</x:f>
      </x:c>
      <x:c r="H41" s="57" t="str">
        <x:f>IF('制度詳細'!$H$41="",IF('制度詳細'!$J$41="","",IF(AND('制度詳細'!$J$41&gt;=H$5,'制度詳細'!$J$41&lt;=EOMONTH(H$5,0)),"◆","")),IF(MAX('制度詳細'!$H$41,H$5)&lt;=MIN(IF('制度詳細'!$I$41="",EOMONTH(H$5,0),'制度詳細'!$I$41),EOMONTH(H$5,0)),"■",IF(AND('制度詳細'!$J$41&lt;&gt;"",'制度詳細'!$J$41&gt;=H$5,'制度詳細'!$J$41&lt;=EOMONTH(H$5,0)),"◆","")))</x:f>
      </x:c>
      <x:c r="I41" s="57" t="str">
        <x:f>IF('制度詳細'!$H$41="",IF('制度詳細'!$J$41="","",IF(AND('制度詳細'!$J$41&gt;=I$5,'制度詳細'!$J$41&lt;=EOMONTH(I$5,0)),"◆","")),IF(MAX('制度詳細'!$H$41,I$5)&lt;=MIN(IF('制度詳細'!$I$41="",EOMONTH(I$5,0),'制度詳細'!$I$41),EOMONTH(I$5,0)),"■",IF(AND('制度詳細'!$J$41&lt;&gt;"",'制度詳細'!$J$41&gt;=I$5,'制度詳細'!$J$41&lt;=EOMONTH(I$5,0)),"◆","")))</x:f>
      </x:c>
      <x:c r="J41" s="57" t="str">
        <x:f>IF('制度詳細'!$H$41="",IF('制度詳細'!$J$41="","",IF(AND('制度詳細'!$J$41&gt;=J$5,'制度詳細'!$J$41&lt;=EOMONTH(J$5,0)),"◆","")),IF(MAX('制度詳細'!$H$41,J$5)&lt;=MIN(IF('制度詳細'!$I$41="",EOMONTH(J$5,0),'制度詳細'!$I$41),EOMONTH(J$5,0)),"■",IF(AND('制度詳細'!$J$41&lt;&gt;"",'制度詳細'!$J$41&gt;=J$5,'制度詳細'!$J$41&lt;=EOMONTH(J$5,0)),"◆","")))</x:f>
      </x:c>
      <x:c r="K41" s="57" t="str">
        <x:f>IF('制度詳細'!$H$41="",IF('制度詳細'!$J$41="","",IF(AND('制度詳細'!$J$41&gt;=K$5,'制度詳細'!$J$41&lt;=EOMONTH(K$5,0)),"◆","")),IF(MAX('制度詳細'!$H$41,K$5)&lt;=MIN(IF('制度詳細'!$I$41="",EOMONTH(K$5,0),'制度詳細'!$I$41),EOMONTH(K$5,0)),"■",IF(AND('制度詳細'!$J$41&lt;&gt;"",'制度詳細'!$J$41&gt;=K$5,'制度詳細'!$J$41&lt;=EOMONTH(K$5,0)),"◆","")))</x:f>
      </x:c>
      <x:c r="L41" s="57" t="str">
        <x:f>IF('制度詳細'!$H$41="",IF('制度詳細'!$J$41="","",IF(AND('制度詳細'!$J$41&gt;=L$5,'制度詳細'!$J$41&lt;=EOMONTH(L$5,0)),"◆","")),IF(MAX('制度詳細'!$H$41,L$5)&lt;=MIN(IF('制度詳細'!$I$41="",EOMONTH(L$5,0),'制度詳細'!$I$41),EOMONTH(L$5,0)),"■",IF(AND('制度詳細'!$J$41&lt;&gt;"",'制度詳細'!$J$41&gt;=L$5,'制度詳細'!$J$41&lt;=EOMONTH(L$5,0)),"◆","")))</x:f>
      </x:c>
      <x:c r="M41" s="57" t="str">
        <x:f>IF('制度詳細'!$H$41="",IF('制度詳細'!$J$41="","",IF(AND('制度詳細'!$J$41&gt;=M$5,'制度詳細'!$J$41&lt;=EOMONTH(M$5,0)),"◆","")),IF(MAX('制度詳細'!$H$41,M$5)&lt;=MIN(IF('制度詳細'!$I$41="",EOMONTH(M$5,0),'制度詳細'!$I$41),EOMONTH(M$5,0)),"■",IF(AND('制度詳細'!$J$41&lt;&gt;"",'制度詳細'!$J$41&gt;=M$5,'制度詳細'!$J$41&lt;=EOMONTH(M$5,0)),"◆","")))</x:f>
      </x:c>
      <x:c r="N41" s="57" t="str">
        <x:f>IF('制度詳細'!$H$41="",IF('制度詳細'!$J$41="","",IF(AND('制度詳細'!$J$41&gt;=N$5,'制度詳細'!$J$41&lt;=EOMONTH(N$5,0)),"◆","")),IF(MAX('制度詳細'!$H$41,N$5)&lt;=MIN(IF('制度詳細'!$I$41="",EOMONTH(N$5,0),'制度詳細'!$I$41),EOMONTH(N$5,0)),"■",IF(AND('制度詳細'!$J$41&lt;&gt;"",'制度詳細'!$J$41&gt;=N$5,'制度詳細'!$J$41&lt;=EOMONTH(N$5,0)),"◆","")))</x:f>
      </x:c>
      <x:c r="O41" s="57" t="str">
        <x:f>IF('制度詳細'!$H$41="",IF('制度詳細'!$J$41="","",IF(AND('制度詳細'!$J$41&gt;=O$5,'制度詳細'!$J$41&lt;=EOMONTH(O$5,0)),"◆","")),IF(MAX('制度詳細'!$H$41,O$5)&lt;=MIN(IF('制度詳細'!$I$41="",EOMONTH(O$5,0),'制度詳細'!$I$41),EOMONTH(O$5,0)),"■",IF(AND('制度詳細'!$J$41&lt;&gt;"",'制度詳細'!$J$41&gt;=O$5,'制度詳細'!$J$41&lt;=EOMONTH(O$5,0)),"◆","")))</x:f>
      </x:c>
      <x:c r="P41" s="57" t="str">
        <x:f>IF('制度詳細'!$H$41="",IF('制度詳細'!$J$41="","",IF(AND('制度詳細'!$J$41&gt;=P$5,'制度詳細'!$J$41&lt;=EOMONTH(P$5,0)),"◆","")),IF(MAX('制度詳細'!$H$41,P$5)&lt;=MIN(IF('制度詳細'!$I$41="",EOMONTH(P$5,0),'制度詳細'!$I$41),EOMONTH(P$5,0)),"■",IF(AND('制度詳細'!$J$41&lt;&gt;"",'制度詳細'!$J$41&gt;=P$5,'制度詳細'!$J$41&lt;=EOMONTH(P$5,0)),"◆","")))</x:f>
      </x:c>
      <x:c r="Q41" s="57" t="str">
        <x:f>IF('制度詳細'!$H$41="",IF('制度詳細'!$J$41="","",IF(AND('制度詳細'!$J$41&gt;=Q$5,'制度詳細'!$J$41&lt;=EOMONTH(Q$5,0)),"◆","")),IF(MAX('制度詳細'!$H$41,Q$5)&lt;=MIN(IF('制度詳細'!$I$41="",EOMONTH(Q$5,0),'制度詳細'!$I$41),EOMONTH(Q$5,0)),"■",IF(AND('制度詳細'!$J$41&lt;&gt;"",'制度詳細'!$J$41&gt;=Q$5,'制度詳細'!$J$41&lt;=EOMONTH(Q$5,0)),"◆","")))</x:f>
      </x:c>
      <x:c r="R41" s="57" t="str">
        <x:f>IF('制度詳細'!$H$41="",IF('制度詳細'!$J$41="","",IF(AND('制度詳細'!$J$41&gt;=R$5,'制度詳細'!$J$41&lt;=EOMONTH(R$5,0)),"◆","")),IF(MAX('制度詳細'!$H$41,R$5)&lt;=MIN(IF('制度詳細'!$I$41="",EOMONTH(R$5,0),'制度詳細'!$I$41),EOMONTH(R$5,0)),"■",IF(AND('制度詳細'!$J$41&lt;&gt;"",'制度詳細'!$J$41&gt;=R$5,'制度詳細'!$J$41&lt;=EOMONTH(R$5,0)),"◆","")))</x:f>
      </x:c>
      <x:c r="S41" s="57" t="str">
        <x:f>IF('制度詳細'!$H$41="",IF('制度詳細'!$J$41="","",IF(AND('制度詳細'!$J$41&gt;=S$5,'制度詳細'!$J$41&lt;=EOMONTH(S$5,0)),"◆","")),IF(MAX('制度詳細'!$H$41,S$5)&lt;=MIN(IF('制度詳細'!$I$41="",EOMONTH(S$5,0),'制度詳細'!$I$41),EOMONTH(S$5,0)),"■",IF(AND('制度詳細'!$J$41&lt;&gt;"",'制度詳細'!$J$41&gt;=S$5,'制度詳細'!$J$41&lt;=EOMONTH(S$5,0)),"◆","")))</x:f>
      </x:c>
      <x:c r="T41" s="57" t="str">
        <x:f>IF('制度詳細'!$H$41="",IF('制度詳細'!$J$41="","",IF(AND('制度詳細'!$J$41&gt;=T$5,'制度詳細'!$J$41&lt;=EOMONTH(T$5,0)),"◆","")),IF(MAX('制度詳細'!$H$41,T$5)&lt;=MIN(IF('制度詳細'!$I$41="",EOMONTH(T$5,0),'制度詳細'!$I$41),EOMONTH(T$5,0)),"■",IF(AND('制度詳細'!$J$41&lt;&gt;"",'制度詳細'!$J$41&gt;=T$5,'制度詳細'!$J$41&lt;=EOMONTH(T$5,0)),"◆","")))</x:f>
      </x:c>
      <x:c r="U41" s="57" t="str">
        <x:f>IF('制度詳細'!$H$41="",IF('制度詳細'!$J$41="","",IF(AND('制度詳細'!$J$41&gt;=U$5,'制度詳細'!$J$41&lt;=EOMONTH(U$5,0)),"◆","")),IF(MAX('制度詳細'!$H$41,U$5)&lt;=MIN(IF('制度詳細'!$I$41="",EOMONTH(U$5,0),'制度詳細'!$I$41),EOMONTH(U$5,0)),"■",IF(AND('制度詳細'!$J$41&lt;&gt;"",'制度詳細'!$J$41&gt;=U$5,'制度詳細'!$J$41&lt;=EOMONTH(U$5,0)),"◆","")))</x:f>
      </x:c>
      <x:c r="V41" s="57" t="str">
        <x:f>IF('制度詳細'!$H$41="",IF('制度詳細'!$J$41="","",IF(AND('制度詳細'!$J$41&gt;=V$5,'制度詳細'!$J$41&lt;=EOMONTH(V$5,0)),"◆","")),IF(MAX('制度詳細'!$H$41,V$5)&lt;=MIN(IF('制度詳細'!$I$41="",EOMONTH(V$5,0),'制度詳細'!$I$41),EOMONTH(V$5,0)),"■",IF(AND('制度詳細'!$J$41&lt;&gt;"",'制度詳細'!$J$41&gt;=V$5,'制度詳細'!$J$41&lt;=EOMONTH(V$5,0)),"◆","")))</x:f>
      </x:c>
      <x:c r="W41" s="57" t="str">
        <x:f>IF('制度詳細'!$H$41="",IF('制度詳細'!$J$41="","",IF(AND('制度詳細'!$J$41&gt;=W$5,'制度詳細'!$J$41&lt;=EOMONTH(W$5,0)),"◆","")),IF(MAX('制度詳細'!$H$41,W$5)&lt;=MIN(IF('制度詳細'!$I$41="",EOMONTH(W$5,0),'制度詳細'!$I$41),EOMONTH(W$5,0)),"■",IF(AND('制度詳細'!$J$41&lt;&gt;"",'制度詳細'!$J$41&gt;=W$5,'制度詳細'!$J$41&lt;=EOMONTH(W$5,0)),"◆","")))</x:f>
      </x:c>
      <x:c r="X41" s="57" t="str">
        <x:f>IF('制度詳細'!$H$41="",IF('制度詳細'!$J$41="","",IF(AND('制度詳細'!$J$41&gt;=X$5,'制度詳細'!$J$41&lt;=EOMONTH(X$5,0)),"◆","")),IF(MAX('制度詳細'!$H$41,X$5)&lt;=MIN(IF('制度詳細'!$I$41="",EOMONTH(X$5,0),'制度詳細'!$I$41),EOMONTH(X$5,0)),"■",IF(AND('制度詳細'!$J$41&lt;&gt;"",'制度詳細'!$J$41&gt;=X$5,'制度詳細'!$J$41&lt;=EOMONTH(X$5,0)),"◆","")))</x:f>
      </x:c>
      <x:c r="Y41" s="57" t="str">
        <x:f>IF('制度詳細'!$H$41="",IF('制度詳細'!$J$41="","",IF(AND('制度詳細'!$J$41&gt;=Y$5,'制度詳細'!$J$41&lt;=EOMONTH(Y$5,0)),"◆","")),IF(MAX('制度詳細'!$H$41,Y$5)&lt;=MIN(IF('制度詳細'!$I$41="",EOMONTH(Y$5,0),'制度詳細'!$I$41),EOMONTH(Y$5,0)),"■",IF(AND('制度詳細'!$J$41&lt;&gt;"",'制度詳細'!$J$41&gt;=Y$5,'制度詳細'!$J$41&lt;=EOMONTH(Y$5,0)),"◆","")))</x:f>
      </x:c>
      <x:c r="Z41" s="57" t="str">
        <x:f>IF('制度詳細'!$H$41="",IF('制度詳細'!$J$41="","",IF(AND('制度詳細'!$J$41&gt;=Z$5,'制度詳細'!$J$41&lt;=EOMONTH(Z$5,0)),"◆","")),IF(MAX('制度詳細'!$H$41,Z$5)&lt;=MIN(IF('制度詳細'!$I$41="",EOMONTH(Z$5,0),'制度詳細'!$I$41),EOMONTH(Z$5,0)),"■",IF(AND('制度詳細'!$J$41&lt;&gt;"",'制度詳細'!$J$41&gt;=Z$5,'制度詳細'!$J$41&lt;=EOMONTH(Z$5,0)),"◆","")))</x:f>
      </x:c>
      <x:c r="AA41" s="57" t="str">
        <x:f>IF('制度詳細'!$H$41="",IF('制度詳細'!$J$41="","",IF(AND('制度詳細'!$J$41&gt;=AA$5,'制度詳細'!$J$41&lt;=EOMONTH(AA$5,0)),"◆","")),IF(MAX('制度詳細'!$H$41,AA$5)&lt;=MIN(IF('制度詳細'!$I$41="",EOMONTH(AA$5,0),'制度詳細'!$I$41),EOMONTH(AA$5,0)),"■",IF(AND('制度詳細'!$J$41&lt;&gt;"",'制度詳細'!$J$41&gt;=AA$5,'制度詳細'!$J$41&lt;=EOMONTH(AA$5,0)),"◆","")))</x:f>
      </x:c>
      <x:c r="AB41" s="57" t="str">
        <x:f>IF('制度詳細'!$H$41="",IF('制度詳細'!$J$41="","",IF(AND('制度詳細'!$J$41&gt;=AB$5,'制度詳細'!$J$41&lt;=EOMONTH(AB$5,0)),"◆","")),IF(MAX('制度詳細'!$H$41,AB$5)&lt;=MIN(IF('制度詳細'!$I$41="",EOMONTH(AB$5,0),'制度詳細'!$I$41),EOMONTH(AB$5,0)),"■",IF(AND('制度詳細'!$J$41&lt;&gt;"",'制度詳細'!$J$41&gt;=AB$5,'制度詳細'!$J$41&lt;=EOMONTH(AB$5,0)),"◆","")))</x:f>
      </x:c>
      <x:c r="AC41" s="57" t="str">
        <x:f>IF('制度詳細'!$H$41="",IF('制度詳細'!$J$41="","",IF(AND('制度詳細'!$J$41&gt;=AC$5,'制度詳細'!$J$41&lt;=EOMONTH(AC$5,0)),"◆","")),IF(MAX('制度詳細'!$H$41,AC$5)&lt;=MIN(IF('制度詳細'!$I$41="",EOMONTH(AC$5,0),'制度詳細'!$I$41),EOMONTH(AC$5,0)),"■",IF(AND('制度詳細'!$J$41&lt;&gt;"",'制度詳細'!$J$41&gt;=AC$5,'制度詳細'!$J$41&lt;=EOMONTH(AC$5,0)),"◆","")))</x:f>
      </x:c>
      <x:c r="AD41" s="57" t="str">
        <x:f>IF('制度詳細'!$H$41="",IF('制度詳細'!$J$41="","",IF(AND('制度詳細'!$J$41&gt;=AD$5,'制度詳細'!$J$41&lt;=EOMONTH(AD$5,0)),"◆","")),IF(MAX('制度詳細'!$H$41,AD$5)&lt;=MIN(IF('制度詳細'!$I$41="",EOMONTH(AD$5,0),'制度詳細'!$I$41),EOMONTH(AD$5,0)),"■",IF(AND('制度詳細'!$J$41&lt;&gt;"",'制度詳細'!$J$41&gt;=AD$5,'制度詳細'!$J$41&lt;=EOMONTH(AD$5,0)),"◆","")))</x:f>
      </x:c>
      <x:c r="AE41" s="57" t="str">
        <x:f>IF('制度詳細'!$H$41="",IF('制度詳細'!$J$41="","",IF(AND('制度詳細'!$J$41&gt;=AE$5,'制度詳細'!$J$41&lt;=EOMONTH(AE$5,0)),"◆","")),IF(MAX('制度詳細'!$H$41,AE$5)&lt;=MIN(IF('制度詳細'!$I$41="",EOMONTH(AE$5,0),'制度詳細'!$I$41),EOMONTH(AE$5,0)),"■",IF(AND('制度詳細'!$J$41&lt;&gt;"",'制度詳細'!$J$41&gt;=AE$5,'制度詳細'!$J$41&lt;=EOMONTH(AE$5,0)),"◆","")))</x:f>
      </x:c>
      <x:c r="AF41" s="57" t="str">
        <x:f>IF('制度詳細'!$H$41="",IF('制度詳細'!$J$41="","",IF(AND('制度詳細'!$J$41&gt;=AF$5,'制度詳細'!$J$41&lt;=EOMONTH(AF$5,0)),"◆","")),IF(MAX('制度詳細'!$H$41,AF$5)&lt;=MIN(IF('制度詳細'!$I$41="",EOMONTH(AF$5,0),'制度詳細'!$I$41),EOMONTH(AF$5,0)),"■",IF(AND('制度詳細'!$J$41&lt;&gt;"",'制度詳細'!$J$41&gt;=AF$5,'制度詳細'!$J$41&lt;=EOMONTH(AF$5,0)),"◆","")))</x:f>
      </x:c>
      <x:c r="AG41" s="57" t="str">
        <x:f>IF('制度詳細'!$H$41="",IF('制度詳細'!$J$41="","",IF(AND('制度詳細'!$J$41&gt;=AG$5,'制度詳細'!$J$41&lt;=EOMONTH(AG$5,0)),"◆","")),IF(MAX('制度詳細'!$H$41,AG$5)&lt;=MIN(IF('制度詳細'!$I$41="",EOMONTH(AG$5,0),'制度詳細'!$I$41),EOMONTH(AG$5,0)),"■",IF(AND('制度詳細'!$J$41&lt;&gt;"",'制度詳細'!$J$41&gt;=AG$5,'制度詳細'!$J$41&lt;=EOMONTH(AG$5,0)),"◆","")))</x:f>
      </x:c>
      <x:c r="AH41" s="57" t="str">
        <x:f>IF('制度詳細'!$H$41="",IF('制度詳細'!$J$41="","",IF(AND('制度詳細'!$J$41&gt;=AH$5,'制度詳細'!$J$41&lt;=EOMONTH(AH$5,0)),"◆","")),IF(MAX('制度詳細'!$H$41,AH$5)&lt;=MIN(IF('制度詳細'!$I$41="",EOMONTH(AH$5,0),'制度詳細'!$I$41),EOMONTH(AH$5,0)),"■",IF(AND('制度詳細'!$J$41&lt;&gt;"",'制度詳細'!$J$41&gt;=AH$5,'制度詳細'!$J$41&lt;=EOMONTH(AH$5,0)),"◆","")))</x:f>
      </x:c>
      <x:c r="AI41" s="57" t="str">
        <x:f>IF('制度詳細'!$H$41="",IF('制度詳細'!$J$41="","",IF(AND('制度詳細'!$J$41&gt;=AI$5,'制度詳細'!$J$41&lt;=EOMONTH(AI$5,0)),"◆","")),IF(MAX('制度詳細'!$H$41,AI$5)&lt;=MIN(IF('制度詳細'!$I$41="",EOMONTH(AI$5,0),'制度詳細'!$I$41),EOMONTH(AI$5,0)),"■",IF(AND('制度詳細'!$J$41&lt;&gt;"",'制度詳細'!$J$41&gt;=AI$5,'制度詳細'!$J$41&lt;=EOMONTH(AI$5,0)),"◆","")))</x:f>
      </x:c>
      <x:c r="AJ41" s="57" t="str">
        <x:f>IF('制度詳細'!$H$41="",IF('制度詳細'!$J$41="","",IF(AND('制度詳細'!$J$41&gt;=AJ$5,'制度詳細'!$J$41&lt;=EOMONTH(AJ$5,0)),"◆","")),IF(MAX('制度詳細'!$H$41,AJ$5)&lt;=MIN(IF('制度詳細'!$I$41="",EOMONTH(AJ$5,0),'制度詳細'!$I$41),EOMONTH(AJ$5,0)),"■",IF(AND('制度詳細'!$J$41&lt;&gt;"",'制度詳細'!$J$41&gt;=AJ$5,'制度詳細'!$J$41&lt;=EOMONTH(AJ$5,0)),"◆","")))</x:f>
      </x:c>
      <x:c r="AK41" s="57" t="str">
        <x:f>IF('制度詳細'!$H$41="",IF('制度詳細'!$J$41="","",IF(AND('制度詳細'!$J$41&gt;=AK$5,'制度詳細'!$J$41&lt;=EOMONTH(AK$5,0)),"◆","")),IF(MAX('制度詳細'!$H$41,AK$5)&lt;=MIN(IF('制度詳細'!$I$41="",EOMONTH(AK$5,0),'制度詳細'!$I$41),EOMONTH(AK$5,0)),"■",IF(AND('制度詳細'!$J$41&lt;&gt;"",'制度詳細'!$J$41&gt;=AK$5,'制度詳細'!$J$41&lt;=EOMONTH(AK$5,0)),"◆","")))</x:f>
      </x:c>
      <x:c r="AL41" s="57" t="str">
        <x:f>IF('制度詳細'!$H$41="",IF('制度詳細'!$J$41="","",IF(AND('制度詳細'!$J$41&gt;=AL$5,'制度詳細'!$J$41&lt;=EOMONTH(AL$5,0)),"◆","")),IF(MAX('制度詳細'!$H$41,AL$5)&lt;=MIN(IF('制度詳細'!$I$41="",EOMONTH(AL$5,0),'制度詳細'!$I$41),EOMONTH(AL$5,0)),"■",IF(AND('制度詳細'!$J$41&lt;&gt;"",'制度詳細'!$J$41&gt;=AL$5,'制度詳細'!$J$41&lt;=EOMONTH(AL$5,0)),"◆","")))</x:f>
      </x:c>
      <x:c r="AM41" s="57" t="str">
        <x:f>IF('制度詳細'!$H$41="",IF('制度詳細'!$J$41="","",IF(AND('制度詳細'!$J$41&gt;=AM$5,'制度詳細'!$J$41&lt;=EOMONTH(AM$5,0)),"◆","")),IF(MAX('制度詳細'!$H$41,AM$5)&lt;=MIN(IF('制度詳細'!$I$41="",EOMONTH(AM$5,0),'制度詳細'!$I$41),EOMONTH(AM$5,0)),"■",IF(AND('制度詳細'!$J$41&lt;&gt;"",'制度詳細'!$J$41&gt;=AM$5,'制度詳細'!$J$41&lt;=EOMONTH(AM$5,0)),"◆","")))</x:f>
      </x:c>
      <x:c r="AN41" s="57" t="str">
        <x:f>IF('制度詳細'!$H$41="",IF('制度詳細'!$J$41="","",IF(AND('制度詳細'!$J$41&gt;=AN$5,'制度詳細'!$J$41&lt;=EOMONTH(AN$5,0)),"◆","")),IF(MAX('制度詳細'!$H$41,AN$5)&lt;=MIN(IF('制度詳細'!$I$41="",EOMONTH(AN$5,0),'制度詳細'!$I$41),EOMONTH(AN$5,0)),"■",IF(AND('制度詳細'!$J$41&lt;&gt;"",'制度詳細'!$J$41&gt;=AN$5,'制度詳細'!$J$41&lt;=EOMONTH(AN$5,0)),"◆","")))</x:f>
      </x:c>
      <x:c r="AO41" s="57" t="str">
        <x:f>IF('制度詳細'!$H$41="",IF('制度詳細'!$J$41="","",IF(AND('制度詳細'!$J$41&gt;=AO$5,'制度詳細'!$J$41&lt;=EOMONTH(AO$5,0)),"◆","")),IF(MAX('制度詳細'!$H$41,AO$5)&lt;=MIN(IF('制度詳細'!$I$41="",EOMONTH(AO$5,0),'制度詳細'!$I$41),EOMONTH(AO$5,0)),"■",IF(AND('制度詳細'!$J$41&lt;&gt;"",'制度詳細'!$J$41&gt;=AO$5,'制度詳細'!$J$41&lt;=EOMONTH(AO$5,0)),"◆","")))</x:f>
        <x:v>◆</x:v>
      </x:c>
      <x:c r="AP41" s="57" t="str">
        <x:f>IF('制度詳細'!$H$41="",IF('制度詳細'!$J$41="","",IF(AND('制度詳細'!$J$41&gt;=AP$5,'制度詳細'!$J$41&lt;=EOMONTH(AP$5,0)),"◆","")),IF(MAX('制度詳細'!$H$41,AP$5)&lt;=MIN(IF('制度詳細'!$I$41="",EOMONTH(AP$5,0),'制度詳細'!$I$41),EOMONTH(AP$5,0)),"■",IF(AND('制度詳細'!$J$41&lt;&gt;"",'制度詳細'!$J$41&gt;=AP$5,'制度詳細'!$J$41&lt;=EOMONTH(AP$5,0)),"◆","")))</x:f>
        <x:v>■</x:v>
      </x:c>
      <x:c r="AQ41" s="57" t="str">
        <x:f>IF('制度詳細'!$H$41="",IF('制度詳細'!$J$41="","",IF(AND('制度詳細'!$J$41&gt;=AQ$5,'制度詳細'!$J$41&lt;=EOMONTH(AQ$5,0)),"◆","")),IF(MAX('制度詳細'!$H$41,AQ$5)&lt;=MIN(IF('制度詳細'!$I$41="",EOMONTH(AQ$5,0),'制度詳細'!$I$41),EOMONTH(AQ$5,0)),"■",IF(AND('制度詳細'!$J$41&lt;&gt;"",'制度詳細'!$J$41&gt;=AQ$5,'制度詳細'!$J$41&lt;=EOMONTH(AQ$5,0)),"◆","")))</x:f>
        <x:v>■</x:v>
      </x:c>
      <x:c r="AR41" s="57" t="str">
        <x:f>IF('制度詳細'!$H$41="",IF('制度詳細'!$J$41="","",IF(AND('制度詳細'!$J$41&gt;=AR$5,'制度詳細'!$J$41&lt;=EOMONTH(AR$5,0)),"◆","")),IF(MAX('制度詳細'!$H$41,AR$5)&lt;=MIN(IF('制度詳細'!$I$41="",EOMONTH(AR$5,0),'制度詳細'!$I$41),EOMONTH(AR$5,0)),"■",IF(AND('制度詳細'!$J$41&lt;&gt;"",'制度詳細'!$J$41&gt;=AR$5,'制度詳細'!$J$41&lt;=EOMONTH(AR$5,0)),"◆","")))</x:f>
        <x:v>■</x:v>
      </x:c>
      <x:c r="AS41" s="57" t="str">
        <x:f>IF('制度詳細'!$H$41="",IF('制度詳細'!$J$41="","",IF(AND('制度詳細'!$J$41&gt;=AS$5,'制度詳細'!$J$41&lt;=EOMONTH(AS$5,0)),"◆","")),IF(MAX('制度詳細'!$H$41,AS$5)&lt;=MIN(IF('制度詳細'!$I$41="",EOMONTH(AS$5,0),'制度詳細'!$I$41),EOMONTH(AS$5,0)),"■",IF(AND('制度詳細'!$J$41&lt;&gt;"",'制度詳細'!$J$41&gt;=AS$5,'制度詳細'!$J$41&lt;=EOMONTH(AS$5,0)),"◆","")))</x:f>
        <x:v>■</x:v>
      </x:c>
      <x:c r="AT41" s="57" t="str">
        <x:f>IF('制度詳細'!$H$41="",IF('制度詳細'!$J$41="","",IF(AND('制度詳細'!$J$41&gt;=AT$5,'制度詳細'!$J$41&lt;=EOMONTH(AT$5,0)),"◆","")),IF(MAX('制度詳細'!$H$41,AT$5)&lt;=MIN(IF('制度詳細'!$I$41="",EOMONTH(AT$5,0),'制度詳細'!$I$41),EOMONTH(AT$5,0)),"■",IF(AND('制度詳細'!$J$41&lt;&gt;"",'制度詳細'!$J$41&gt;=AT$5,'制度詳細'!$J$41&lt;=EOMONTH(AT$5,0)),"◆","")))</x:f>
        <x:v>■</x:v>
      </x:c>
      <x:c r="AU41" s="57" t="str">
        <x:f>IF('制度詳細'!$H$41="",IF('制度詳細'!$J$41="","",IF(AND('制度詳細'!$J$41&gt;=AU$5,'制度詳細'!$J$41&lt;=EOMONTH(AU$5,0)),"◆","")),IF(MAX('制度詳細'!$H$41,AU$5)&lt;=MIN(IF('制度詳細'!$I$41="",EOMONTH(AU$5,0),'制度詳細'!$I$41),EOMONTH(AU$5,0)),"■",IF(AND('制度詳細'!$J$41&lt;&gt;"",'制度詳細'!$J$41&gt;=AU$5,'制度詳細'!$J$41&lt;=EOMONTH(AU$5,0)),"◆","")))</x:f>
        <x:v>■</x:v>
      </x:c>
      <x:c r="AV41" s="57" t="str">
        <x:f>IF('制度詳細'!$H$41="",IF('制度詳細'!$J$41="","",IF(AND('制度詳細'!$J$41&gt;=AV$5,'制度詳細'!$J$41&lt;=EOMONTH(AV$5,0)),"◆","")),IF(MAX('制度詳細'!$H$41,AV$5)&lt;=MIN(IF('制度詳細'!$I$41="",EOMONTH(AV$5,0),'制度詳細'!$I$41),EOMONTH(AV$5,0)),"■",IF(AND('制度詳細'!$J$41&lt;&gt;"",'制度詳細'!$J$41&gt;=AV$5,'制度詳細'!$J$41&lt;=EOMONTH(AV$5,0)),"◆","")))</x:f>
        <x:v>■</x:v>
      </x:c>
      <x:c r="AW41" s="57" t="str">
        <x:f>IF('制度詳細'!$H$41="",IF('制度詳細'!$J$41="","",IF(AND('制度詳細'!$J$41&gt;=AW$5,'制度詳細'!$J$41&lt;=EOMONTH(AW$5,0)),"◆","")),IF(MAX('制度詳細'!$H$41,AW$5)&lt;=MIN(IF('制度詳細'!$I$41="",EOMONTH(AW$5,0),'制度詳細'!$I$41),EOMONTH(AW$5,0)),"■",IF(AND('制度詳細'!$J$41&lt;&gt;"",'制度詳細'!$J$41&gt;=AW$5,'制度詳細'!$J$41&lt;=EOMONTH(AW$5,0)),"◆","")))</x:f>
        <x:v>■</x:v>
      </x:c>
      <x:c r="AX41" s="57" t="str">
        <x:f>IF('制度詳細'!$H$41="",IF('制度詳細'!$J$41="","",IF(AND('制度詳細'!$J$41&gt;=AX$5,'制度詳細'!$J$41&lt;=EOMONTH(AX$5,0)),"◆","")),IF(MAX('制度詳細'!$H$41,AX$5)&lt;=MIN(IF('制度詳細'!$I$41="",EOMONTH(AX$5,0),'制度詳細'!$I$41),EOMONTH(AX$5,0)),"■",IF(AND('制度詳細'!$J$41&lt;&gt;"",'制度詳細'!$J$41&gt;=AX$5,'制度詳細'!$J$41&lt;=EOMONTH(AX$5,0)),"◆","")))</x:f>
        <x:v>■</x:v>
      </x:c>
      <x:c r="AY41" s="57" t="str">
        <x:f>IF('制度詳細'!$H$41="",IF('制度詳細'!$J$41="","",IF(AND('制度詳細'!$J$41&gt;=AY$5,'制度詳細'!$J$41&lt;=EOMONTH(AY$5,0)),"◆","")),IF(MAX('制度詳細'!$H$41,AY$5)&lt;=MIN(IF('制度詳細'!$I$41="",EOMONTH(AY$5,0),'制度詳細'!$I$41),EOMONTH(AY$5,0)),"■",IF(AND('制度詳細'!$J$41&lt;&gt;"",'制度詳細'!$J$41&gt;=AY$5,'制度詳細'!$J$41&lt;=EOMONTH(AY$5,0)),"◆","")))</x:f>
        <x:v>■</x:v>
      </x:c>
      <x:c r="AZ41" s="57" t="str">
        <x:f>IF('制度詳細'!$H$41="",IF('制度詳細'!$J$41="","",IF(AND('制度詳細'!$J$41&gt;=AZ$5,'制度詳細'!$J$41&lt;=EOMONTH(AZ$5,0)),"◆","")),IF(MAX('制度詳細'!$H$41,AZ$5)&lt;=MIN(IF('制度詳細'!$I$41="",EOMONTH(AZ$5,0),'制度詳細'!$I$41),EOMONTH(AZ$5,0)),"■",IF(AND('制度詳細'!$J$41&lt;&gt;"",'制度詳細'!$J$41&gt;=AZ$5,'制度詳細'!$J$41&lt;=EOMONTH(AZ$5,0)),"◆","")))</x:f>
        <x:v>■</x:v>
      </x:c>
      <x:c r="BA41" s="57" t="str">
        <x:f>IF('制度詳細'!$H$41="",IF('制度詳細'!$J$41="","",IF(AND('制度詳細'!$J$41&gt;=BA$5,'制度詳細'!$J$41&lt;=EOMONTH(BA$5,0)),"◆","")),IF(MAX('制度詳細'!$H$41,BA$5)&lt;=MIN(IF('制度詳細'!$I$41="",EOMONTH(BA$5,0),'制度詳細'!$I$41),EOMONTH(BA$5,0)),"■",IF(AND('制度詳細'!$J$41&lt;&gt;"",'制度詳細'!$J$41&gt;=BA$5,'制度詳細'!$J$41&lt;=EOMONTH(BA$5,0)),"◆","")))</x:f>
        <x:v>■</x:v>
      </x:c>
      <x:c r="BB41" s="57" t="str">
        <x:f>IF('制度詳細'!$H$41="",IF('制度詳細'!$J$41="","",IF(AND('制度詳細'!$J$41&gt;=BB$5,'制度詳細'!$J$41&lt;=EOMONTH(BB$5,0)),"◆","")),IF(MAX('制度詳細'!$H$41,BB$5)&lt;=MIN(IF('制度詳細'!$I$41="",EOMONTH(BB$5,0),'制度詳細'!$I$41),EOMONTH(BB$5,0)),"■",IF(AND('制度詳細'!$J$41&lt;&gt;"",'制度詳細'!$J$41&gt;=BB$5,'制度詳細'!$J$41&lt;=EOMONTH(BB$5,0)),"◆","")))</x:f>
        <x:v>■</x:v>
      </x:c>
      <x:c r="BC41" s="57" t="str">
        <x:f>IF('制度詳細'!$H$41="",IF('制度詳細'!$J$41="","",IF(AND('制度詳細'!$J$41&gt;=BC$5,'制度詳細'!$J$41&lt;=EOMONTH(BC$5,0)),"◆","")),IF(MAX('制度詳細'!$H$41,BC$5)&lt;=MIN(IF('制度詳細'!$I$41="",EOMONTH(BC$5,0),'制度詳細'!$I$41),EOMONTH(BC$5,0)),"■",IF(AND('制度詳細'!$J$41&lt;&gt;"",'制度詳細'!$J$41&gt;=BC$5,'制度詳細'!$J$41&lt;=EOMONTH(BC$5,0)),"◆","")))</x:f>
        <x:v>■</x:v>
      </x:c>
      <x:c r="BD41" s="57" t="str">
        <x:f>IF('制度詳細'!$H$41="",IF('制度詳細'!$J$41="","",IF(AND('制度詳細'!$J$41&gt;=BD$5,'制度詳細'!$J$41&lt;=EOMONTH(BD$5,0)),"◆","")),IF(MAX('制度詳細'!$H$41,BD$5)&lt;=MIN(IF('制度詳細'!$I$41="",EOMONTH(BD$5,0),'制度詳細'!$I$41),EOMONTH(BD$5,0)),"■",IF(AND('制度詳細'!$J$41&lt;&gt;"",'制度詳細'!$J$41&gt;=BD$5,'制度詳細'!$J$41&lt;=EOMONTH(BD$5,0)),"◆","")))</x:f>
        <x:v>■</x:v>
      </x:c>
      <x:c r="BE41" s="57" t="str">
        <x:f>IF('制度詳細'!$H$41="",IF('制度詳細'!$J$41="","",IF(AND('制度詳細'!$J$41&gt;=BE$5,'制度詳細'!$J$41&lt;=EOMONTH(BE$5,0)),"◆","")),IF(MAX('制度詳細'!$H$41,BE$5)&lt;=MIN(IF('制度詳細'!$I$41="",EOMONTH(BE$5,0),'制度詳細'!$I$41),EOMONTH(BE$5,0)),"■",IF(AND('制度詳細'!$J$41&lt;&gt;"",'制度詳細'!$J$41&gt;=BE$5,'制度詳細'!$J$41&lt;=EOMONTH(BE$5,0)),"◆","")))</x:f>
        <x:v>■</x:v>
      </x:c>
      <x:c r="BF41" s="57" t="str">
        <x:f>IF('制度詳細'!$H$41="",IF('制度詳細'!$J$41="","",IF(AND('制度詳細'!$J$41&gt;=BF$5,'制度詳細'!$J$41&lt;=EOMONTH(BF$5,0)),"◆","")),IF(MAX('制度詳細'!$H$41,BF$5)&lt;=MIN(IF('制度詳細'!$I$41="",EOMONTH(BF$5,0),'制度詳細'!$I$41),EOMONTH(BF$5,0)),"■",IF(AND('制度詳細'!$J$41&lt;&gt;"",'制度詳細'!$J$41&gt;=BF$5,'制度詳細'!$J$41&lt;=EOMONTH(BF$5,0)),"◆","")))</x:f>
        <x:v>■</x:v>
      </x:c>
      <x:c r="BG41" s="57" t="str">
        <x:f>IF('制度詳細'!$H$41="",IF('制度詳細'!$J$41="","",IF(AND('制度詳細'!$J$41&gt;=BG$5,'制度詳細'!$J$41&lt;=EOMONTH(BG$5,0)),"◆","")),IF(MAX('制度詳細'!$H$41,BG$5)&lt;=MIN(IF('制度詳細'!$I$41="",EOMONTH(BG$5,0),'制度詳細'!$I$41),EOMONTH(BG$5,0)),"■",IF(AND('制度詳細'!$J$41&lt;&gt;"",'制度詳細'!$J$41&gt;=BG$5,'制度詳細'!$J$41&lt;=EOMONTH(BG$5,0)),"◆","")))</x:f>
      </x:c>
      <x:c r="BH41" s="57" t="str">
        <x:f>IF('制度詳細'!$H$41="",IF('制度詳細'!$J$41="","",IF(AND('制度詳細'!$J$41&gt;=BH$5,'制度詳細'!$J$41&lt;=EOMONTH(BH$5,0)),"◆","")),IF(MAX('制度詳細'!$H$41,BH$5)&lt;=MIN(IF('制度詳細'!$I$41="",EOMONTH(BH$5,0),'制度詳細'!$I$41),EOMONTH(BH$5,0)),"■",IF(AND('制度詳細'!$J$41&lt;&gt;"",'制度詳細'!$J$41&gt;=BH$5,'制度詳細'!$J$41&lt;=EOMONTH(BH$5,0)),"◆","")))</x:f>
      </x:c>
      <x:c r="BI41" s="57" t="str">
        <x:f>IF('制度詳細'!$H$41="",IF('制度詳細'!$J$41="","",IF(AND('制度詳細'!$J$41&gt;=BI$5,'制度詳細'!$J$41&lt;=EOMONTH(BI$5,0)),"◆","")),IF(MAX('制度詳細'!$H$41,BI$5)&lt;=MIN(IF('制度詳細'!$I$41="",EOMONTH(BI$5,0),'制度詳細'!$I$41),EOMONTH(BI$5,0)),"■",IF(AND('制度詳細'!$J$41&lt;&gt;"",'制度詳細'!$J$41&gt;=BI$5,'制度詳細'!$J$41&lt;=EOMONTH(BI$5,0)),"◆","")))</x:f>
      </x:c>
      <x:c r="BJ41" s="57" t="str">
        <x:f>IF('制度詳細'!$H$41="",IF('制度詳細'!$J$41="","",IF(AND('制度詳細'!$J$41&gt;=BJ$5,'制度詳細'!$J$41&lt;=EOMONTH(BJ$5,0)),"◆","")),IF(MAX('制度詳細'!$H$41,BJ$5)&lt;=MIN(IF('制度詳細'!$I$41="",EOMONTH(BJ$5,0),'制度詳細'!$I$41),EOMONTH(BJ$5,0)),"■",IF(AND('制度詳細'!$J$41&lt;&gt;"",'制度詳細'!$J$41&gt;=BJ$5,'制度詳細'!$J$41&lt;=EOMONTH(BJ$5,0)),"◆","")))</x:f>
      </x:c>
      <x:c r="BK41" s="57" t="str">
        <x:f>IF('制度詳細'!$H$41="",IF('制度詳細'!$J$41="","",IF(AND('制度詳細'!$J$41&gt;=BK$5,'制度詳細'!$J$41&lt;=EOMONTH(BK$5,0)),"◆","")),IF(MAX('制度詳細'!$H$41,BK$5)&lt;=MIN(IF('制度詳細'!$I$41="",EOMONTH(BK$5,0),'制度詳細'!$I$41),EOMONTH(BK$5,0)),"■",IF(AND('制度詳細'!$J$41&lt;&gt;"",'制度詳細'!$J$41&gt;=BK$5,'制度詳細'!$J$41&lt;=EOMONTH(BK$5,0)),"◆","")))</x:f>
      </x:c>
      <x:c r="BL41" s="57" t="str">
        <x:f>IF('制度詳細'!$H$41="",IF('制度詳細'!$J$41="","",IF(AND('制度詳細'!$J$41&gt;=BL$5,'制度詳細'!$J$41&lt;=EOMONTH(BL$5,0)),"◆","")),IF(MAX('制度詳細'!$H$41,BL$5)&lt;=MIN(IF('制度詳細'!$I$41="",EOMONTH(BL$5,0),'制度詳細'!$I$41),EOMONTH(BL$5,0)),"■",IF(AND('制度詳細'!$J$41&lt;&gt;"",'制度詳細'!$J$41&gt;=BL$5,'制度詳細'!$J$41&lt;=EOMONTH(BL$5,0)),"◆","")))</x:f>
      </x:c>
      <x:c r="BM41" s="57" t="str">
        <x:f>IF('制度詳細'!$H$41="",IF('制度詳細'!$J$41="","",IF(AND('制度詳細'!$J$41&gt;=BM$5,'制度詳細'!$J$41&lt;=EOMONTH(BM$5,0)),"◆","")),IF(MAX('制度詳細'!$H$41,BM$5)&lt;=MIN(IF('制度詳細'!$I$41="",EOMONTH(BM$5,0),'制度詳細'!$I$41),EOMONTH(BM$5,0)),"■",IF(AND('制度詳細'!$J$41&lt;&gt;"",'制度詳細'!$J$41&gt;=BM$5,'制度詳細'!$J$41&lt;=EOMONTH(BM$5,0)),"◆","")))</x:f>
      </x:c>
      <x:c r="BN41" s="57" t="str">
        <x:f>IF('制度詳細'!$H$41="",IF('制度詳細'!$J$41="","",IF(AND('制度詳細'!$J$41&gt;=BN$5,'制度詳細'!$J$41&lt;=EOMONTH(BN$5,0)),"◆","")),IF(MAX('制度詳細'!$H$41,BN$5)&lt;=MIN(IF('制度詳細'!$I$41="",EOMONTH(BN$5,0),'制度詳細'!$I$41),EOMONTH(BN$5,0)),"■",IF(AND('制度詳細'!$J$41&lt;&gt;"",'制度詳細'!$J$41&gt;=BN$5,'制度詳細'!$J$41&lt;=EOMONTH(BN$5,0)),"◆","")))</x:f>
      </x:c>
      <x:c r="BO41" s="57" t="str">
        <x:f>IF('制度詳細'!$H$41="",IF('制度詳細'!$J$41="","",IF(AND('制度詳細'!$J$41&gt;=BO$5,'制度詳細'!$J$41&lt;=EOMONTH(BO$5,0)),"◆","")),IF(MAX('制度詳細'!$H$41,BO$5)&lt;=MIN(IF('制度詳細'!$I$41="",EOMONTH(BO$5,0),'制度詳細'!$I$41),EOMONTH(BO$5,0)),"■",IF(AND('制度詳細'!$J$41&lt;&gt;"",'制度詳細'!$J$41&gt;=BO$5,'制度詳細'!$J$41&lt;=EOMONTH(BO$5,0)),"◆","")))</x:f>
      </x:c>
      <x:c r="BP41" s="57" t="str">
        <x:f>IF('制度詳細'!$H$41="",IF('制度詳細'!$J$41="","",IF(AND('制度詳細'!$J$41&gt;=BP$5,'制度詳細'!$J$41&lt;=EOMONTH(BP$5,0)),"◆","")),IF(MAX('制度詳細'!$H$41,BP$5)&lt;=MIN(IF('制度詳細'!$I$41="",EOMONTH(BP$5,0),'制度詳細'!$I$41),EOMONTH(BP$5,0)),"■",IF(AND('制度詳細'!$J$41&lt;&gt;"",'制度詳細'!$J$41&gt;=BP$5,'制度詳細'!$J$41&lt;=EOMONTH(BP$5,0)),"◆","")))</x:f>
      </x:c>
      <x:c r="BQ41" s="57" t="str">
        <x:f>IF('制度詳細'!$H$41="",IF('制度詳細'!$J$41="","",IF(AND('制度詳細'!$J$41&gt;=BQ$5,'制度詳細'!$J$41&lt;=EOMONTH(BQ$5,0)),"◆","")),IF(MAX('制度詳細'!$H$41,BQ$5)&lt;=MIN(IF('制度詳細'!$I$41="",EOMONTH(BQ$5,0),'制度詳細'!$I$41),EOMONTH(BQ$5,0)),"■",IF(AND('制度詳細'!$J$41&lt;&gt;"",'制度詳細'!$J$41&gt;=BQ$5,'制度詳細'!$J$41&lt;=EOMONTH(BQ$5,0)),"◆","")))</x:f>
      </x:c>
      <x:c r="BR41" s="57" t="str">
        <x:f>IF('制度詳細'!$H$41="",IF('制度詳細'!$J$41="","",IF(AND('制度詳細'!$J$41&gt;=BR$5,'制度詳細'!$J$41&lt;=EOMONTH(BR$5,0)),"◆","")),IF(MAX('制度詳細'!$H$41,BR$5)&lt;=MIN(IF('制度詳細'!$I$41="",EOMONTH(BR$5,0),'制度詳細'!$I$41),EOMONTH(BR$5,0)),"■",IF(AND('制度詳細'!$J$41&lt;&gt;"",'制度詳細'!$J$41&gt;=BR$5,'制度詳細'!$J$41&lt;=EOMONTH(BR$5,0)),"◆","")))</x:f>
      </x:c>
      <x:c r="BS41" s="57" t="str">
        <x:f>IF('制度詳細'!$H$41="",IF('制度詳細'!$J$41="","",IF(AND('制度詳細'!$J$41&gt;=BS$5,'制度詳細'!$J$41&lt;=EOMONTH(BS$5,0)),"◆","")),IF(MAX('制度詳細'!$H$41,BS$5)&lt;=MIN(IF('制度詳細'!$I$41="",EOMONTH(BS$5,0),'制度詳細'!$I$41),EOMONTH(BS$5,0)),"■",IF(AND('制度詳細'!$J$41&lt;&gt;"",'制度詳細'!$J$41&gt;=BS$5,'制度詳細'!$J$41&lt;=EOMONTH(BS$5,0)),"◆","")))</x:f>
      </x:c>
      <x:c r="BT41" s="57" t="str">
        <x:f>IF('制度詳細'!$H$41="",IF('制度詳細'!$J$41="","",IF(AND('制度詳細'!$J$41&gt;=BT$5,'制度詳細'!$J$41&lt;=EOMONTH(BT$5,0)),"◆","")),IF(MAX('制度詳細'!$H$41,BT$5)&lt;=MIN(IF('制度詳細'!$I$41="",EOMONTH(BT$5,0),'制度詳細'!$I$41),EOMONTH(BT$5,0)),"■",IF(AND('制度詳細'!$J$41&lt;&gt;"",'制度詳細'!$J$41&gt;=BT$5,'制度詳細'!$J$41&lt;=EOMONTH(BT$5,0)),"◆","")))</x:f>
      </x:c>
      <x:c r="BU41" s="57" t="str">
        <x:f>IF('制度詳細'!$H$41="",IF('制度詳細'!$J$41="","",IF(AND('制度詳細'!$J$41&gt;=BU$5,'制度詳細'!$J$41&lt;=EOMONTH(BU$5,0)),"◆","")),IF(MAX('制度詳細'!$H$41,BU$5)&lt;=MIN(IF('制度詳細'!$I$41="",EOMONTH(BU$5,0),'制度詳細'!$I$41),EOMONTH(BU$5,0)),"■",IF(AND('制度詳細'!$J$41&lt;&gt;"",'制度詳細'!$J$41&gt;=BU$5,'制度詳細'!$J$41&lt;=EOMONTH(BU$5,0)),"◆","")))</x:f>
      </x:c>
      <x:c r="BV41" s="57" t="str">
        <x:f>IF('制度詳細'!$H$41="",IF('制度詳細'!$J$41="","",IF(AND('制度詳細'!$J$41&gt;=BV$5,'制度詳細'!$J$41&lt;=EOMONTH(BV$5,0)),"◆","")),IF(MAX('制度詳細'!$H$41,BV$5)&lt;=MIN(IF('制度詳細'!$I$41="",EOMONTH(BV$5,0),'制度詳細'!$I$41),EOMONTH(BV$5,0)),"■",IF(AND('制度詳細'!$J$41&lt;&gt;"",'制度詳細'!$J$41&gt;=BV$5,'制度詳細'!$J$41&lt;=EOMONTH(BV$5,0)),"◆","")))</x:f>
      </x:c>
      <x:c r="BW41" s="57" t="str">
        <x:f>IF('制度詳細'!$H$41="",IF('制度詳細'!$J$41="","",IF(AND('制度詳細'!$J$41&gt;=BW$5,'制度詳細'!$J$41&lt;=EOMONTH(BW$5,0)),"◆","")),IF(MAX('制度詳細'!$H$41,BW$5)&lt;=MIN(IF('制度詳細'!$I$41="",EOMONTH(BW$5,0),'制度詳細'!$I$41),EOMONTH(BW$5,0)),"■",IF(AND('制度詳細'!$J$41&lt;&gt;"",'制度詳細'!$J$41&gt;=BW$5,'制度詳細'!$J$41&lt;=EOMONTH(BW$5,0)),"◆","")))</x:f>
      </x:c>
      <x:c r="BX41" s="57" t="str">
        <x:f>IF('制度詳細'!$H$41="",IF('制度詳細'!$J$41="","",IF(AND('制度詳細'!$J$41&gt;=BX$5,'制度詳細'!$J$41&lt;=EOMONTH(BX$5,0)),"◆","")),IF(MAX('制度詳細'!$H$41,BX$5)&lt;=MIN(IF('制度詳細'!$I$41="",EOMONTH(BX$5,0),'制度詳細'!$I$41),EOMONTH(BX$5,0)),"■",IF(AND('制度詳細'!$J$41&lt;&gt;"",'制度詳細'!$J$41&gt;=BX$5,'制度詳細'!$J$41&lt;=EOMONTH(BX$5,0)),"◆","")))</x:f>
      </x:c>
      <x:c r="BY41" s="57" t="str">
        <x:f>IF('制度詳細'!$H$41="",IF('制度詳細'!$J$41="","",IF(AND('制度詳細'!$J$41&gt;=BY$5,'制度詳細'!$J$41&lt;=EOMONTH(BY$5,0)),"◆","")),IF(MAX('制度詳細'!$H$41,BY$5)&lt;=MIN(IF('制度詳細'!$I$41="",EOMONTH(BY$5,0),'制度詳細'!$I$41),EOMONTH(BY$5,0)),"■",IF(AND('制度詳細'!$J$41&lt;&gt;"",'制度詳細'!$J$41&gt;=BY$5,'制度詳細'!$J$41&lt;=EOMONTH(BY$5,0)),"◆","")))</x:f>
      </x:c>
      <x:c r="BZ41" s="57" t="str">
        <x:f>IF('制度詳細'!$H$41="",IF('制度詳細'!$J$41="","",IF(AND('制度詳細'!$J$41&gt;=BZ$5,'制度詳細'!$J$41&lt;=EOMONTH(BZ$5,0)),"◆","")),IF(MAX('制度詳細'!$H$41,BZ$5)&lt;=MIN(IF('制度詳細'!$I$41="",EOMONTH(BZ$5,0),'制度詳細'!$I$41),EOMONTH(BZ$5,0)),"■",IF(AND('制度詳細'!$J$41&lt;&gt;"",'制度詳細'!$J$41&gt;=BZ$5,'制度詳細'!$J$41&lt;=EOMONTH(BZ$5,0)),"◆","")))</x:f>
      </x:c>
      <x:c r="CA41" s="57" t="str">
        <x:f>IF('制度詳細'!$H$41="",IF('制度詳細'!$J$41="","",IF(AND('制度詳細'!$J$41&gt;=CA$5,'制度詳細'!$J$41&lt;=EOMONTH(CA$5,0)),"◆","")),IF(MAX('制度詳細'!$H$41,CA$5)&lt;=MIN(IF('制度詳細'!$I$41="",EOMONTH(CA$5,0),'制度詳細'!$I$41),EOMONTH(CA$5,0)),"■",IF(AND('制度詳細'!$J$41&lt;&gt;"",'制度詳細'!$J$41&gt;=CA$5,'制度詳細'!$J$41&lt;=EOMONTH(CA$5,0)),"◆","")))</x:f>
      </x:c>
      <x:c r="CB41" s="57" t="str">
        <x:f>IF('制度詳細'!$H$41="",IF('制度詳細'!$J$41="","",IF(AND('制度詳細'!$J$41&gt;=CB$5,'制度詳細'!$J$41&lt;=EOMONTH(CB$5,0)),"◆","")),IF(MAX('制度詳細'!$H$41,CB$5)&lt;=MIN(IF('制度詳細'!$I$41="",EOMONTH(CB$5,0),'制度詳細'!$I$41),EOMONTH(CB$5,0)),"■",IF(AND('制度詳細'!$J$41&lt;&gt;"",'制度詳細'!$J$41&gt;=CB$5,'制度詳細'!$J$41&lt;=EOMONTH(CB$5,0)),"◆","")))</x:f>
      </x:c>
      <x:c r="CC41" s="57" t="str">
        <x:f>IF('制度詳細'!$H$41="",IF('制度詳細'!$J$41="","",IF(AND('制度詳細'!$J$41&gt;=CC$5,'制度詳細'!$J$41&lt;=EOMONTH(CC$5,0)),"◆","")),IF(MAX('制度詳細'!$H$41,CC$5)&lt;=MIN(IF('制度詳細'!$I$41="",EOMONTH(CC$5,0),'制度詳細'!$I$41),EOMONTH(CC$5,0)),"■",IF(AND('制度詳細'!$J$41&lt;&gt;"",'制度詳細'!$J$41&gt;=CC$5,'制度詳細'!$J$41&lt;=EOMONTH(CC$5,0)),"◆","")))</x:f>
      </x:c>
      <x:c r="CD41" s="57" t="str">
        <x:f>IF('制度詳細'!$H$41="",IF('制度詳細'!$J$41="","",IF(AND('制度詳細'!$J$41&gt;=CD$5,'制度詳細'!$J$41&lt;=EOMONTH(CD$5,0)),"◆","")),IF(MAX('制度詳細'!$H$41,CD$5)&lt;=MIN(IF('制度詳細'!$I$41="",EOMONTH(CD$5,0),'制度詳細'!$I$41),EOMONTH(CD$5,0)),"■",IF(AND('制度詳細'!$J$41&lt;&gt;"",'制度詳細'!$J$41&gt;=CD$5,'制度詳細'!$J$41&lt;=EOMONTH(CD$5,0)),"◆","")))</x:f>
      </x:c>
      <x:c r="CE41" s="57" t="str">
        <x:f>IF('制度詳細'!$H$41="",IF('制度詳細'!$J$41="","",IF(AND('制度詳細'!$J$41&gt;=CE$5,'制度詳細'!$J$41&lt;=EOMONTH(CE$5,0)),"◆","")),IF(MAX('制度詳細'!$H$41,CE$5)&lt;=MIN(IF('制度詳細'!$I$41="",EOMONTH(CE$5,0),'制度詳細'!$I$41),EOMONTH(CE$5,0)),"■",IF(AND('制度詳細'!$J$41&lt;&gt;"",'制度詳細'!$J$41&gt;=CE$5,'制度詳細'!$J$41&lt;=EOMONTH(CE$5,0)),"◆","")))</x:f>
      </x:c>
      <x:c r="CF41" s="57" t="str">
        <x:f>IF('制度詳細'!$H$41="",IF('制度詳細'!$J$41="","",IF(AND('制度詳細'!$J$41&gt;=CF$5,'制度詳細'!$J$41&lt;=EOMONTH(CF$5,0)),"◆","")),IF(MAX('制度詳細'!$H$41,CF$5)&lt;=MIN(IF('制度詳細'!$I$41="",EOMONTH(CF$5,0),'制度詳細'!$I$41),EOMONTH(CF$5,0)),"■",IF(AND('制度詳細'!$J$41&lt;&gt;"",'制度詳細'!$J$41&gt;=CF$5,'制度詳細'!$J$41&lt;=EOMONTH(CF$5,0)),"◆","")))</x:f>
      </x:c>
      <x:c r="CG41" s="57" t="str">
        <x:f>IF('制度詳細'!$H$41="",IF('制度詳細'!$J$41="","",IF(AND('制度詳細'!$J$41&gt;=CG$5,'制度詳細'!$J$41&lt;=EOMONTH(CG$5,0)),"◆","")),IF(MAX('制度詳細'!$H$41,CG$5)&lt;=MIN(IF('制度詳細'!$I$41="",EOMONTH(CG$5,0),'制度詳細'!$I$41),EOMONTH(CG$5,0)),"■",IF(AND('制度詳細'!$J$41&lt;&gt;"",'制度詳細'!$J$41&gt;=CG$5,'制度詳細'!$J$41&lt;=EOMONTH(CG$5,0)),"◆","")))</x:f>
      </x:c>
      <x:c r="CH41" s="57" t="str">
        <x:f>IF('制度詳細'!$H$41="",IF('制度詳細'!$J$41="","",IF(AND('制度詳細'!$J$41&gt;=CH$5,'制度詳細'!$J$41&lt;=EOMONTH(CH$5,0)),"◆","")),IF(MAX('制度詳細'!$H$41,CH$5)&lt;=MIN(IF('制度詳細'!$I$41="",EOMONTH(CH$5,0),'制度詳細'!$I$41),EOMONTH(CH$5,0)),"■",IF(AND('制度詳細'!$J$41&lt;&gt;"",'制度詳細'!$J$41&gt;=CH$5,'制度詳細'!$J$41&lt;=EOMONTH(CH$5,0)),"◆","")))</x:f>
      </x:c>
      <x:c r="CI41" s="57" t="str">
        <x:f>IF('制度詳細'!$H$41="",IF('制度詳細'!$J$41="","",IF(AND('制度詳細'!$J$41&gt;=CI$5,'制度詳細'!$J$41&lt;=EOMONTH(CI$5,0)),"◆","")),IF(MAX('制度詳細'!$H$41,CI$5)&lt;=MIN(IF('制度詳細'!$I$41="",EOMONTH(CI$5,0),'制度詳細'!$I$41),EOMONTH(CI$5,0)),"■",IF(AND('制度詳細'!$J$41&lt;&gt;"",'制度詳細'!$J$41&gt;=CI$5,'制度詳細'!$J$41&lt;=EOMONTH(CI$5,0)),"◆","")))</x:f>
      </x:c>
      <x:c r="CJ41" s="57" t="str">
        <x:f>IF('制度詳細'!$H$41="",IF('制度詳細'!$J$41="","",IF(AND('制度詳細'!$J$41&gt;=CJ$5,'制度詳細'!$J$41&lt;=EOMONTH(CJ$5,0)),"◆","")),IF(MAX('制度詳細'!$H$41,CJ$5)&lt;=MIN(IF('制度詳細'!$I$41="",EOMONTH(CJ$5,0),'制度詳細'!$I$41),EOMONTH(CJ$5,0)),"■",IF(AND('制度詳細'!$J$41&lt;&gt;"",'制度詳細'!$J$41&gt;=CJ$5,'制度詳細'!$J$41&lt;=EOMONTH(CJ$5,0)),"◆","")))</x:f>
      </x:c>
      <x:c r="CK41" s="57" t="str">
        <x:f>IF('制度詳細'!$H$41="",IF('制度詳細'!$J$41="","",IF(AND('制度詳細'!$J$41&gt;=CK$5,'制度詳細'!$J$41&lt;=EOMONTH(CK$5,0)),"◆","")),IF(MAX('制度詳細'!$H$41,CK$5)&lt;=MIN(IF('制度詳細'!$I$41="",EOMONTH(CK$5,0),'制度詳細'!$I$41),EOMONTH(CK$5,0)),"■",IF(AND('制度詳細'!$J$41&lt;&gt;"",'制度詳細'!$J$41&gt;=CK$5,'制度詳細'!$J$41&lt;=EOMONTH(CK$5,0)),"◆","")))</x:f>
      </x:c>
      <x:c r="CL41" s="57" t="str">
        <x:f>IF('制度詳細'!$H$41="",IF('制度詳細'!$J$41="","",IF(AND('制度詳細'!$J$41&gt;=CL$5,'制度詳細'!$J$41&lt;=EOMONTH(CL$5,0)),"◆","")),IF(MAX('制度詳細'!$H$41,CL$5)&lt;=MIN(IF('制度詳細'!$I$41="",EOMONTH(CL$5,0),'制度詳細'!$I$41),EOMONTH(CL$5,0)),"■",IF(AND('制度詳細'!$J$41&lt;&gt;"",'制度詳細'!$J$41&gt;=CL$5,'制度詳細'!$J$41&lt;=EOMONTH(CL$5,0)),"◆","")))</x:f>
      </x:c>
      <x:c r="CM41" s="57" t="str">
        <x:f>IF('制度詳細'!$H$41="",IF('制度詳細'!$J$41="","",IF(AND('制度詳細'!$J$41&gt;=CM$5,'制度詳細'!$J$41&lt;=EOMONTH(CM$5,0)),"◆","")),IF(MAX('制度詳細'!$H$41,CM$5)&lt;=MIN(IF('制度詳細'!$I$41="",EOMONTH(CM$5,0),'制度詳細'!$I$41),EOMONTH(CM$5,0)),"■",IF(AND('制度詳細'!$J$41&lt;&gt;"",'制度詳細'!$J$41&gt;=CM$5,'制度詳細'!$J$41&lt;=EOMONTH(CM$5,0)),"◆","")))</x:f>
      </x:c>
      <x:c r="CN41" s="57" t="str">
        <x:f>IF('制度詳細'!$H$41="",IF('制度詳細'!$J$41="","",IF(AND('制度詳細'!$J$41&gt;=CN$5,'制度詳細'!$J$41&lt;=EOMONTH(CN$5,0)),"◆","")),IF(MAX('制度詳細'!$H$41,CN$5)&lt;=MIN(IF('制度詳細'!$I$41="",EOMONTH(CN$5,0),'制度詳細'!$I$41),EOMONTH(CN$5,0)),"■",IF(AND('制度詳細'!$J$41&lt;&gt;"",'制度詳細'!$J$41&gt;=CN$5,'制度詳細'!$J$41&lt;=EOMONTH(CN$5,0)),"◆","")))</x:f>
      </x:c>
      <x:c r="CO41" s="57" t="str">
        <x:f>IF('制度詳細'!$H$41="",IF('制度詳細'!$J$41="","",IF(AND('制度詳細'!$J$41&gt;=CO$5,'制度詳細'!$J$41&lt;=EOMONTH(CO$5,0)),"◆","")),IF(MAX('制度詳細'!$H$41,CO$5)&lt;=MIN(IF('制度詳細'!$I$41="",EOMONTH(CO$5,0),'制度詳細'!$I$41),EOMONTH(CO$5,0)),"■",IF(AND('制度詳細'!$J$41&lt;&gt;"",'制度詳細'!$J$41&gt;=CO$5,'制度詳細'!$J$41&lt;=EOMONTH(CO$5,0)),"◆","")))</x:f>
      </x:c>
      <x:c r="CP41" s="57" t="str">
        <x:f>IF('制度詳細'!$H$41="",IF('制度詳細'!$J$41="","",IF(AND('制度詳細'!$J$41&gt;=CP$5,'制度詳細'!$J$41&lt;=EOMONTH(CP$5,0)),"◆","")),IF(MAX('制度詳細'!$H$41,CP$5)&lt;=MIN(IF('制度詳細'!$I$41="",EOMONTH(CP$5,0),'制度詳細'!$I$41),EOMONTH(CP$5,0)),"■",IF(AND('制度詳細'!$J$41&lt;&gt;"",'制度詳細'!$J$41&gt;=CP$5,'制度詳細'!$J$41&lt;=EOMONTH(CP$5,0)),"◆","")))</x:f>
      </x:c>
      <x:c r="CQ41" s="57" t="str">
        <x:f>IF('制度詳細'!$H$41="",IF('制度詳細'!$J$41="","",IF(AND('制度詳細'!$J$41&gt;=CQ$5,'制度詳細'!$J$41&lt;=EOMONTH(CQ$5,0)),"◆","")),IF(MAX('制度詳細'!$H$41,CQ$5)&lt;=MIN(IF('制度詳細'!$I$41="",EOMONTH(CQ$5,0),'制度詳細'!$I$41),EOMONTH(CQ$5,0)),"■",IF(AND('制度詳細'!$J$41&lt;&gt;"",'制度詳細'!$J$41&gt;=CQ$5,'制度詳細'!$J$41&lt;=EOMONTH(CQ$5,0)),"◆","")))</x:f>
      </x:c>
      <x:c r="CR41" s="57" t="str">
        <x:f>IF('制度詳細'!$H$41="",IF('制度詳細'!$J$41="","",IF(AND('制度詳細'!$J$41&gt;=CR$5,'制度詳細'!$J$41&lt;=EOMONTH(CR$5,0)),"◆","")),IF(MAX('制度詳細'!$H$41,CR$5)&lt;=MIN(IF('制度詳細'!$I$41="",EOMONTH(CR$5,0),'制度詳細'!$I$41),EOMONTH(CR$5,0)),"■",IF(AND('制度詳細'!$J$41&lt;&gt;"",'制度詳細'!$J$41&gt;=CR$5,'制度詳細'!$J$41&lt;=EOMONTH(CR$5,0)),"◆","")))</x:f>
      </x:c>
      <x:c r="CS41" s="57" t="str">
        <x:f>IF('制度詳細'!$H$41="",IF('制度詳細'!$J$41="","",IF(AND('制度詳細'!$J$41&gt;=CS$5,'制度詳細'!$J$41&lt;=EOMONTH(CS$5,0)),"◆","")),IF(MAX('制度詳細'!$H$41,CS$5)&lt;=MIN(IF('制度詳細'!$I$41="",EOMONTH(CS$5,0),'制度詳細'!$I$41),EOMONTH(CS$5,0)),"■",IF(AND('制度詳細'!$J$41&lt;&gt;"",'制度詳細'!$J$41&gt;=CS$5,'制度詳細'!$J$41&lt;=EOMONTH(CS$5,0)),"◆","")))</x:f>
      </x:c>
      <x:c r="CT41" s="57" t="str">
        <x:f>IF('制度詳細'!$H$41="",IF('制度詳細'!$J$41="","",IF(AND('制度詳細'!$J$41&gt;=CT$5,'制度詳細'!$J$41&lt;=EOMONTH(CT$5,0)),"◆","")),IF(MAX('制度詳細'!$H$41,CT$5)&lt;=MIN(IF('制度詳細'!$I$41="",EOMONTH(CT$5,0),'制度詳細'!$I$41),EOMONTH(CT$5,0)),"■",IF(AND('制度詳細'!$J$41&lt;&gt;"",'制度詳細'!$J$41&gt;=CT$5,'制度詳細'!$J$41&lt;=EOMONTH(CT$5,0)),"◆","")))</x:f>
      </x:c>
      <x:c r="CU41" s="57" t="str">
        <x:f>IF('制度詳細'!$H$41="",IF('制度詳細'!$J$41="","",IF(AND('制度詳細'!$J$41&gt;=CU$5,'制度詳細'!$J$41&lt;=EOMONTH(CU$5,0)),"◆","")),IF(MAX('制度詳細'!$H$41,CU$5)&lt;=MIN(IF('制度詳細'!$I$41="",EOMONTH(CU$5,0),'制度詳細'!$I$41),EOMONTH(CU$5,0)),"■",IF(AND('制度詳細'!$J$41&lt;&gt;"",'制度詳細'!$J$41&gt;=CU$5,'制度詳細'!$J$41&lt;=EOMONTH(CU$5,0)),"◆","")))</x:f>
      </x:c>
      <x:c r="CV41" s="57" t="str">
        <x:f>IF('制度詳細'!$H$41="",IF('制度詳細'!$J$41="","",IF(AND('制度詳細'!$J$41&gt;=CV$5,'制度詳細'!$J$41&lt;=EOMONTH(CV$5,0)),"◆","")),IF(MAX('制度詳細'!$H$41,CV$5)&lt;=MIN(IF('制度詳細'!$I$41="",EOMONTH(CV$5,0),'制度詳細'!$I$41),EOMONTH(CV$5,0)),"■",IF(AND('制度詳細'!$J$41&lt;&gt;"",'制度詳細'!$J$41&gt;=CV$5,'制度詳細'!$J$41&lt;=EOMONTH(CV$5,0)),"◆","")))</x:f>
      </x:c>
      <x:c r="CW41" s="1"/>
      <x:c r="CX41" s="1"/>
      <x:c r="CY41" s="1"/>
      <x:c r="CZ41" s="1"/>
      <x:c r="DA41" s="1"/>
      <x:c r="DB41" s="1"/>
      <x:c r="DC41" s="1"/>
      <x:c r="DD41" s="1"/>
    </x:row>
    <x:row r="42" ht="27" customHeight="1">
      <x:c r="A42" s="53" t="str">
        <x:v>PH04</x:v>
      </x:c>
      <x:c r="B42" s="53" t="str">
        <x:v>フィリピン</x:v>
      </x:c>
      <x:c r="C42" s="53" t="str">
        <x:v>EO62：HEV/PHEV等も関税0</x:v>
      </x:c>
      <x:c r="D42" s="53" t="str">
        <x:v>BEV/HEV/PHEV</x:v>
      </x:c>
      <x:c r="E42" s="57" t="str">
        <x:f>IF('制度詳細'!$H$42="",IF('制度詳細'!$J$42="","",IF(AND('制度詳細'!$J$42&gt;=E$5,'制度詳細'!$J$42&lt;=EOMONTH(E$5,0)),"◆","")),IF(MAX('制度詳細'!$H$42,E$5)&lt;=MIN(IF('制度詳細'!$I$42="",EOMONTH(E$5,0),'制度詳細'!$I$42),EOMONTH(E$5,0)),"■",IF(AND('制度詳細'!$J$42&lt;&gt;"",'制度詳細'!$J$42&gt;=E$5,'制度詳細'!$J$42&lt;=EOMONTH(E$5,0)),"◆","")))</x:f>
      </x:c>
      <x:c r="F42" s="57" t="str">
        <x:f>IF('制度詳細'!$H$42="",IF('制度詳細'!$J$42="","",IF(AND('制度詳細'!$J$42&gt;=F$5,'制度詳細'!$J$42&lt;=EOMONTH(F$5,0)),"◆","")),IF(MAX('制度詳細'!$H$42,F$5)&lt;=MIN(IF('制度詳細'!$I$42="",EOMONTH(F$5,0),'制度詳細'!$I$42),EOMONTH(F$5,0)),"■",IF(AND('制度詳細'!$J$42&lt;&gt;"",'制度詳細'!$J$42&gt;=F$5,'制度詳細'!$J$42&lt;=EOMONTH(F$5,0)),"◆","")))</x:f>
      </x:c>
      <x:c r="G42" s="57" t="str">
        <x:f>IF('制度詳細'!$H$42="",IF('制度詳細'!$J$42="","",IF(AND('制度詳細'!$J$42&gt;=G$5,'制度詳細'!$J$42&lt;=EOMONTH(G$5,0)),"◆","")),IF(MAX('制度詳細'!$H$42,G$5)&lt;=MIN(IF('制度詳細'!$I$42="",EOMONTH(G$5,0),'制度詳細'!$I$42),EOMONTH(G$5,0)),"■",IF(AND('制度詳細'!$J$42&lt;&gt;"",'制度詳細'!$J$42&gt;=G$5,'制度詳細'!$J$42&lt;=EOMONTH(G$5,0)),"◆","")))</x:f>
      </x:c>
      <x:c r="H42" s="57" t="str">
        <x:f>IF('制度詳細'!$H$42="",IF('制度詳細'!$J$42="","",IF(AND('制度詳細'!$J$42&gt;=H$5,'制度詳細'!$J$42&lt;=EOMONTH(H$5,0)),"◆","")),IF(MAX('制度詳細'!$H$42,H$5)&lt;=MIN(IF('制度詳細'!$I$42="",EOMONTH(H$5,0),'制度詳細'!$I$42),EOMONTH(H$5,0)),"■",IF(AND('制度詳細'!$J$42&lt;&gt;"",'制度詳細'!$J$42&gt;=H$5,'制度詳細'!$J$42&lt;=EOMONTH(H$5,0)),"◆","")))</x:f>
      </x:c>
      <x:c r="I42" s="57" t="str">
        <x:f>IF('制度詳細'!$H$42="",IF('制度詳細'!$J$42="","",IF(AND('制度詳細'!$J$42&gt;=I$5,'制度詳細'!$J$42&lt;=EOMONTH(I$5,0)),"◆","")),IF(MAX('制度詳細'!$H$42,I$5)&lt;=MIN(IF('制度詳細'!$I$42="",EOMONTH(I$5,0),'制度詳細'!$I$42),EOMONTH(I$5,0)),"■",IF(AND('制度詳細'!$J$42&lt;&gt;"",'制度詳細'!$J$42&gt;=I$5,'制度詳細'!$J$42&lt;=EOMONTH(I$5,0)),"◆","")))</x:f>
      </x:c>
      <x:c r="J42" s="57" t="str">
        <x:f>IF('制度詳細'!$H$42="",IF('制度詳細'!$J$42="","",IF(AND('制度詳細'!$J$42&gt;=J$5,'制度詳細'!$J$42&lt;=EOMONTH(J$5,0)),"◆","")),IF(MAX('制度詳細'!$H$42,J$5)&lt;=MIN(IF('制度詳細'!$I$42="",EOMONTH(J$5,0),'制度詳細'!$I$42),EOMONTH(J$5,0)),"■",IF(AND('制度詳細'!$J$42&lt;&gt;"",'制度詳細'!$J$42&gt;=J$5,'制度詳細'!$J$42&lt;=EOMONTH(J$5,0)),"◆","")))</x:f>
      </x:c>
      <x:c r="K42" s="57" t="str">
        <x:f>IF('制度詳細'!$H$42="",IF('制度詳細'!$J$42="","",IF(AND('制度詳細'!$J$42&gt;=K$5,'制度詳細'!$J$42&lt;=EOMONTH(K$5,0)),"◆","")),IF(MAX('制度詳細'!$H$42,K$5)&lt;=MIN(IF('制度詳細'!$I$42="",EOMONTH(K$5,0),'制度詳細'!$I$42),EOMONTH(K$5,0)),"■",IF(AND('制度詳細'!$J$42&lt;&gt;"",'制度詳細'!$J$42&gt;=K$5,'制度詳細'!$J$42&lt;=EOMONTH(K$5,0)),"◆","")))</x:f>
      </x:c>
      <x:c r="L42" s="57" t="str">
        <x:f>IF('制度詳細'!$H$42="",IF('制度詳細'!$J$42="","",IF(AND('制度詳細'!$J$42&gt;=L$5,'制度詳細'!$J$42&lt;=EOMONTH(L$5,0)),"◆","")),IF(MAX('制度詳細'!$H$42,L$5)&lt;=MIN(IF('制度詳細'!$I$42="",EOMONTH(L$5,0),'制度詳細'!$I$42),EOMONTH(L$5,0)),"■",IF(AND('制度詳細'!$J$42&lt;&gt;"",'制度詳細'!$J$42&gt;=L$5,'制度詳細'!$J$42&lt;=EOMONTH(L$5,0)),"◆","")))</x:f>
      </x:c>
      <x:c r="M42" s="57" t="str">
        <x:f>IF('制度詳細'!$H$42="",IF('制度詳細'!$J$42="","",IF(AND('制度詳細'!$J$42&gt;=M$5,'制度詳細'!$J$42&lt;=EOMONTH(M$5,0)),"◆","")),IF(MAX('制度詳細'!$H$42,M$5)&lt;=MIN(IF('制度詳細'!$I$42="",EOMONTH(M$5,0),'制度詳細'!$I$42),EOMONTH(M$5,0)),"■",IF(AND('制度詳細'!$J$42&lt;&gt;"",'制度詳細'!$J$42&gt;=M$5,'制度詳細'!$J$42&lt;=EOMONTH(M$5,0)),"◆","")))</x:f>
      </x:c>
      <x:c r="N42" s="57" t="str">
        <x:f>IF('制度詳細'!$H$42="",IF('制度詳細'!$J$42="","",IF(AND('制度詳細'!$J$42&gt;=N$5,'制度詳細'!$J$42&lt;=EOMONTH(N$5,0)),"◆","")),IF(MAX('制度詳細'!$H$42,N$5)&lt;=MIN(IF('制度詳細'!$I$42="",EOMONTH(N$5,0),'制度詳細'!$I$42),EOMONTH(N$5,0)),"■",IF(AND('制度詳細'!$J$42&lt;&gt;"",'制度詳細'!$J$42&gt;=N$5,'制度詳細'!$J$42&lt;=EOMONTH(N$5,0)),"◆","")))</x:f>
      </x:c>
      <x:c r="O42" s="57" t="str">
        <x:f>IF('制度詳細'!$H$42="",IF('制度詳細'!$J$42="","",IF(AND('制度詳細'!$J$42&gt;=O$5,'制度詳細'!$J$42&lt;=EOMONTH(O$5,0)),"◆","")),IF(MAX('制度詳細'!$H$42,O$5)&lt;=MIN(IF('制度詳細'!$I$42="",EOMONTH(O$5,0),'制度詳細'!$I$42),EOMONTH(O$5,0)),"■",IF(AND('制度詳細'!$J$42&lt;&gt;"",'制度詳細'!$J$42&gt;=O$5,'制度詳細'!$J$42&lt;=EOMONTH(O$5,0)),"◆","")))</x:f>
      </x:c>
      <x:c r="P42" s="57" t="str">
        <x:f>IF('制度詳細'!$H$42="",IF('制度詳細'!$J$42="","",IF(AND('制度詳細'!$J$42&gt;=P$5,'制度詳細'!$J$42&lt;=EOMONTH(P$5,0)),"◆","")),IF(MAX('制度詳細'!$H$42,P$5)&lt;=MIN(IF('制度詳細'!$I$42="",EOMONTH(P$5,0),'制度詳細'!$I$42),EOMONTH(P$5,0)),"■",IF(AND('制度詳細'!$J$42&lt;&gt;"",'制度詳細'!$J$42&gt;=P$5,'制度詳細'!$J$42&lt;=EOMONTH(P$5,0)),"◆","")))</x:f>
      </x:c>
      <x:c r="Q42" s="57" t="str">
        <x:f>IF('制度詳細'!$H$42="",IF('制度詳細'!$J$42="","",IF(AND('制度詳細'!$J$42&gt;=Q$5,'制度詳細'!$J$42&lt;=EOMONTH(Q$5,0)),"◆","")),IF(MAX('制度詳細'!$H$42,Q$5)&lt;=MIN(IF('制度詳細'!$I$42="",EOMONTH(Q$5,0),'制度詳細'!$I$42),EOMONTH(Q$5,0)),"■",IF(AND('制度詳細'!$J$42&lt;&gt;"",'制度詳細'!$J$42&gt;=Q$5,'制度詳細'!$J$42&lt;=EOMONTH(Q$5,0)),"◆","")))</x:f>
      </x:c>
      <x:c r="R42" s="57" t="str">
        <x:f>IF('制度詳細'!$H$42="",IF('制度詳細'!$J$42="","",IF(AND('制度詳細'!$J$42&gt;=R$5,'制度詳細'!$J$42&lt;=EOMONTH(R$5,0)),"◆","")),IF(MAX('制度詳細'!$H$42,R$5)&lt;=MIN(IF('制度詳細'!$I$42="",EOMONTH(R$5,0),'制度詳細'!$I$42),EOMONTH(R$5,0)),"■",IF(AND('制度詳細'!$J$42&lt;&gt;"",'制度詳細'!$J$42&gt;=R$5,'制度詳細'!$J$42&lt;=EOMONTH(R$5,0)),"◆","")))</x:f>
      </x:c>
      <x:c r="S42" s="57" t="str">
        <x:f>IF('制度詳細'!$H$42="",IF('制度詳細'!$J$42="","",IF(AND('制度詳細'!$J$42&gt;=S$5,'制度詳細'!$J$42&lt;=EOMONTH(S$5,0)),"◆","")),IF(MAX('制度詳細'!$H$42,S$5)&lt;=MIN(IF('制度詳細'!$I$42="",EOMONTH(S$5,0),'制度詳細'!$I$42),EOMONTH(S$5,0)),"■",IF(AND('制度詳細'!$J$42&lt;&gt;"",'制度詳細'!$J$42&gt;=S$5,'制度詳細'!$J$42&lt;=EOMONTH(S$5,0)),"◆","")))</x:f>
      </x:c>
      <x:c r="T42" s="57" t="str">
        <x:f>IF('制度詳細'!$H$42="",IF('制度詳細'!$J$42="","",IF(AND('制度詳細'!$J$42&gt;=T$5,'制度詳細'!$J$42&lt;=EOMONTH(T$5,0)),"◆","")),IF(MAX('制度詳細'!$H$42,T$5)&lt;=MIN(IF('制度詳細'!$I$42="",EOMONTH(T$5,0),'制度詳細'!$I$42),EOMONTH(T$5,0)),"■",IF(AND('制度詳細'!$J$42&lt;&gt;"",'制度詳細'!$J$42&gt;=T$5,'制度詳細'!$J$42&lt;=EOMONTH(T$5,0)),"◆","")))</x:f>
      </x:c>
      <x:c r="U42" s="57" t="str">
        <x:f>IF('制度詳細'!$H$42="",IF('制度詳細'!$J$42="","",IF(AND('制度詳細'!$J$42&gt;=U$5,'制度詳細'!$J$42&lt;=EOMONTH(U$5,0)),"◆","")),IF(MAX('制度詳細'!$H$42,U$5)&lt;=MIN(IF('制度詳細'!$I$42="",EOMONTH(U$5,0),'制度詳細'!$I$42),EOMONTH(U$5,0)),"■",IF(AND('制度詳細'!$J$42&lt;&gt;"",'制度詳細'!$J$42&gt;=U$5,'制度詳細'!$J$42&lt;=EOMONTH(U$5,0)),"◆","")))</x:f>
      </x:c>
      <x:c r="V42" s="57" t="str">
        <x:f>IF('制度詳細'!$H$42="",IF('制度詳細'!$J$42="","",IF(AND('制度詳細'!$J$42&gt;=V$5,'制度詳細'!$J$42&lt;=EOMONTH(V$5,0)),"◆","")),IF(MAX('制度詳細'!$H$42,V$5)&lt;=MIN(IF('制度詳細'!$I$42="",EOMONTH(V$5,0),'制度詳細'!$I$42),EOMONTH(V$5,0)),"■",IF(AND('制度詳細'!$J$42&lt;&gt;"",'制度詳細'!$J$42&gt;=V$5,'制度詳細'!$J$42&lt;=EOMONTH(V$5,0)),"◆","")))</x:f>
      </x:c>
      <x:c r="W42" s="57" t="str">
        <x:f>IF('制度詳細'!$H$42="",IF('制度詳細'!$J$42="","",IF(AND('制度詳細'!$J$42&gt;=W$5,'制度詳細'!$J$42&lt;=EOMONTH(W$5,0)),"◆","")),IF(MAX('制度詳細'!$H$42,W$5)&lt;=MIN(IF('制度詳細'!$I$42="",EOMONTH(W$5,0),'制度詳細'!$I$42),EOMONTH(W$5,0)),"■",IF(AND('制度詳細'!$J$42&lt;&gt;"",'制度詳細'!$J$42&gt;=W$5,'制度詳細'!$J$42&lt;=EOMONTH(W$5,0)),"◆","")))</x:f>
      </x:c>
      <x:c r="X42" s="57" t="str">
        <x:f>IF('制度詳細'!$H$42="",IF('制度詳細'!$J$42="","",IF(AND('制度詳細'!$J$42&gt;=X$5,'制度詳細'!$J$42&lt;=EOMONTH(X$5,0)),"◆","")),IF(MAX('制度詳細'!$H$42,X$5)&lt;=MIN(IF('制度詳細'!$I$42="",EOMONTH(X$5,0),'制度詳細'!$I$42),EOMONTH(X$5,0)),"■",IF(AND('制度詳細'!$J$42&lt;&gt;"",'制度詳細'!$J$42&gt;=X$5,'制度詳細'!$J$42&lt;=EOMONTH(X$5,0)),"◆","")))</x:f>
      </x:c>
      <x:c r="Y42" s="57" t="str">
        <x:f>IF('制度詳細'!$H$42="",IF('制度詳細'!$J$42="","",IF(AND('制度詳細'!$J$42&gt;=Y$5,'制度詳細'!$J$42&lt;=EOMONTH(Y$5,0)),"◆","")),IF(MAX('制度詳細'!$H$42,Y$5)&lt;=MIN(IF('制度詳細'!$I$42="",EOMONTH(Y$5,0),'制度詳細'!$I$42),EOMONTH(Y$5,0)),"■",IF(AND('制度詳細'!$J$42&lt;&gt;"",'制度詳細'!$J$42&gt;=Y$5,'制度詳細'!$J$42&lt;=EOMONTH(Y$5,0)),"◆","")))</x:f>
      </x:c>
      <x:c r="Z42" s="57" t="str">
        <x:f>IF('制度詳細'!$H$42="",IF('制度詳細'!$J$42="","",IF(AND('制度詳細'!$J$42&gt;=Z$5,'制度詳細'!$J$42&lt;=EOMONTH(Z$5,0)),"◆","")),IF(MAX('制度詳細'!$H$42,Z$5)&lt;=MIN(IF('制度詳細'!$I$42="",EOMONTH(Z$5,0),'制度詳細'!$I$42),EOMONTH(Z$5,0)),"■",IF(AND('制度詳細'!$J$42&lt;&gt;"",'制度詳細'!$J$42&gt;=Z$5,'制度詳細'!$J$42&lt;=EOMONTH(Z$5,0)),"◆","")))</x:f>
      </x:c>
      <x:c r="AA42" s="57" t="str">
        <x:f>IF('制度詳細'!$H$42="",IF('制度詳細'!$J$42="","",IF(AND('制度詳細'!$J$42&gt;=AA$5,'制度詳細'!$J$42&lt;=EOMONTH(AA$5,0)),"◆","")),IF(MAX('制度詳細'!$H$42,AA$5)&lt;=MIN(IF('制度詳細'!$I$42="",EOMONTH(AA$5,0),'制度詳細'!$I$42),EOMONTH(AA$5,0)),"■",IF(AND('制度詳細'!$J$42&lt;&gt;"",'制度詳細'!$J$42&gt;=AA$5,'制度詳細'!$J$42&lt;=EOMONTH(AA$5,0)),"◆","")))</x:f>
      </x:c>
      <x:c r="AB42" s="57" t="str">
        <x:f>IF('制度詳細'!$H$42="",IF('制度詳細'!$J$42="","",IF(AND('制度詳細'!$J$42&gt;=AB$5,'制度詳細'!$J$42&lt;=EOMONTH(AB$5,0)),"◆","")),IF(MAX('制度詳細'!$H$42,AB$5)&lt;=MIN(IF('制度詳細'!$I$42="",EOMONTH(AB$5,0),'制度詳細'!$I$42),EOMONTH(AB$5,0)),"■",IF(AND('制度詳細'!$J$42&lt;&gt;"",'制度詳細'!$J$42&gt;=AB$5,'制度詳細'!$J$42&lt;=EOMONTH(AB$5,0)),"◆","")))</x:f>
      </x:c>
      <x:c r="AC42" s="57" t="str">
        <x:f>IF('制度詳細'!$H$42="",IF('制度詳細'!$J$42="","",IF(AND('制度詳細'!$J$42&gt;=AC$5,'制度詳細'!$J$42&lt;=EOMONTH(AC$5,0)),"◆","")),IF(MAX('制度詳細'!$H$42,AC$5)&lt;=MIN(IF('制度詳細'!$I$42="",EOMONTH(AC$5,0),'制度詳細'!$I$42),EOMONTH(AC$5,0)),"■",IF(AND('制度詳細'!$J$42&lt;&gt;"",'制度詳細'!$J$42&gt;=AC$5,'制度詳細'!$J$42&lt;=EOMONTH(AC$5,0)),"◆","")))</x:f>
      </x:c>
      <x:c r="AD42" s="57" t="str">
        <x:f>IF('制度詳細'!$H$42="",IF('制度詳細'!$J$42="","",IF(AND('制度詳細'!$J$42&gt;=AD$5,'制度詳細'!$J$42&lt;=EOMONTH(AD$5,0)),"◆","")),IF(MAX('制度詳細'!$H$42,AD$5)&lt;=MIN(IF('制度詳細'!$I$42="",EOMONTH(AD$5,0),'制度詳細'!$I$42),EOMONTH(AD$5,0)),"■",IF(AND('制度詳細'!$J$42&lt;&gt;"",'制度詳細'!$J$42&gt;=AD$5,'制度詳細'!$J$42&lt;=EOMONTH(AD$5,0)),"◆","")))</x:f>
      </x:c>
      <x:c r="AE42" s="57" t="str">
        <x:f>IF('制度詳細'!$H$42="",IF('制度詳細'!$J$42="","",IF(AND('制度詳細'!$J$42&gt;=AE$5,'制度詳細'!$J$42&lt;=EOMONTH(AE$5,0)),"◆","")),IF(MAX('制度詳細'!$H$42,AE$5)&lt;=MIN(IF('制度詳細'!$I$42="",EOMONTH(AE$5,0),'制度詳細'!$I$42),EOMONTH(AE$5,0)),"■",IF(AND('制度詳細'!$J$42&lt;&gt;"",'制度詳細'!$J$42&gt;=AE$5,'制度詳細'!$J$42&lt;=EOMONTH(AE$5,0)),"◆","")))</x:f>
      </x:c>
      <x:c r="AF42" s="57" t="str">
        <x:f>IF('制度詳細'!$H$42="",IF('制度詳細'!$J$42="","",IF(AND('制度詳細'!$J$42&gt;=AF$5,'制度詳細'!$J$42&lt;=EOMONTH(AF$5,0)),"◆","")),IF(MAX('制度詳細'!$H$42,AF$5)&lt;=MIN(IF('制度詳細'!$I$42="",EOMONTH(AF$5,0),'制度詳細'!$I$42),EOMONTH(AF$5,0)),"■",IF(AND('制度詳細'!$J$42&lt;&gt;"",'制度詳細'!$J$42&gt;=AF$5,'制度詳細'!$J$42&lt;=EOMONTH(AF$5,0)),"◆","")))</x:f>
      </x:c>
      <x:c r="AG42" s="57" t="str">
        <x:f>IF('制度詳細'!$H$42="",IF('制度詳細'!$J$42="","",IF(AND('制度詳細'!$J$42&gt;=AG$5,'制度詳細'!$J$42&lt;=EOMONTH(AG$5,0)),"◆","")),IF(MAX('制度詳細'!$H$42,AG$5)&lt;=MIN(IF('制度詳細'!$I$42="",EOMONTH(AG$5,0),'制度詳細'!$I$42),EOMONTH(AG$5,0)),"■",IF(AND('制度詳細'!$J$42&lt;&gt;"",'制度詳細'!$J$42&gt;=AG$5,'制度詳細'!$J$42&lt;=EOMONTH(AG$5,0)),"◆","")))</x:f>
      </x:c>
      <x:c r="AH42" s="57" t="str">
        <x:f>IF('制度詳細'!$H$42="",IF('制度詳細'!$J$42="","",IF(AND('制度詳細'!$J$42&gt;=AH$5,'制度詳細'!$J$42&lt;=EOMONTH(AH$5,0)),"◆","")),IF(MAX('制度詳細'!$H$42,AH$5)&lt;=MIN(IF('制度詳細'!$I$42="",EOMONTH(AH$5,0),'制度詳細'!$I$42),EOMONTH(AH$5,0)),"■",IF(AND('制度詳細'!$J$42&lt;&gt;"",'制度詳細'!$J$42&gt;=AH$5,'制度詳細'!$J$42&lt;=EOMONTH(AH$5,0)),"◆","")))</x:f>
      </x:c>
      <x:c r="AI42" s="57" t="str">
        <x:f>IF('制度詳細'!$H$42="",IF('制度詳細'!$J$42="","",IF(AND('制度詳細'!$J$42&gt;=AI$5,'制度詳細'!$J$42&lt;=EOMONTH(AI$5,0)),"◆","")),IF(MAX('制度詳細'!$H$42,AI$5)&lt;=MIN(IF('制度詳細'!$I$42="",EOMONTH(AI$5,0),'制度詳細'!$I$42),EOMONTH(AI$5,0)),"■",IF(AND('制度詳細'!$J$42&lt;&gt;"",'制度詳細'!$J$42&gt;=AI$5,'制度詳細'!$J$42&lt;=EOMONTH(AI$5,0)),"◆","")))</x:f>
      </x:c>
      <x:c r="AJ42" s="57" t="str">
        <x:f>IF('制度詳細'!$H$42="",IF('制度詳細'!$J$42="","",IF(AND('制度詳細'!$J$42&gt;=AJ$5,'制度詳細'!$J$42&lt;=EOMONTH(AJ$5,0)),"◆","")),IF(MAX('制度詳細'!$H$42,AJ$5)&lt;=MIN(IF('制度詳細'!$I$42="",EOMONTH(AJ$5,0),'制度詳細'!$I$42),EOMONTH(AJ$5,0)),"■",IF(AND('制度詳細'!$J$42&lt;&gt;"",'制度詳細'!$J$42&gt;=AJ$5,'制度詳細'!$J$42&lt;=EOMONTH(AJ$5,0)),"◆","")))</x:f>
      </x:c>
      <x:c r="AK42" s="57" t="str">
        <x:f>IF('制度詳細'!$H$42="",IF('制度詳細'!$J$42="","",IF(AND('制度詳細'!$J$42&gt;=AK$5,'制度詳細'!$J$42&lt;=EOMONTH(AK$5,0)),"◆","")),IF(MAX('制度詳細'!$H$42,AK$5)&lt;=MIN(IF('制度詳細'!$I$42="",EOMONTH(AK$5,0),'制度詳細'!$I$42),EOMONTH(AK$5,0)),"■",IF(AND('制度詳細'!$J$42&lt;&gt;"",'制度詳細'!$J$42&gt;=AK$5,'制度詳細'!$J$42&lt;=EOMONTH(AK$5,0)),"◆","")))</x:f>
      </x:c>
      <x:c r="AL42" s="57" t="str">
        <x:f>IF('制度詳細'!$H$42="",IF('制度詳細'!$J$42="","",IF(AND('制度詳細'!$J$42&gt;=AL$5,'制度詳細'!$J$42&lt;=EOMONTH(AL$5,0)),"◆","")),IF(MAX('制度詳細'!$H$42,AL$5)&lt;=MIN(IF('制度詳細'!$I$42="",EOMONTH(AL$5,0),'制度詳細'!$I$42),EOMONTH(AL$5,0)),"■",IF(AND('制度詳細'!$J$42&lt;&gt;"",'制度詳細'!$J$42&gt;=AL$5,'制度詳細'!$J$42&lt;=EOMONTH(AL$5,0)),"◆","")))</x:f>
      </x:c>
      <x:c r="AM42" s="57" t="str">
        <x:f>IF('制度詳細'!$H$42="",IF('制度詳細'!$J$42="","",IF(AND('制度詳細'!$J$42&gt;=AM$5,'制度詳細'!$J$42&lt;=EOMONTH(AM$5,0)),"◆","")),IF(MAX('制度詳細'!$H$42,AM$5)&lt;=MIN(IF('制度詳細'!$I$42="",EOMONTH(AM$5,0),'制度詳細'!$I$42),EOMONTH(AM$5,0)),"■",IF(AND('制度詳細'!$J$42&lt;&gt;"",'制度詳細'!$J$42&gt;=AM$5,'制度詳細'!$J$42&lt;=EOMONTH(AM$5,0)),"◆","")))</x:f>
      </x:c>
      <x:c r="AN42" s="57" t="str">
        <x:f>IF('制度詳細'!$H$42="",IF('制度詳細'!$J$42="","",IF(AND('制度詳細'!$J$42&gt;=AN$5,'制度詳細'!$J$42&lt;=EOMONTH(AN$5,0)),"◆","")),IF(MAX('制度詳細'!$H$42,AN$5)&lt;=MIN(IF('制度詳細'!$I$42="",EOMONTH(AN$5,0),'制度詳細'!$I$42),EOMONTH(AN$5,0)),"■",IF(AND('制度詳細'!$J$42&lt;&gt;"",'制度詳細'!$J$42&gt;=AN$5,'制度詳細'!$J$42&lt;=EOMONTH(AN$5,0)),"◆","")))</x:f>
      </x:c>
      <x:c r="AO42" s="57" t="str">
        <x:f>IF('制度詳細'!$H$42="",IF('制度詳細'!$J$42="","",IF(AND('制度詳細'!$J$42&gt;=AO$5,'制度詳細'!$J$42&lt;=EOMONTH(AO$5,0)),"◆","")),IF(MAX('制度詳細'!$H$42,AO$5)&lt;=MIN(IF('制度詳細'!$I$42="",EOMONTH(AO$5,0),'制度詳細'!$I$42),EOMONTH(AO$5,0)),"■",IF(AND('制度詳細'!$J$42&lt;&gt;"",'制度詳細'!$J$42&gt;=AO$5,'制度詳細'!$J$42&lt;=EOMONTH(AO$5,0)),"◆","")))</x:f>
      </x:c>
      <x:c r="AP42" s="57" t="str">
        <x:f>IF('制度詳細'!$H$42="",IF('制度詳細'!$J$42="","",IF(AND('制度詳細'!$J$42&gt;=AP$5,'制度詳細'!$J$42&lt;=EOMONTH(AP$5,0)),"◆","")),IF(MAX('制度詳細'!$H$42,AP$5)&lt;=MIN(IF('制度詳細'!$I$42="",EOMONTH(AP$5,0),'制度詳細'!$I$42),EOMONTH(AP$5,0)),"■",IF(AND('制度詳細'!$J$42&lt;&gt;"",'制度詳細'!$J$42&gt;=AP$5,'制度詳細'!$J$42&lt;=EOMONTH(AP$5,0)),"◆","")))</x:f>
      </x:c>
      <x:c r="AQ42" s="57" t="str">
        <x:f>IF('制度詳細'!$H$42="",IF('制度詳細'!$J$42="","",IF(AND('制度詳細'!$J$42&gt;=AQ$5,'制度詳細'!$J$42&lt;=EOMONTH(AQ$5,0)),"◆","")),IF(MAX('制度詳細'!$H$42,AQ$5)&lt;=MIN(IF('制度詳細'!$I$42="",EOMONTH(AQ$5,0),'制度詳細'!$I$42),EOMONTH(AQ$5,0)),"■",IF(AND('制度詳細'!$J$42&lt;&gt;"",'制度詳細'!$J$42&gt;=AQ$5,'制度詳細'!$J$42&lt;=EOMONTH(AQ$5,0)),"◆","")))</x:f>
      </x:c>
      <x:c r="AR42" s="57" t="str">
        <x:f>IF('制度詳細'!$H$42="",IF('制度詳細'!$J$42="","",IF(AND('制度詳細'!$J$42&gt;=AR$5,'制度詳細'!$J$42&lt;=EOMONTH(AR$5,0)),"◆","")),IF(MAX('制度詳細'!$H$42,AR$5)&lt;=MIN(IF('制度詳細'!$I$42="",EOMONTH(AR$5,0),'制度詳細'!$I$42),EOMONTH(AR$5,0)),"■",IF(AND('制度詳細'!$J$42&lt;&gt;"",'制度詳細'!$J$42&gt;=AR$5,'制度詳細'!$J$42&lt;=EOMONTH(AR$5,0)),"◆","")))</x:f>
      </x:c>
      <x:c r="AS42" s="57" t="str">
        <x:f>IF('制度詳細'!$H$42="",IF('制度詳細'!$J$42="","",IF(AND('制度詳細'!$J$42&gt;=AS$5,'制度詳細'!$J$42&lt;=EOMONTH(AS$5,0)),"◆","")),IF(MAX('制度詳細'!$H$42,AS$5)&lt;=MIN(IF('制度詳細'!$I$42="",EOMONTH(AS$5,0),'制度詳細'!$I$42),EOMONTH(AS$5,0)),"■",IF(AND('制度詳細'!$J$42&lt;&gt;"",'制度詳細'!$J$42&gt;=AS$5,'制度詳細'!$J$42&lt;=EOMONTH(AS$5,0)),"◆","")))</x:f>
      </x:c>
      <x:c r="AT42" s="57" t="str">
        <x:f>IF('制度詳細'!$H$42="",IF('制度詳細'!$J$42="","",IF(AND('制度詳細'!$J$42&gt;=AT$5,'制度詳細'!$J$42&lt;=EOMONTH(AT$5,0)),"◆","")),IF(MAX('制度詳細'!$H$42,AT$5)&lt;=MIN(IF('制度詳細'!$I$42="",EOMONTH(AT$5,0),'制度詳細'!$I$42),EOMONTH(AT$5,0)),"■",IF(AND('制度詳細'!$J$42&lt;&gt;"",'制度詳細'!$J$42&gt;=AT$5,'制度詳細'!$J$42&lt;=EOMONTH(AT$5,0)),"◆","")))</x:f>
      </x:c>
      <x:c r="AU42" s="57" t="str">
        <x:f>IF('制度詳細'!$H$42="",IF('制度詳細'!$J$42="","",IF(AND('制度詳細'!$J$42&gt;=AU$5,'制度詳細'!$J$42&lt;=EOMONTH(AU$5,0)),"◆","")),IF(MAX('制度詳細'!$H$42,AU$5)&lt;=MIN(IF('制度詳細'!$I$42="",EOMONTH(AU$5,0),'制度詳細'!$I$42),EOMONTH(AU$5,0)),"■",IF(AND('制度詳細'!$J$42&lt;&gt;"",'制度詳細'!$J$42&gt;=AU$5,'制度詳細'!$J$42&lt;=EOMONTH(AU$5,0)),"◆","")))</x:f>
      </x:c>
      <x:c r="AV42" s="57" t="str">
        <x:f>IF('制度詳細'!$H$42="",IF('制度詳細'!$J$42="","",IF(AND('制度詳細'!$J$42&gt;=AV$5,'制度詳細'!$J$42&lt;=EOMONTH(AV$5,0)),"◆","")),IF(MAX('制度詳細'!$H$42,AV$5)&lt;=MIN(IF('制度詳細'!$I$42="",EOMONTH(AV$5,0),'制度詳細'!$I$42),EOMONTH(AV$5,0)),"■",IF(AND('制度詳細'!$J$42&lt;&gt;"",'制度詳細'!$J$42&gt;=AV$5,'制度詳細'!$J$42&lt;=EOMONTH(AV$5,0)),"◆","")))</x:f>
      </x:c>
      <x:c r="AW42" s="57" t="str">
        <x:f>IF('制度詳細'!$H$42="",IF('制度詳細'!$J$42="","",IF(AND('制度詳細'!$J$42&gt;=AW$5,'制度詳細'!$J$42&lt;=EOMONTH(AW$5,0)),"◆","")),IF(MAX('制度詳細'!$H$42,AW$5)&lt;=MIN(IF('制度詳細'!$I$42="",EOMONTH(AW$5,0),'制度詳細'!$I$42),EOMONTH(AW$5,0)),"■",IF(AND('制度詳細'!$J$42&lt;&gt;"",'制度詳細'!$J$42&gt;=AW$5,'制度詳細'!$J$42&lt;=EOMONTH(AW$5,0)),"◆","")))</x:f>
      </x:c>
      <x:c r="AX42" s="57" t="str">
        <x:f>IF('制度詳細'!$H$42="",IF('制度詳細'!$J$42="","",IF(AND('制度詳細'!$J$42&gt;=AX$5,'制度詳細'!$J$42&lt;=EOMONTH(AX$5,0)),"◆","")),IF(MAX('制度詳細'!$H$42,AX$5)&lt;=MIN(IF('制度詳細'!$I$42="",EOMONTH(AX$5,0),'制度詳細'!$I$42),EOMONTH(AX$5,0)),"■",IF(AND('制度詳細'!$J$42&lt;&gt;"",'制度詳細'!$J$42&gt;=AX$5,'制度詳細'!$J$42&lt;=EOMONTH(AX$5,0)),"◆","")))</x:f>
      </x:c>
      <x:c r="AY42" s="57" t="str">
        <x:f>IF('制度詳細'!$H$42="",IF('制度詳細'!$J$42="","",IF(AND('制度詳細'!$J$42&gt;=AY$5,'制度詳細'!$J$42&lt;=EOMONTH(AY$5,0)),"◆","")),IF(MAX('制度詳細'!$H$42,AY$5)&lt;=MIN(IF('制度詳細'!$I$42="",EOMONTH(AY$5,0),'制度詳細'!$I$42),EOMONTH(AY$5,0)),"■",IF(AND('制度詳細'!$J$42&lt;&gt;"",'制度詳細'!$J$42&gt;=AY$5,'制度詳細'!$J$42&lt;=EOMONTH(AY$5,0)),"◆","")))</x:f>
      </x:c>
      <x:c r="AZ42" s="57" t="str">
        <x:f>IF('制度詳細'!$H$42="",IF('制度詳細'!$J$42="","",IF(AND('制度詳細'!$J$42&gt;=AZ$5,'制度詳細'!$J$42&lt;=EOMONTH(AZ$5,0)),"◆","")),IF(MAX('制度詳細'!$H$42,AZ$5)&lt;=MIN(IF('制度詳細'!$I$42="",EOMONTH(AZ$5,0),'制度詳細'!$I$42),EOMONTH(AZ$5,0)),"■",IF(AND('制度詳細'!$J$42&lt;&gt;"",'制度詳細'!$J$42&gt;=AZ$5,'制度詳細'!$J$42&lt;=EOMONTH(AZ$5,0)),"◆","")))</x:f>
      </x:c>
      <x:c r="BA42" s="57" t="str">
        <x:f>IF('制度詳細'!$H$42="",IF('制度詳細'!$J$42="","",IF(AND('制度詳細'!$J$42&gt;=BA$5,'制度詳細'!$J$42&lt;=EOMONTH(BA$5,0)),"◆","")),IF(MAX('制度詳細'!$H$42,BA$5)&lt;=MIN(IF('制度詳細'!$I$42="",EOMONTH(BA$5,0),'制度詳細'!$I$42),EOMONTH(BA$5,0)),"■",IF(AND('制度詳細'!$J$42&lt;&gt;"",'制度詳細'!$J$42&gt;=BA$5,'制度詳細'!$J$42&lt;=EOMONTH(BA$5,0)),"◆","")))</x:f>
      </x:c>
      <x:c r="BB42" s="57" t="str">
        <x:f>IF('制度詳細'!$H$42="",IF('制度詳細'!$J$42="","",IF(AND('制度詳細'!$J$42&gt;=BB$5,'制度詳細'!$J$42&lt;=EOMONTH(BB$5,0)),"◆","")),IF(MAX('制度詳細'!$H$42,BB$5)&lt;=MIN(IF('制度詳細'!$I$42="",EOMONTH(BB$5,0),'制度詳細'!$I$42),EOMONTH(BB$5,0)),"■",IF(AND('制度詳細'!$J$42&lt;&gt;"",'制度詳細'!$J$42&gt;=BB$5,'制度詳細'!$J$42&lt;=EOMONTH(BB$5,0)),"◆","")))</x:f>
      </x:c>
      <x:c r="BC42" s="57" t="str">
        <x:f>IF('制度詳細'!$H$42="",IF('制度詳細'!$J$42="","",IF(AND('制度詳細'!$J$42&gt;=BC$5,'制度詳細'!$J$42&lt;=EOMONTH(BC$5,0)),"◆","")),IF(MAX('制度詳細'!$H$42,BC$5)&lt;=MIN(IF('制度詳細'!$I$42="",EOMONTH(BC$5,0),'制度詳細'!$I$42),EOMONTH(BC$5,0)),"■",IF(AND('制度詳細'!$J$42&lt;&gt;"",'制度詳細'!$J$42&gt;=BC$5,'制度詳細'!$J$42&lt;=EOMONTH(BC$5,0)),"◆","")))</x:f>
      </x:c>
      <x:c r="BD42" s="57" t="str">
        <x:f>IF('制度詳細'!$H$42="",IF('制度詳細'!$J$42="","",IF(AND('制度詳細'!$J$42&gt;=BD$5,'制度詳細'!$J$42&lt;=EOMONTH(BD$5,0)),"◆","")),IF(MAX('制度詳細'!$H$42,BD$5)&lt;=MIN(IF('制度詳細'!$I$42="",EOMONTH(BD$5,0),'制度詳細'!$I$42),EOMONTH(BD$5,0)),"■",IF(AND('制度詳細'!$J$42&lt;&gt;"",'制度詳細'!$J$42&gt;=BD$5,'制度詳細'!$J$42&lt;=EOMONTH(BD$5,0)),"◆","")))</x:f>
      </x:c>
      <x:c r="BE42" s="57" t="str">
        <x:f>IF('制度詳細'!$H$42="",IF('制度詳細'!$J$42="","",IF(AND('制度詳細'!$J$42&gt;=BE$5,'制度詳細'!$J$42&lt;=EOMONTH(BE$5,0)),"◆","")),IF(MAX('制度詳細'!$H$42,BE$5)&lt;=MIN(IF('制度詳細'!$I$42="",EOMONTH(BE$5,0),'制度詳細'!$I$42),EOMONTH(BE$5,0)),"■",IF(AND('制度詳細'!$J$42&lt;&gt;"",'制度詳細'!$J$42&gt;=BE$5,'制度詳細'!$J$42&lt;=EOMONTH(BE$5,0)),"◆","")))</x:f>
      </x:c>
      <x:c r="BF42" s="57" t="str">
        <x:f>IF('制度詳細'!$H$42="",IF('制度詳細'!$J$42="","",IF(AND('制度詳細'!$J$42&gt;=BF$5,'制度詳細'!$J$42&lt;=EOMONTH(BF$5,0)),"◆","")),IF(MAX('制度詳細'!$H$42,BF$5)&lt;=MIN(IF('制度詳細'!$I$42="",EOMONTH(BF$5,0),'制度詳細'!$I$42),EOMONTH(BF$5,0)),"■",IF(AND('制度詳細'!$J$42&lt;&gt;"",'制度詳細'!$J$42&gt;=BF$5,'制度詳細'!$J$42&lt;=EOMONTH(BF$5,0)),"◆","")))</x:f>
        <x:v>◆</x:v>
      </x:c>
      <x:c r="BG42" s="57" t="str">
        <x:f>IF('制度詳細'!$H$42="",IF('制度詳細'!$J$42="","",IF(AND('制度詳細'!$J$42&gt;=BG$5,'制度詳細'!$J$42&lt;=EOMONTH(BG$5,0)),"◆","")),IF(MAX('制度詳細'!$H$42,BG$5)&lt;=MIN(IF('制度詳細'!$I$42="",EOMONTH(BG$5,0),'制度詳細'!$I$42),EOMONTH(BG$5,0)),"■",IF(AND('制度詳細'!$J$42&lt;&gt;"",'制度詳細'!$J$42&gt;=BG$5,'制度詳細'!$J$42&lt;=EOMONTH(BG$5,0)),"◆","")))</x:f>
        <x:v>■</x:v>
      </x:c>
      <x:c r="BH42" s="57" t="str">
        <x:f>IF('制度詳細'!$H$42="",IF('制度詳細'!$J$42="","",IF(AND('制度詳細'!$J$42&gt;=BH$5,'制度詳細'!$J$42&lt;=EOMONTH(BH$5,0)),"◆","")),IF(MAX('制度詳細'!$H$42,BH$5)&lt;=MIN(IF('制度詳細'!$I$42="",EOMONTH(BH$5,0),'制度詳細'!$I$42),EOMONTH(BH$5,0)),"■",IF(AND('制度詳細'!$J$42&lt;&gt;"",'制度詳細'!$J$42&gt;=BH$5,'制度詳細'!$J$42&lt;=EOMONTH(BH$5,0)),"◆","")))</x:f>
        <x:v>■</x:v>
      </x:c>
      <x:c r="BI42" s="57" t="str">
        <x:f>IF('制度詳細'!$H$42="",IF('制度詳細'!$J$42="","",IF(AND('制度詳細'!$J$42&gt;=BI$5,'制度詳細'!$J$42&lt;=EOMONTH(BI$5,0)),"◆","")),IF(MAX('制度詳細'!$H$42,BI$5)&lt;=MIN(IF('制度詳細'!$I$42="",EOMONTH(BI$5,0),'制度詳細'!$I$42),EOMONTH(BI$5,0)),"■",IF(AND('制度詳細'!$J$42&lt;&gt;"",'制度詳細'!$J$42&gt;=BI$5,'制度詳細'!$J$42&lt;=EOMONTH(BI$5,0)),"◆","")))</x:f>
        <x:v>■</x:v>
      </x:c>
      <x:c r="BJ42" s="57" t="str">
        <x:f>IF('制度詳細'!$H$42="",IF('制度詳細'!$J$42="","",IF(AND('制度詳細'!$J$42&gt;=BJ$5,'制度詳細'!$J$42&lt;=EOMONTH(BJ$5,0)),"◆","")),IF(MAX('制度詳細'!$H$42,BJ$5)&lt;=MIN(IF('制度詳細'!$I$42="",EOMONTH(BJ$5,0),'制度詳細'!$I$42),EOMONTH(BJ$5,0)),"■",IF(AND('制度詳細'!$J$42&lt;&gt;"",'制度詳細'!$J$42&gt;=BJ$5,'制度詳細'!$J$42&lt;=EOMONTH(BJ$5,0)),"◆","")))</x:f>
        <x:v>■</x:v>
      </x:c>
      <x:c r="BK42" s="57" t="str">
        <x:f>IF('制度詳細'!$H$42="",IF('制度詳細'!$J$42="","",IF(AND('制度詳細'!$J$42&gt;=BK$5,'制度詳細'!$J$42&lt;=EOMONTH(BK$5,0)),"◆","")),IF(MAX('制度詳細'!$H$42,BK$5)&lt;=MIN(IF('制度詳細'!$I$42="",EOMONTH(BK$5,0),'制度詳細'!$I$42),EOMONTH(BK$5,0)),"■",IF(AND('制度詳細'!$J$42&lt;&gt;"",'制度詳細'!$J$42&gt;=BK$5,'制度詳細'!$J$42&lt;=EOMONTH(BK$5,0)),"◆","")))</x:f>
        <x:v>■</x:v>
      </x:c>
      <x:c r="BL42" s="57" t="str">
        <x:f>IF('制度詳細'!$H$42="",IF('制度詳細'!$J$42="","",IF(AND('制度詳細'!$J$42&gt;=BL$5,'制度詳細'!$J$42&lt;=EOMONTH(BL$5,0)),"◆","")),IF(MAX('制度詳細'!$H$42,BL$5)&lt;=MIN(IF('制度詳細'!$I$42="",EOMONTH(BL$5,0),'制度詳細'!$I$42),EOMONTH(BL$5,0)),"■",IF(AND('制度詳細'!$J$42&lt;&gt;"",'制度詳細'!$J$42&gt;=BL$5,'制度詳細'!$J$42&lt;=EOMONTH(BL$5,0)),"◆","")))</x:f>
        <x:v>■</x:v>
      </x:c>
      <x:c r="BM42" s="57" t="str">
        <x:f>IF('制度詳細'!$H$42="",IF('制度詳細'!$J$42="","",IF(AND('制度詳細'!$J$42&gt;=BM$5,'制度詳細'!$J$42&lt;=EOMONTH(BM$5,0)),"◆","")),IF(MAX('制度詳細'!$H$42,BM$5)&lt;=MIN(IF('制度詳細'!$I$42="",EOMONTH(BM$5,0),'制度詳細'!$I$42),EOMONTH(BM$5,0)),"■",IF(AND('制度詳細'!$J$42&lt;&gt;"",'制度詳細'!$J$42&gt;=BM$5,'制度詳細'!$J$42&lt;=EOMONTH(BM$5,0)),"◆","")))</x:f>
        <x:v>■</x:v>
      </x:c>
      <x:c r="BN42" s="57" t="str">
        <x:f>IF('制度詳細'!$H$42="",IF('制度詳細'!$J$42="","",IF(AND('制度詳細'!$J$42&gt;=BN$5,'制度詳細'!$J$42&lt;=EOMONTH(BN$5,0)),"◆","")),IF(MAX('制度詳細'!$H$42,BN$5)&lt;=MIN(IF('制度詳細'!$I$42="",EOMONTH(BN$5,0),'制度詳細'!$I$42),EOMONTH(BN$5,0)),"■",IF(AND('制度詳細'!$J$42&lt;&gt;"",'制度詳細'!$J$42&gt;=BN$5,'制度詳細'!$J$42&lt;=EOMONTH(BN$5,0)),"◆","")))</x:f>
        <x:v>■</x:v>
      </x:c>
      <x:c r="BO42" s="57" t="str">
        <x:f>IF('制度詳細'!$H$42="",IF('制度詳細'!$J$42="","",IF(AND('制度詳細'!$J$42&gt;=BO$5,'制度詳細'!$J$42&lt;=EOMONTH(BO$5,0)),"◆","")),IF(MAX('制度詳細'!$H$42,BO$5)&lt;=MIN(IF('制度詳細'!$I$42="",EOMONTH(BO$5,0),'制度詳細'!$I$42),EOMONTH(BO$5,0)),"■",IF(AND('制度詳細'!$J$42&lt;&gt;"",'制度詳細'!$J$42&gt;=BO$5,'制度詳細'!$J$42&lt;=EOMONTH(BO$5,0)),"◆","")))</x:f>
        <x:v>■</x:v>
      </x:c>
      <x:c r="BP42" s="57" t="str">
        <x:f>IF('制度詳細'!$H$42="",IF('制度詳細'!$J$42="","",IF(AND('制度詳細'!$J$42&gt;=BP$5,'制度詳細'!$J$42&lt;=EOMONTH(BP$5,0)),"◆","")),IF(MAX('制度詳細'!$H$42,BP$5)&lt;=MIN(IF('制度詳細'!$I$42="",EOMONTH(BP$5,0),'制度詳細'!$I$42),EOMONTH(BP$5,0)),"■",IF(AND('制度詳細'!$J$42&lt;&gt;"",'制度詳細'!$J$42&gt;=BP$5,'制度詳細'!$J$42&lt;=EOMONTH(BP$5,0)),"◆","")))</x:f>
        <x:v>■</x:v>
      </x:c>
      <x:c r="BQ42" s="57" t="str">
        <x:f>IF('制度詳細'!$H$42="",IF('制度詳細'!$J$42="","",IF(AND('制度詳細'!$J$42&gt;=BQ$5,'制度詳細'!$J$42&lt;=EOMONTH(BQ$5,0)),"◆","")),IF(MAX('制度詳細'!$H$42,BQ$5)&lt;=MIN(IF('制度詳細'!$I$42="",EOMONTH(BQ$5,0),'制度詳細'!$I$42),EOMONTH(BQ$5,0)),"■",IF(AND('制度詳細'!$J$42&lt;&gt;"",'制度詳細'!$J$42&gt;=BQ$5,'制度詳細'!$J$42&lt;=EOMONTH(BQ$5,0)),"◆","")))</x:f>
        <x:v>■</x:v>
      </x:c>
      <x:c r="BR42" s="57" t="str">
        <x:f>IF('制度詳細'!$H$42="",IF('制度詳細'!$J$42="","",IF(AND('制度詳細'!$J$42&gt;=BR$5,'制度詳細'!$J$42&lt;=EOMONTH(BR$5,0)),"◆","")),IF(MAX('制度詳細'!$H$42,BR$5)&lt;=MIN(IF('制度詳細'!$I$42="",EOMONTH(BR$5,0),'制度詳細'!$I$42),EOMONTH(BR$5,0)),"■",IF(AND('制度詳細'!$J$42&lt;&gt;"",'制度詳細'!$J$42&gt;=BR$5,'制度詳細'!$J$42&lt;=EOMONTH(BR$5,0)),"◆","")))</x:f>
        <x:v>■</x:v>
      </x:c>
      <x:c r="BS42" s="57" t="str">
        <x:f>IF('制度詳細'!$H$42="",IF('制度詳細'!$J$42="","",IF(AND('制度詳細'!$J$42&gt;=BS$5,'制度詳細'!$J$42&lt;=EOMONTH(BS$5,0)),"◆","")),IF(MAX('制度詳細'!$H$42,BS$5)&lt;=MIN(IF('制度詳細'!$I$42="",EOMONTH(BS$5,0),'制度詳細'!$I$42),EOMONTH(BS$5,0)),"■",IF(AND('制度詳細'!$J$42&lt;&gt;"",'制度詳細'!$J$42&gt;=BS$5,'制度詳細'!$J$42&lt;=EOMONTH(BS$5,0)),"◆","")))</x:f>
        <x:v>■</x:v>
      </x:c>
      <x:c r="BT42" s="57" t="str">
        <x:f>IF('制度詳細'!$H$42="",IF('制度詳細'!$J$42="","",IF(AND('制度詳細'!$J$42&gt;=BT$5,'制度詳細'!$J$42&lt;=EOMONTH(BT$5,0)),"◆","")),IF(MAX('制度詳細'!$H$42,BT$5)&lt;=MIN(IF('制度詳細'!$I$42="",EOMONTH(BT$5,0),'制度詳細'!$I$42),EOMONTH(BT$5,0)),"■",IF(AND('制度詳細'!$J$42&lt;&gt;"",'制度詳細'!$J$42&gt;=BT$5,'制度詳細'!$J$42&lt;=EOMONTH(BT$5,0)),"◆","")))</x:f>
        <x:v>■</x:v>
      </x:c>
      <x:c r="BU42" s="57" t="str">
        <x:f>IF('制度詳細'!$H$42="",IF('制度詳細'!$J$42="","",IF(AND('制度詳細'!$J$42&gt;=BU$5,'制度詳細'!$J$42&lt;=EOMONTH(BU$5,0)),"◆","")),IF(MAX('制度詳細'!$H$42,BU$5)&lt;=MIN(IF('制度詳細'!$I$42="",EOMONTH(BU$5,0),'制度詳細'!$I$42),EOMONTH(BU$5,0)),"■",IF(AND('制度詳細'!$J$42&lt;&gt;"",'制度詳細'!$J$42&gt;=BU$5,'制度詳細'!$J$42&lt;=EOMONTH(BU$5,0)),"◆","")))</x:f>
        <x:v>■</x:v>
      </x:c>
      <x:c r="BV42" s="57" t="str">
        <x:f>IF('制度詳細'!$H$42="",IF('制度詳細'!$J$42="","",IF(AND('制度詳細'!$J$42&gt;=BV$5,'制度詳細'!$J$42&lt;=EOMONTH(BV$5,0)),"◆","")),IF(MAX('制度詳細'!$H$42,BV$5)&lt;=MIN(IF('制度詳細'!$I$42="",EOMONTH(BV$5,0),'制度詳細'!$I$42),EOMONTH(BV$5,0)),"■",IF(AND('制度詳細'!$J$42&lt;&gt;"",'制度詳細'!$J$42&gt;=BV$5,'制度詳細'!$J$42&lt;=EOMONTH(BV$5,0)),"◆","")))</x:f>
        <x:v>■</x:v>
      </x:c>
      <x:c r="BW42" s="57" t="str">
        <x:f>IF('制度詳細'!$H$42="",IF('制度詳細'!$J$42="","",IF(AND('制度詳細'!$J$42&gt;=BW$5,'制度詳細'!$J$42&lt;=EOMONTH(BW$5,0)),"◆","")),IF(MAX('制度詳細'!$H$42,BW$5)&lt;=MIN(IF('制度詳細'!$I$42="",EOMONTH(BW$5,0),'制度詳細'!$I$42),EOMONTH(BW$5,0)),"■",IF(AND('制度詳細'!$J$42&lt;&gt;"",'制度詳細'!$J$42&gt;=BW$5,'制度詳細'!$J$42&lt;=EOMONTH(BW$5,0)),"◆","")))</x:f>
        <x:v>■</x:v>
      </x:c>
      <x:c r="BX42" s="57" t="str">
        <x:f>IF('制度詳細'!$H$42="",IF('制度詳細'!$J$42="","",IF(AND('制度詳細'!$J$42&gt;=BX$5,'制度詳細'!$J$42&lt;=EOMONTH(BX$5,0)),"◆","")),IF(MAX('制度詳細'!$H$42,BX$5)&lt;=MIN(IF('制度詳細'!$I$42="",EOMONTH(BX$5,0),'制度詳細'!$I$42),EOMONTH(BX$5,0)),"■",IF(AND('制度詳細'!$J$42&lt;&gt;"",'制度詳細'!$J$42&gt;=BX$5,'制度詳細'!$J$42&lt;=EOMONTH(BX$5,0)),"◆","")))</x:f>
        <x:v>■</x:v>
      </x:c>
      <x:c r="BY42" s="57" t="str">
        <x:f>IF('制度詳細'!$H$42="",IF('制度詳細'!$J$42="","",IF(AND('制度詳細'!$J$42&gt;=BY$5,'制度詳細'!$J$42&lt;=EOMONTH(BY$5,0)),"◆","")),IF(MAX('制度詳細'!$H$42,BY$5)&lt;=MIN(IF('制度詳細'!$I$42="",EOMONTH(BY$5,0),'制度詳細'!$I$42),EOMONTH(BY$5,0)),"■",IF(AND('制度詳細'!$J$42&lt;&gt;"",'制度詳細'!$J$42&gt;=BY$5,'制度詳細'!$J$42&lt;=EOMONTH(BY$5,0)),"◆","")))</x:f>
        <x:v>■</x:v>
      </x:c>
      <x:c r="BZ42" s="57" t="str">
        <x:f>IF('制度詳細'!$H$42="",IF('制度詳細'!$J$42="","",IF(AND('制度詳細'!$J$42&gt;=BZ$5,'制度詳細'!$J$42&lt;=EOMONTH(BZ$5,0)),"◆","")),IF(MAX('制度詳細'!$H$42,BZ$5)&lt;=MIN(IF('制度詳細'!$I$42="",EOMONTH(BZ$5,0),'制度詳細'!$I$42),EOMONTH(BZ$5,0)),"■",IF(AND('制度詳細'!$J$42&lt;&gt;"",'制度詳細'!$J$42&gt;=BZ$5,'制度詳細'!$J$42&lt;=EOMONTH(BZ$5,0)),"◆","")))</x:f>
        <x:v>■</x:v>
      </x:c>
      <x:c r="CA42" s="57" t="str">
        <x:f>IF('制度詳細'!$H$42="",IF('制度詳細'!$J$42="","",IF(AND('制度詳細'!$J$42&gt;=CA$5,'制度詳細'!$J$42&lt;=EOMONTH(CA$5,0)),"◆","")),IF(MAX('制度詳細'!$H$42,CA$5)&lt;=MIN(IF('制度詳細'!$I$42="",EOMONTH(CA$5,0),'制度詳細'!$I$42),EOMONTH(CA$5,0)),"■",IF(AND('制度詳細'!$J$42&lt;&gt;"",'制度詳細'!$J$42&gt;=CA$5,'制度詳細'!$J$42&lt;=EOMONTH(CA$5,0)),"◆","")))</x:f>
        <x:v>■</x:v>
      </x:c>
      <x:c r="CB42" s="57" t="str">
        <x:f>IF('制度詳細'!$H$42="",IF('制度詳細'!$J$42="","",IF(AND('制度詳細'!$J$42&gt;=CB$5,'制度詳細'!$J$42&lt;=EOMONTH(CB$5,0)),"◆","")),IF(MAX('制度詳細'!$H$42,CB$5)&lt;=MIN(IF('制度詳細'!$I$42="",EOMONTH(CB$5,0),'制度詳細'!$I$42),EOMONTH(CB$5,0)),"■",IF(AND('制度詳細'!$J$42&lt;&gt;"",'制度詳細'!$J$42&gt;=CB$5,'制度詳細'!$J$42&lt;=EOMONTH(CB$5,0)),"◆","")))</x:f>
        <x:v>■</x:v>
      </x:c>
      <x:c r="CC42" s="57" t="str">
        <x:f>IF('制度詳細'!$H$42="",IF('制度詳細'!$J$42="","",IF(AND('制度詳細'!$J$42&gt;=CC$5,'制度詳細'!$J$42&lt;=EOMONTH(CC$5,0)),"◆","")),IF(MAX('制度詳細'!$H$42,CC$5)&lt;=MIN(IF('制度詳細'!$I$42="",EOMONTH(CC$5,0),'制度詳細'!$I$42),EOMONTH(CC$5,0)),"■",IF(AND('制度詳細'!$J$42&lt;&gt;"",'制度詳細'!$J$42&gt;=CC$5,'制度詳細'!$J$42&lt;=EOMONTH(CC$5,0)),"◆","")))</x:f>
        <x:v>■</x:v>
      </x:c>
      <x:c r="CD42" s="57" t="str">
        <x:f>IF('制度詳細'!$H$42="",IF('制度詳細'!$J$42="","",IF(AND('制度詳細'!$J$42&gt;=CD$5,'制度詳細'!$J$42&lt;=EOMONTH(CD$5,0)),"◆","")),IF(MAX('制度詳細'!$H$42,CD$5)&lt;=MIN(IF('制度詳細'!$I$42="",EOMONTH(CD$5,0),'制度詳細'!$I$42),EOMONTH(CD$5,0)),"■",IF(AND('制度詳細'!$J$42&lt;&gt;"",'制度詳細'!$J$42&gt;=CD$5,'制度詳細'!$J$42&lt;=EOMONTH(CD$5,0)),"◆","")))</x:f>
        <x:v>■</x:v>
      </x:c>
      <x:c r="CE42" s="57" t="str">
        <x:f>IF('制度詳細'!$H$42="",IF('制度詳細'!$J$42="","",IF(AND('制度詳細'!$J$42&gt;=CE$5,'制度詳細'!$J$42&lt;=EOMONTH(CE$5,0)),"◆","")),IF(MAX('制度詳細'!$H$42,CE$5)&lt;=MIN(IF('制度詳細'!$I$42="",EOMONTH(CE$5,0),'制度詳細'!$I$42),EOMONTH(CE$5,0)),"■",IF(AND('制度詳細'!$J$42&lt;&gt;"",'制度詳細'!$J$42&gt;=CE$5,'制度詳細'!$J$42&lt;=EOMONTH(CE$5,0)),"◆","")))</x:f>
        <x:v>■</x:v>
      </x:c>
      <x:c r="CF42" s="57" t="str">
        <x:f>IF('制度詳細'!$H$42="",IF('制度詳細'!$J$42="","",IF(AND('制度詳細'!$J$42&gt;=CF$5,'制度詳細'!$J$42&lt;=EOMONTH(CF$5,0)),"◆","")),IF(MAX('制度詳細'!$H$42,CF$5)&lt;=MIN(IF('制度詳細'!$I$42="",EOMONTH(CF$5,0),'制度詳細'!$I$42),EOMONTH(CF$5,0)),"■",IF(AND('制度詳細'!$J$42&lt;&gt;"",'制度詳細'!$J$42&gt;=CF$5,'制度詳細'!$J$42&lt;=EOMONTH(CF$5,0)),"◆","")))</x:f>
        <x:v>■</x:v>
      </x:c>
      <x:c r="CG42" s="57" t="str">
        <x:f>IF('制度詳細'!$H$42="",IF('制度詳細'!$J$42="","",IF(AND('制度詳細'!$J$42&gt;=CG$5,'制度詳細'!$J$42&lt;=EOMONTH(CG$5,0)),"◆","")),IF(MAX('制度詳細'!$H$42,CG$5)&lt;=MIN(IF('制度詳細'!$I$42="",EOMONTH(CG$5,0),'制度詳細'!$I$42),EOMONTH(CG$5,0)),"■",IF(AND('制度詳細'!$J$42&lt;&gt;"",'制度詳細'!$J$42&gt;=CG$5,'制度詳細'!$J$42&lt;=EOMONTH(CG$5,0)),"◆","")))</x:f>
        <x:v>■</x:v>
      </x:c>
      <x:c r="CH42" s="57" t="str">
        <x:f>IF('制度詳細'!$H$42="",IF('制度詳細'!$J$42="","",IF(AND('制度詳細'!$J$42&gt;=CH$5,'制度詳細'!$J$42&lt;=EOMONTH(CH$5,0)),"◆","")),IF(MAX('制度詳細'!$H$42,CH$5)&lt;=MIN(IF('制度詳細'!$I$42="",EOMONTH(CH$5,0),'制度詳細'!$I$42),EOMONTH(CH$5,0)),"■",IF(AND('制度詳細'!$J$42&lt;&gt;"",'制度詳細'!$J$42&gt;=CH$5,'制度詳細'!$J$42&lt;=EOMONTH(CH$5,0)),"◆","")))</x:f>
        <x:v>■</x:v>
      </x:c>
      <x:c r="CI42" s="57" t="str">
        <x:f>IF('制度詳細'!$H$42="",IF('制度詳細'!$J$42="","",IF(AND('制度詳細'!$J$42&gt;=CI$5,'制度詳細'!$J$42&lt;=EOMONTH(CI$5,0)),"◆","")),IF(MAX('制度詳細'!$H$42,CI$5)&lt;=MIN(IF('制度詳細'!$I$42="",EOMONTH(CI$5,0),'制度詳細'!$I$42),EOMONTH(CI$5,0)),"■",IF(AND('制度詳細'!$J$42&lt;&gt;"",'制度詳細'!$J$42&gt;=CI$5,'制度詳細'!$J$42&lt;=EOMONTH(CI$5,0)),"◆","")))</x:f>
        <x:v>■</x:v>
      </x:c>
      <x:c r="CJ42" s="57" t="str">
        <x:f>IF('制度詳細'!$H$42="",IF('制度詳細'!$J$42="","",IF(AND('制度詳細'!$J$42&gt;=CJ$5,'制度詳細'!$J$42&lt;=EOMONTH(CJ$5,0)),"◆","")),IF(MAX('制度詳細'!$H$42,CJ$5)&lt;=MIN(IF('制度詳細'!$I$42="",EOMONTH(CJ$5,0),'制度詳細'!$I$42),EOMONTH(CJ$5,0)),"■",IF(AND('制度詳細'!$J$42&lt;&gt;"",'制度詳細'!$J$42&gt;=CJ$5,'制度詳細'!$J$42&lt;=EOMONTH(CJ$5,0)),"◆","")))</x:f>
        <x:v>■</x:v>
      </x:c>
      <x:c r="CK42" s="57" t="str">
        <x:f>IF('制度詳細'!$H$42="",IF('制度詳細'!$J$42="","",IF(AND('制度詳細'!$J$42&gt;=CK$5,'制度詳細'!$J$42&lt;=EOMONTH(CK$5,0)),"◆","")),IF(MAX('制度詳細'!$H$42,CK$5)&lt;=MIN(IF('制度詳細'!$I$42="",EOMONTH(CK$5,0),'制度詳細'!$I$42),EOMONTH(CK$5,0)),"■",IF(AND('制度詳細'!$J$42&lt;&gt;"",'制度詳細'!$J$42&gt;=CK$5,'制度詳細'!$J$42&lt;=EOMONTH(CK$5,0)),"◆","")))</x:f>
        <x:v>■</x:v>
      </x:c>
      <x:c r="CL42" s="57" t="str">
        <x:f>IF('制度詳細'!$H$42="",IF('制度詳細'!$J$42="","",IF(AND('制度詳細'!$J$42&gt;=CL$5,'制度詳細'!$J$42&lt;=EOMONTH(CL$5,0)),"◆","")),IF(MAX('制度詳細'!$H$42,CL$5)&lt;=MIN(IF('制度詳細'!$I$42="",EOMONTH(CL$5,0),'制度詳細'!$I$42),EOMONTH(CL$5,0)),"■",IF(AND('制度詳細'!$J$42&lt;&gt;"",'制度詳細'!$J$42&gt;=CL$5,'制度詳細'!$J$42&lt;=EOMONTH(CL$5,0)),"◆","")))</x:f>
        <x:v>■</x:v>
      </x:c>
      <x:c r="CM42" s="57" t="str">
        <x:f>IF('制度詳細'!$H$42="",IF('制度詳細'!$J$42="","",IF(AND('制度詳細'!$J$42&gt;=CM$5,'制度詳細'!$J$42&lt;=EOMONTH(CM$5,0)),"◆","")),IF(MAX('制度詳細'!$H$42,CM$5)&lt;=MIN(IF('制度詳細'!$I$42="",EOMONTH(CM$5,0),'制度詳細'!$I$42),EOMONTH(CM$5,0)),"■",IF(AND('制度詳細'!$J$42&lt;&gt;"",'制度詳細'!$J$42&gt;=CM$5,'制度詳細'!$J$42&lt;=EOMONTH(CM$5,0)),"◆","")))</x:f>
        <x:v>■</x:v>
      </x:c>
      <x:c r="CN42" s="57" t="str">
        <x:f>IF('制度詳細'!$H$42="",IF('制度詳細'!$J$42="","",IF(AND('制度詳細'!$J$42&gt;=CN$5,'制度詳細'!$J$42&lt;=EOMONTH(CN$5,0)),"◆","")),IF(MAX('制度詳細'!$H$42,CN$5)&lt;=MIN(IF('制度詳細'!$I$42="",EOMONTH(CN$5,0),'制度詳細'!$I$42),EOMONTH(CN$5,0)),"■",IF(AND('制度詳細'!$J$42&lt;&gt;"",'制度詳細'!$J$42&gt;=CN$5,'制度詳細'!$J$42&lt;=EOMONTH(CN$5,0)),"◆","")))</x:f>
        <x:v>■</x:v>
      </x:c>
      <x:c r="CO42" s="57" t="str">
        <x:f>IF('制度詳細'!$H$42="",IF('制度詳細'!$J$42="","",IF(AND('制度詳細'!$J$42&gt;=CO$5,'制度詳細'!$J$42&lt;=EOMONTH(CO$5,0)),"◆","")),IF(MAX('制度詳細'!$H$42,CO$5)&lt;=MIN(IF('制度詳細'!$I$42="",EOMONTH(CO$5,0),'制度詳細'!$I$42),EOMONTH(CO$5,0)),"■",IF(AND('制度詳細'!$J$42&lt;&gt;"",'制度詳細'!$J$42&gt;=CO$5,'制度詳細'!$J$42&lt;=EOMONTH(CO$5,0)),"◆","")))</x:f>
        <x:v>■</x:v>
      </x:c>
      <x:c r="CP42" s="57" t="str">
        <x:f>IF('制度詳細'!$H$42="",IF('制度詳細'!$J$42="","",IF(AND('制度詳細'!$J$42&gt;=CP$5,'制度詳細'!$J$42&lt;=EOMONTH(CP$5,0)),"◆","")),IF(MAX('制度詳細'!$H$42,CP$5)&lt;=MIN(IF('制度詳細'!$I$42="",EOMONTH(CP$5,0),'制度詳細'!$I$42),EOMONTH(CP$5,0)),"■",IF(AND('制度詳細'!$J$42&lt;&gt;"",'制度詳細'!$J$42&gt;=CP$5,'制度詳細'!$J$42&lt;=EOMONTH(CP$5,0)),"◆","")))</x:f>
        <x:v>■</x:v>
      </x:c>
      <x:c r="CQ42" s="57" t="str">
        <x:f>IF('制度詳細'!$H$42="",IF('制度詳細'!$J$42="","",IF(AND('制度詳細'!$J$42&gt;=CQ$5,'制度詳細'!$J$42&lt;=EOMONTH(CQ$5,0)),"◆","")),IF(MAX('制度詳細'!$H$42,CQ$5)&lt;=MIN(IF('制度詳細'!$I$42="",EOMONTH(CQ$5,0),'制度詳細'!$I$42),EOMONTH(CQ$5,0)),"■",IF(AND('制度詳細'!$J$42&lt;&gt;"",'制度詳細'!$J$42&gt;=CQ$5,'制度詳細'!$J$42&lt;=EOMONTH(CQ$5,0)),"◆","")))</x:f>
        <x:v>■</x:v>
      </x:c>
      <x:c r="CR42" s="57" t="str">
        <x:f>IF('制度詳細'!$H$42="",IF('制度詳細'!$J$42="","",IF(AND('制度詳細'!$J$42&gt;=CR$5,'制度詳細'!$J$42&lt;=EOMONTH(CR$5,0)),"◆","")),IF(MAX('制度詳細'!$H$42,CR$5)&lt;=MIN(IF('制度詳細'!$I$42="",EOMONTH(CR$5,0),'制度詳細'!$I$42),EOMONTH(CR$5,0)),"■",IF(AND('制度詳細'!$J$42&lt;&gt;"",'制度詳細'!$J$42&gt;=CR$5,'制度詳細'!$J$42&lt;=EOMONTH(CR$5,0)),"◆","")))</x:f>
        <x:v>■</x:v>
      </x:c>
      <x:c r="CS42" s="57" t="str">
        <x:f>IF('制度詳細'!$H$42="",IF('制度詳細'!$J$42="","",IF(AND('制度詳細'!$J$42&gt;=CS$5,'制度詳細'!$J$42&lt;=EOMONTH(CS$5,0)),"◆","")),IF(MAX('制度詳細'!$H$42,CS$5)&lt;=MIN(IF('制度詳細'!$I$42="",EOMONTH(CS$5,0),'制度詳細'!$I$42),EOMONTH(CS$5,0)),"■",IF(AND('制度詳細'!$J$42&lt;&gt;"",'制度詳細'!$J$42&gt;=CS$5,'制度詳細'!$J$42&lt;=EOMONTH(CS$5,0)),"◆","")))</x:f>
        <x:v>■</x:v>
      </x:c>
      <x:c r="CT42" s="57" t="str">
        <x:f>IF('制度詳細'!$H$42="",IF('制度詳細'!$J$42="","",IF(AND('制度詳細'!$J$42&gt;=CT$5,'制度詳細'!$J$42&lt;=EOMONTH(CT$5,0)),"◆","")),IF(MAX('制度詳細'!$H$42,CT$5)&lt;=MIN(IF('制度詳細'!$I$42="",EOMONTH(CT$5,0),'制度詳細'!$I$42),EOMONTH(CT$5,0)),"■",IF(AND('制度詳細'!$J$42&lt;&gt;"",'制度詳細'!$J$42&gt;=CT$5,'制度詳細'!$J$42&lt;=EOMONTH(CT$5,0)),"◆","")))</x:f>
        <x:v>■</x:v>
      </x:c>
      <x:c r="CU42" s="57" t="str">
        <x:f>IF('制度詳細'!$H$42="",IF('制度詳細'!$J$42="","",IF(AND('制度詳細'!$J$42&gt;=CU$5,'制度詳細'!$J$42&lt;=EOMONTH(CU$5,0)),"◆","")),IF(MAX('制度詳細'!$H$42,CU$5)&lt;=MIN(IF('制度詳細'!$I$42="",EOMONTH(CU$5,0),'制度詳細'!$I$42),EOMONTH(CU$5,0)),"■",IF(AND('制度詳細'!$J$42&lt;&gt;"",'制度詳細'!$J$42&gt;=CU$5,'制度詳細'!$J$42&lt;=EOMONTH(CU$5,0)),"◆","")))</x:f>
        <x:v>■</x:v>
      </x:c>
      <x:c r="CV42" s="57" t="str">
        <x:f>IF('制度詳細'!$H$42="",IF('制度詳細'!$J$42="","",IF(AND('制度詳細'!$J$42&gt;=CV$5,'制度詳細'!$J$42&lt;=EOMONTH(CV$5,0)),"◆","")),IF(MAX('制度詳細'!$H$42,CV$5)&lt;=MIN(IF('制度詳細'!$I$42="",EOMONTH(CV$5,0),'制度詳細'!$I$42),EOMONTH(CV$5,0)),"■",IF(AND('制度詳細'!$J$42&lt;&gt;"",'制度詳細'!$J$42&gt;=CV$5,'制度詳細'!$J$42&lt;=EOMONTH(CV$5,0)),"◆","")))</x:f>
        <x:v>■</x:v>
      </x:c>
      <x:c r="CW42" s="1"/>
      <x:c r="CX42" s="1"/>
      <x:c r="CY42" s="1"/>
      <x:c r="CZ42" s="1"/>
      <x:c r="DA42" s="1"/>
      <x:c r="DB42" s="1"/>
      <x:c r="DC42" s="1"/>
      <x:c r="DD42" s="1"/>
    </x:row>
    <x:row r="43" ht="27" customHeight="1">
      <x:c r="A43" s="58" t="str">
        <x:v>PH05</x:v>
      </x:c>
      <x:c r="B43" s="58" t="str">
        <x:v>フィリピン</x:v>
      </x:c>
      <x:c r="C43" s="58" t="str">
        <x:v>RR1/2025：認定・定義の明確化</x:v>
      </x:c>
      <x:c r="D43" s="58" t="str">
        <x:v>BEV/Hybrid</x:v>
      </x:c>
      <x:c r="E43" s="57" t="str">
        <x:f>IF('制度詳細'!$H$43="",IF('制度詳細'!$J$43="","",IF(AND('制度詳細'!$J$43&gt;=E$5,'制度詳細'!$J$43&lt;=EOMONTH(E$5,0)),"◆","")),IF(MAX('制度詳細'!$H$43,E$5)&lt;=MIN(IF('制度詳細'!$I$43="",EOMONTH(E$5,0),'制度詳細'!$I$43),EOMONTH(E$5,0)),"■",IF(AND('制度詳細'!$J$43&lt;&gt;"",'制度詳細'!$J$43&gt;=E$5,'制度詳細'!$J$43&lt;=EOMONTH(E$5,0)),"◆","")))</x:f>
      </x:c>
      <x:c r="F43" s="57" t="str">
        <x:f>IF('制度詳細'!$H$43="",IF('制度詳細'!$J$43="","",IF(AND('制度詳細'!$J$43&gt;=F$5,'制度詳細'!$J$43&lt;=EOMONTH(F$5,0)),"◆","")),IF(MAX('制度詳細'!$H$43,F$5)&lt;=MIN(IF('制度詳細'!$I$43="",EOMONTH(F$5,0),'制度詳細'!$I$43),EOMONTH(F$5,0)),"■",IF(AND('制度詳細'!$J$43&lt;&gt;"",'制度詳細'!$J$43&gt;=F$5,'制度詳細'!$J$43&lt;=EOMONTH(F$5,0)),"◆","")))</x:f>
      </x:c>
      <x:c r="G43" s="57" t="str">
        <x:f>IF('制度詳細'!$H$43="",IF('制度詳細'!$J$43="","",IF(AND('制度詳細'!$J$43&gt;=G$5,'制度詳細'!$J$43&lt;=EOMONTH(G$5,0)),"◆","")),IF(MAX('制度詳細'!$H$43,G$5)&lt;=MIN(IF('制度詳細'!$I$43="",EOMONTH(G$5,0),'制度詳細'!$I$43),EOMONTH(G$5,0)),"■",IF(AND('制度詳細'!$J$43&lt;&gt;"",'制度詳細'!$J$43&gt;=G$5,'制度詳細'!$J$43&lt;=EOMONTH(G$5,0)),"◆","")))</x:f>
      </x:c>
      <x:c r="H43" s="57" t="str">
        <x:f>IF('制度詳細'!$H$43="",IF('制度詳細'!$J$43="","",IF(AND('制度詳細'!$J$43&gt;=H$5,'制度詳細'!$J$43&lt;=EOMONTH(H$5,0)),"◆","")),IF(MAX('制度詳細'!$H$43,H$5)&lt;=MIN(IF('制度詳細'!$I$43="",EOMONTH(H$5,0),'制度詳細'!$I$43),EOMONTH(H$5,0)),"■",IF(AND('制度詳細'!$J$43&lt;&gt;"",'制度詳細'!$J$43&gt;=H$5,'制度詳細'!$J$43&lt;=EOMONTH(H$5,0)),"◆","")))</x:f>
      </x:c>
      <x:c r="I43" s="57" t="str">
        <x:f>IF('制度詳細'!$H$43="",IF('制度詳細'!$J$43="","",IF(AND('制度詳細'!$J$43&gt;=I$5,'制度詳細'!$J$43&lt;=EOMONTH(I$5,0)),"◆","")),IF(MAX('制度詳細'!$H$43,I$5)&lt;=MIN(IF('制度詳細'!$I$43="",EOMONTH(I$5,0),'制度詳細'!$I$43),EOMONTH(I$5,0)),"■",IF(AND('制度詳細'!$J$43&lt;&gt;"",'制度詳細'!$J$43&gt;=I$5,'制度詳細'!$J$43&lt;=EOMONTH(I$5,0)),"◆","")))</x:f>
      </x:c>
      <x:c r="J43" s="57" t="str">
        <x:f>IF('制度詳細'!$H$43="",IF('制度詳細'!$J$43="","",IF(AND('制度詳細'!$J$43&gt;=J$5,'制度詳細'!$J$43&lt;=EOMONTH(J$5,0)),"◆","")),IF(MAX('制度詳細'!$H$43,J$5)&lt;=MIN(IF('制度詳細'!$I$43="",EOMONTH(J$5,0),'制度詳細'!$I$43),EOMONTH(J$5,0)),"■",IF(AND('制度詳細'!$J$43&lt;&gt;"",'制度詳細'!$J$43&gt;=J$5,'制度詳細'!$J$43&lt;=EOMONTH(J$5,0)),"◆","")))</x:f>
      </x:c>
      <x:c r="K43" s="57" t="str">
        <x:f>IF('制度詳細'!$H$43="",IF('制度詳細'!$J$43="","",IF(AND('制度詳細'!$J$43&gt;=K$5,'制度詳細'!$J$43&lt;=EOMONTH(K$5,0)),"◆","")),IF(MAX('制度詳細'!$H$43,K$5)&lt;=MIN(IF('制度詳細'!$I$43="",EOMONTH(K$5,0),'制度詳細'!$I$43),EOMONTH(K$5,0)),"■",IF(AND('制度詳細'!$J$43&lt;&gt;"",'制度詳細'!$J$43&gt;=K$5,'制度詳細'!$J$43&lt;=EOMONTH(K$5,0)),"◆","")))</x:f>
      </x:c>
      <x:c r="L43" s="57" t="str">
        <x:f>IF('制度詳細'!$H$43="",IF('制度詳細'!$J$43="","",IF(AND('制度詳細'!$J$43&gt;=L$5,'制度詳細'!$J$43&lt;=EOMONTH(L$5,0)),"◆","")),IF(MAX('制度詳細'!$H$43,L$5)&lt;=MIN(IF('制度詳細'!$I$43="",EOMONTH(L$5,0),'制度詳細'!$I$43),EOMONTH(L$5,0)),"■",IF(AND('制度詳細'!$J$43&lt;&gt;"",'制度詳細'!$J$43&gt;=L$5,'制度詳細'!$J$43&lt;=EOMONTH(L$5,0)),"◆","")))</x:f>
      </x:c>
      <x:c r="M43" s="57" t="str">
        <x:f>IF('制度詳細'!$H$43="",IF('制度詳細'!$J$43="","",IF(AND('制度詳細'!$J$43&gt;=M$5,'制度詳細'!$J$43&lt;=EOMONTH(M$5,0)),"◆","")),IF(MAX('制度詳細'!$H$43,M$5)&lt;=MIN(IF('制度詳細'!$I$43="",EOMONTH(M$5,0),'制度詳細'!$I$43),EOMONTH(M$5,0)),"■",IF(AND('制度詳細'!$J$43&lt;&gt;"",'制度詳細'!$J$43&gt;=M$5,'制度詳細'!$J$43&lt;=EOMONTH(M$5,0)),"◆","")))</x:f>
      </x:c>
      <x:c r="N43" s="57" t="str">
        <x:f>IF('制度詳細'!$H$43="",IF('制度詳細'!$J$43="","",IF(AND('制度詳細'!$J$43&gt;=N$5,'制度詳細'!$J$43&lt;=EOMONTH(N$5,0)),"◆","")),IF(MAX('制度詳細'!$H$43,N$5)&lt;=MIN(IF('制度詳細'!$I$43="",EOMONTH(N$5,0),'制度詳細'!$I$43),EOMONTH(N$5,0)),"■",IF(AND('制度詳細'!$J$43&lt;&gt;"",'制度詳細'!$J$43&gt;=N$5,'制度詳細'!$J$43&lt;=EOMONTH(N$5,0)),"◆","")))</x:f>
      </x:c>
      <x:c r="O43" s="57" t="str">
        <x:f>IF('制度詳細'!$H$43="",IF('制度詳細'!$J$43="","",IF(AND('制度詳細'!$J$43&gt;=O$5,'制度詳細'!$J$43&lt;=EOMONTH(O$5,0)),"◆","")),IF(MAX('制度詳細'!$H$43,O$5)&lt;=MIN(IF('制度詳細'!$I$43="",EOMONTH(O$5,0),'制度詳細'!$I$43),EOMONTH(O$5,0)),"■",IF(AND('制度詳細'!$J$43&lt;&gt;"",'制度詳細'!$J$43&gt;=O$5,'制度詳細'!$J$43&lt;=EOMONTH(O$5,0)),"◆","")))</x:f>
      </x:c>
      <x:c r="P43" s="57" t="str">
        <x:f>IF('制度詳細'!$H$43="",IF('制度詳細'!$J$43="","",IF(AND('制度詳細'!$J$43&gt;=P$5,'制度詳細'!$J$43&lt;=EOMONTH(P$5,0)),"◆","")),IF(MAX('制度詳細'!$H$43,P$5)&lt;=MIN(IF('制度詳細'!$I$43="",EOMONTH(P$5,0),'制度詳細'!$I$43),EOMONTH(P$5,0)),"■",IF(AND('制度詳細'!$J$43&lt;&gt;"",'制度詳細'!$J$43&gt;=P$5,'制度詳細'!$J$43&lt;=EOMONTH(P$5,0)),"◆","")))</x:f>
      </x:c>
      <x:c r="Q43" s="57" t="str">
        <x:f>IF('制度詳細'!$H$43="",IF('制度詳細'!$J$43="","",IF(AND('制度詳細'!$J$43&gt;=Q$5,'制度詳細'!$J$43&lt;=EOMONTH(Q$5,0)),"◆","")),IF(MAX('制度詳細'!$H$43,Q$5)&lt;=MIN(IF('制度詳細'!$I$43="",EOMONTH(Q$5,0),'制度詳細'!$I$43),EOMONTH(Q$5,0)),"■",IF(AND('制度詳細'!$J$43&lt;&gt;"",'制度詳細'!$J$43&gt;=Q$5,'制度詳細'!$J$43&lt;=EOMONTH(Q$5,0)),"◆","")))</x:f>
      </x:c>
      <x:c r="R43" s="57" t="str">
        <x:f>IF('制度詳細'!$H$43="",IF('制度詳細'!$J$43="","",IF(AND('制度詳細'!$J$43&gt;=R$5,'制度詳細'!$J$43&lt;=EOMONTH(R$5,0)),"◆","")),IF(MAX('制度詳細'!$H$43,R$5)&lt;=MIN(IF('制度詳細'!$I$43="",EOMONTH(R$5,0),'制度詳細'!$I$43),EOMONTH(R$5,0)),"■",IF(AND('制度詳細'!$J$43&lt;&gt;"",'制度詳細'!$J$43&gt;=R$5,'制度詳細'!$J$43&lt;=EOMONTH(R$5,0)),"◆","")))</x:f>
      </x:c>
      <x:c r="S43" s="57" t="str">
        <x:f>IF('制度詳細'!$H$43="",IF('制度詳細'!$J$43="","",IF(AND('制度詳細'!$J$43&gt;=S$5,'制度詳細'!$J$43&lt;=EOMONTH(S$5,0)),"◆","")),IF(MAX('制度詳細'!$H$43,S$5)&lt;=MIN(IF('制度詳細'!$I$43="",EOMONTH(S$5,0),'制度詳細'!$I$43),EOMONTH(S$5,0)),"■",IF(AND('制度詳細'!$J$43&lt;&gt;"",'制度詳細'!$J$43&gt;=S$5,'制度詳細'!$J$43&lt;=EOMONTH(S$5,0)),"◆","")))</x:f>
      </x:c>
      <x:c r="T43" s="57" t="str">
        <x:f>IF('制度詳細'!$H$43="",IF('制度詳細'!$J$43="","",IF(AND('制度詳細'!$J$43&gt;=T$5,'制度詳細'!$J$43&lt;=EOMONTH(T$5,0)),"◆","")),IF(MAX('制度詳細'!$H$43,T$5)&lt;=MIN(IF('制度詳細'!$I$43="",EOMONTH(T$5,0),'制度詳細'!$I$43),EOMONTH(T$5,0)),"■",IF(AND('制度詳細'!$J$43&lt;&gt;"",'制度詳細'!$J$43&gt;=T$5,'制度詳細'!$J$43&lt;=EOMONTH(T$5,0)),"◆","")))</x:f>
      </x:c>
      <x:c r="U43" s="57" t="str">
        <x:f>IF('制度詳細'!$H$43="",IF('制度詳細'!$J$43="","",IF(AND('制度詳細'!$J$43&gt;=U$5,'制度詳細'!$J$43&lt;=EOMONTH(U$5,0)),"◆","")),IF(MAX('制度詳細'!$H$43,U$5)&lt;=MIN(IF('制度詳細'!$I$43="",EOMONTH(U$5,0),'制度詳細'!$I$43),EOMONTH(U$5,0)),"■",IF(AND('制度詳細'!$J$43&lt;&gt;"",'制度詳細'!$J$43&gt;=U$5,'制度詳細'!$J$43&lt;=EOMONTH(U$5,0)),"◆","")))</x:f>
      </x:c>
      <x:c r="V43" s="57" t="str">
        <x:f>IF('制度詳細'!$H$43="",IF('制度詳細'!$J$43="","",IF(AND('制度詳細'!$J$43&gt;=V$5,'制度詳細'!$J$43&lt;=EOMONTH(V$5,0)),"◆","")),IF(MAX('制度詳細'!$H$43,V$5)&lt;=MIN(IF('制度詳細'!$I$43="",EOMONTH(V$5,0),'制度詳細'!$I$43),EOMONTH(V$5,0)),"■",IF(AND('制度詳細'!$J$43&lt;&gt;"",'制度詳細'!$J$43&gt;=V$5,'制度詳細'!$J$43&lt;=EOMONTH(V$5,0)),"◆","")))</x:f>
      </x:c>
      <x:c r="W43" s="57" t="str">
        <x:f>IF('制度詳細'!$H$43="",IF('制度詳細'!$J$43="","",IF(AND('制度詳細'!$J$43&gt;=W$5,'制度詳細'!$J$43&lt;=EOMONTH(W$5,0)),"◆","")),IF(MAX('制度詳細'!$H$43,W$5)&lt;=MIN(IF('制度詳細'!$I$43="",EOMONTH(W$5,0),'制度詳細'!$I$43),EOMONTH(W$5,0)),"■",IF(AND('制度詳細'!$J$43&lt;&gt;"",'制度詳細'!$J$43&gt;=W$5,'制度詳細'!$J$43&lt;=EOMONTH(W$5,0)),"◆","")))</x:f>
      </x:c>
      <x:c r="X43" s="57" t="str">
        <x:f>IF('制度詳細'!$H$43="",IF('制度詳細'!$J$43="","",IF(AND('制度詳細'!$J$43&gt;=X$5,'制度詳細'!$J$43&lt;=EOMONTH(X$5,0)),"◆","")),IF(MAX('制度詳細'!$H$43,X$5)&lt;=MIN(IF('制度詳細'!$I$43="",EOMONTH(X$5,0),'制度詳細'!$I$43),EOMONTH(X$5,0)),"■",IF(AND('制度詳細'!$J$43&lt;&gt;"",'制度詳細'!$J$43&gt;=X$5,'制度詳細'!$J$43&lt;=EOMONTH(X$5,0)),"◆","")))</x:f>
      </x:c>
      <x:c r="Y43" s="57" t="str">
        <x:f>IF('制度詳細'!$H$43="",IF('制度詳細'!$J$43="","",IF(AND('制度詳細'!$J$43&gt;=Y$5,'制度詳細'!$J$43&lt;=EOMONTH(Y$5,0)),"◆","")),IF(MAX('制度詳細'!$H$43,Y$5)&lt;=MIN(IF('制度詳細'!$I$43="",EOMONTH(Y$5,0),'制度詳細'!$I$43),EOMONTH(Y$5,0)),"■",IF(AND('制度詳細'!$J$43&lt;&gt;"",'制度詳細'!$J$43&gt;=Y$5,'制度詳細'!$J$43&lt;=EOMONTH(Y$5,0)),"◆","")))</x:f>
      </x:c>
      <x:c r="Z43" s="57" t="str">
        <x:f>IF('制度詳細'!$H$43="",IF('制度詳細'!$J$43="","",IF(AND('制度詳細'!$J$43&gt;=Z$5,'制度詳細'!$J$43&lt;=EOMONTH(Z$5,0)),"◆","")),IF(MAX('制度詳細'!$H$43,Z$5)&lt;=MIN(IF('制度詳細'!$I$43="",EOMONTH(Z$5,0),'制度詳細'!$I$43),EOMONTH(Z$5,0)),"■",IF(AND('制度詳細'!$J$43&lt;&gt;"",'制度詳細'!$J$43&gt;=Z$5,'制度詳細'!$J$43&lt;=EOMONTH(Z$5,0)),"◆","")))</x:f>
      </x:c>
      <x:c r="AA43" s="57" t="str">
        <x:f>IF('制度詳細'!$H$43="",IF('制度詳細'!$J$43="","",IF(AND('制度詳細'!$J$43&gt;=AA$5,'制度詳細'!$J$43&lt;=EOMONTH(AA$5,0)),"◆","")),IF(MAX('制度詳細'!$H$43,AA$5)&lt;=MIN(IF('制度詳細'!$I$43="",EOMONTH(AA$5,0),'制度詳細'!$I$43),EOMONTH(AA$5,0)),"■",IF(AND('制度詳細'!$J$43&lt;&gt;"",'制度詳細'!$J$43&gt;=AA$5,'制度詳細'!$J$43&lt;=EOMONTH(AA$5,0)),"◆","")))</x:f>
      </x:c>
      <x:c r="AB43" s="57" t="str">
        <x:f>IF('制度詳細'!$H$43="",IF('制度詳細'!$J$43="","",IF(AND('制度詳細'!$J$43&gt;=AB$5,'制度詳細'!$J$43&lt;=EOMONTH(AB$5,0)),"◆","")),IF(MAX('制度詳細'!$H$43,AB$5)&lt;=MIN(IF('制度詳細'!$I$43="",EOMONTH(AB$5,0),'制度詳細'!$I$43),EOMONTH(AB$5,0)),"■",IF(AND('制度詳細'!$J$43&lt;&gt;"",'制度詳細'!$J$43&gt;=AB$5,'制度詳細'!$J$43&lt;=EOMONTH(AB$5,0)),"◆","")))</x:f>
      </x:c>
      <x:c r="AC43" s="57" t="str">
        <x:f>IF('制度詳細'!$H$43="",IF('制度詳細'!$J$43="","",IF(AND('制度詳細'!$J$43&gt;=AC$5,'制度詳細'!$J$43&lt;=EOMONTH(AC$5,0)),"◆","")),IF(MAX('制度詳細'!$H$43,AC$5)&lt;=MIN(IF('制度詳細'!$I$43="",EOMONTH(AC$5,0),'制度詳細'!$I$43),EOMONTH(AC$5,0)),"■",IF(AND('制度詳細'!$J$43&lt;&gt;"",'制度詳細'!$J$43&gt;=AC$5,'制度詳細'!$J$43&lt;=EOMONTH(AC$5,0)),"◆","")))</x:f>
      </x:c>
      <x:c r="AD43" s="57" t="str">
        <x:f>IF('制度詳細'!$H$43="",IF('制度詳細'!$J$43="","",IF(AND('制度詳細'!$J$43&gt;=AD$5,'制度詳細'!$J$43&lt;=EOMONTH(AD$5,0)),"◆","")),IF(MAX('制度詳細'!$H$43,AD$5)&lt;=MIN(IF('制度詳細'!$I$43="",EOMONTH(AD$5,0),'制度詳細'!$I$43),EOMONTH(AD$5,0)),"■",IF(AND('制度詳細'!$J$43&lt;&gt;"",'制度詳細'!$J$43&gt;=AD$5,'制度詳細'!$J$43&lt;=EOMONTH(AD$5,0)),"◆","")))</x:f>
      </x:c>
      <x:c r="AE43" s="57" t="str">
        <x:f>IF('制度詳細'!$H$43="",IF('制度詳細'!$J$43="","",IF(AND('制度詳細'!$J$43&gt;=AE$5,'制度詳細'!$J$43&lt;=EOMONTH(AE$5,0)),"◆","")),IF(MAX('制度詳細'!$H$43,AE$5)&lt;=MIN(IF('制度詳細'!$I$43="",EOMONTH(AE$5,0),'制度詳細'!$I$43),EOMONTH(AE$5,0)),"■",IF(AND('制度詳細'!$J$43&lt;&gt;"",'制度詳細'!$J$43&gt;=AE$5,'制度詳細'!$J$43&lt;=EOMONTH(AE$5,0)),"◆","")))</x:f>
      </x:c>
      <x:c r="AF43" s="57" t="str">
        <x:f>IF('制度詳細'!$H$43="",IF('制度詳細'!$J$43="","",IF(AND('制度詳細'!$J$43&gt;=AF$5,'制度詳細'!$J$43&lt;=EOMONTH(AF$5,0)),"◆","")),IF(MAX('制度詳細'!$H$43,AF$5)&lt;=MIN(IF('制度詳細'!$I$43="",EOMONTH(AF$5,0),'制度詳細'!$I$43),EOMONTH(AF$5,0)),"■",IF(AND('制度詳細'!$J$43&lt;&gt;"",'制度詳細'!$J$43&gt;=AF$5,'制度詳細'!$J$43&lt;=EOMONTH(AF$5,0)),"◆","")))</x:f>
      </x:c>
      <x:c r="AG43" s="57" t="str">
        <x:f>IF('制度詳細'!$H$43="",IF('制度詳細'!$J$43="","",IF(AND('制度詳細'!$J$43&gt;=AG$5,'制度詳細'!$J$43&lt;=EOMONTH(AG$5,0)),"◆","")),IF(MAX('制度詳細'!$H$43,AG$5)&lt;=MIN(IF('制度詳細'!$I$43="",EOMONTH(AG$5,0),'制度詳細'!$I$43),EOMONTH(AG$5,0)),"■",IF(AND('制度詳細'!$J$43&lt;&gt;"",'制度詳細'!$J$43&gt;=AG$5,'制度詳細'!$J$43&lt;=EOMONTH(AG$5,0)),"◆","")))</x:f>
      </x:c>
      <x:c r="AH43" s="57" t="str">
        <x:f>IF('制度詳細'!$H$43="",IF('制度詳細'!$J$43="","",IF(AND('制度詳細'!$J$43&gt;=AH$5,'制度詳細'!$J$43&lt;=EOMONTH(AH$5,0)),"◆","")),IF(MAX('制度詳細'!$H$43,AH$5)&lt;=MIN(IF('制度詳細'!$I$43="",EOMONTH(AH$5,0),'制度詳細'!$I$43),EOMONTH(AH$5,0)),"■",IF(AND('制度詳細'!$J$43&lt;&gt;"",'制度詳細'!$J$43&gt;=AH$5,'制度詳細'!$J$43&lt;=EOMONTH(AH$5,0)),"◆","")))</x:f>
      </x:c>
      <x:c r="AI43" s="57" t="str">
        <x:f>IF('制度詳細'!$H$43="",IF('制度詳細'!$J$43="","",IF(AND('制度詳細'!$J$43&gt;=AI$5,'制度詳細'!$J$43&lt;=EOMONTH(AI$5,0)),"◆","")),IF(MAX('制度詳細'!$H$43,AI$5)&lt;=MIN(IF('制度詳細'!$I$43="",EOMONTH(AI$5,0),'制度詳細'!$I$43),EOMONTH(AI$5,0)),"■",IF(AND('制度詳細'!$J$43&lt;&gt;"",'制度詳細'!$J$43&gt;=AI$5,'制度詳細'!$J$43&lt;=EOMONTH(AI$5,0)),"◆","")))</x:f>
      </x:c>
      <x:c r="AJ43" s="57" t="str">
        <x:f>IF('制度詳細'!$H$43="",IF('制度詳細'!$J$43="","",IF(AND('制度詳細'!$J$43&gt;=AJ$5,'制度詳細'!$J$43&lt;=EOMONTH(AJ$5,0)),"◆","")),IF(MAX('制度詳細'!$H$43,AJ$5)&lt;=MIN(IF('制度詳細'!$I$43="",EOMONTH(AJ$5,0),'制度詳細'!$I$43),EOMONTH(AJ$5,0)),"■",IF(AND('制度詳細'!$J$43&lt;&gt;"",'制度詳細'!$J$43&gt;=AJ$5,'制度詳細'!$J$43&lt;=EOMONTH(AJ$5,0)),"◆","")))</x:f>
      </x:c>
      <x:c r="AK43" s="57" t="str">
        <x:f>IF('制度詳細'!$H$43="",IF('制度詳細'!$J$43="","",IF(AND('制度詳細'!$J$43&gt;=AK$5,'制度詳細'!$J$43&lt;=EOMONTH(AK$5,0)),"◆","")),IF(MAX('制度詳細'!$H$43,AK$5)&lt;=MIN(IF('制度詳細'!$I$43="",EOMONTH(AK$5,0),'制度詳細'!$I$43),EOMONTH(AK$5,0)),"■",IF(AND('制度詳細'!$J$43&lt;&gt;"",'制度詳細'!$J$43&gt;=AK$5,'制度詳細'!$J$43&lt;=EOMONTH(AK$5,0)),"◆","")))</x:f>
      </x:c>
      <x:c r="AL43" s="57" t="str">
        <x:f>IF('制度詳細'!$H$43="",IF('制度詳細'!$J$43="","",IF(AND('制度詳細'!$J$43&gt;=AL$5,'制度詳細'!$J$43&lt;=EOMONTH(AL$5,0)),"◆","")),IF(MAX('制度詳細'!$H$43,AL$5)&lt;=MIN(IF('制度詳細'!$I$43="",EOMONTH(AL$5,0),'制度詳細'!$I$43),EOMONTH(AL$5,0)),"■",IF(AND('制度詳細'!$J$43&lt;&gt;"",'制度詳細'!$J$43&gt;=AL$5,'制度詳細'!$J$43&lt;=EOMONTH(AL$5,0)),"◆","")))</x:f>
      </x:c>
      <x:c r="AM43" s="57" t="str">
        <x:f>IF('制度詳細'!$H$43="",IF('制度詳細'!$J$43="","",IF(AND('制度詳細'!$J$43&gt;=AM$5,'制度詳細'!$J$43&lt;=EOMONTH(AM$5,0)),"◆","")),IF(MAX('制度詳細'!$H$43,AM$5)&lt;=MIN(IF('制度詳細'!$I$43="",EOMONTH(AM$5,0),'制度詳細'!$I$43),EOMONTH(AM$5,0)),"■",IF(AND('制度詳細'!$J$43&lt;&gt;"",'制度詳細'!$J$43&gt;=AM$5,'制度詳細'!$J$43&lt;=EOMONTH(AM$5,0)),"◆","")))</x:f>
      </x:c>
      <x:c r="AN43" s="57" t="str">
        <x:f>IF('制度詳細'!$H$43="",IF('制度詳細'!$J$43="","",IF(AND('制度詳細'!$J$43&gt;=AN$5,'制度詳細'!$J$43&lt;=EOMONTH(AN$5,0)),"◆","")),IF(MAX('制度詳細'!$H$43,AN$5)&lt;=MIN(IF('制度詳細'!$I$43="",EOMONTH(AN$5,0),'制度詳細'!$I$43),EOMONTH(AN$5,0)),"■",IF(AND('制度詳細'!$J$43&lt;&gt;"",'制度詳細'!$J$43&gt;=AN$5,'制度詳細'!$J$43&lt;=EOMONTH(AN$5,0)),"◆","")))</x:f>
      </x:c>
      <x:c r="AO43" s="57" t="str">
        <x:f>IF('制度詳細'!$H$43="",IF('制度詳細'!$J$43="","",IF(AND('制度詳細'!$J$43&gt;=AO$5,'制度詳細'!$J$43&lt;=EOMONTH(AO$5,0)),"◆","")),IF(MAX('制度詳細'!$H$43,AO$5)&lt;=MIN(IF('制度詳細'!$I$43="",EOMONTH(AO$5,0),'制度詳細'!$I$43),EOMONTH(AO$5,0)),"■",IF(AND('制度詳細'!$J$43&lt;&gt;"",'制度詳細'!$J$43&gt;=AO$5,'制度詳細'!$J$43&lt;=EOMONTH(AO$5,0)),"◆","")))</x:f>
      </x:c>
      <x:c r="AP43" s="57" t="str">
        <x:f>IF('制度詳細'!$H$43="",IF('制度詳細'!$J$43="","",IF(AND('制度詳細'!$J$43&gt;=AP$5,'制度詳細'!$J$43&lt;=EOMONTH(AP$5,0)),"◆","")),IF(MAX('制度詳細'!$H$43,AP$5)&lt;=MIN(IF('制度詳細'!$I$43="",EOMONTH(AP$5,0),'制度詳細'!$I$43),EOMONTH(AP$5,0)),"■",IF(AND('制度詳細'!$J$43&lt;&gt;"",'制度詳細'!$J$43&gt;=AP$5,'制度詳細'!$J$43&lt;=EOMONTH(AP$5,0)),"◆","")))</x:f>
      </x:c>
      <x:c r="AQ43" s="57" t="str">
        <x:f>IF('制度詳細'!$H$43="",IF('制度詳細'!$J$43="","",IF(AND('制度詳細'!$J$43&gt;=AQ$5,'制度詳細'!$J$43&lt;=EOMONTH(AQ$5,0)),"◆","")),IF(MAX('制度詳細'!$H$43,AQ$5)&lt;=MIN(IF('制度詳細'!$I$43="",EOMONTH(AQ$5,0),'制度詳細'!$I$43),EOMONTH(AQ$5,0)),"■",IF(AND('制度詳細'!$J$43&lt;&gt;"",'制度詳細'!$J$43&gt;=AQ$5,'制度詳細'!$J$43&lt;=EOMONTH(AQ$5,0)),"◆","")))</x:f>
      </x:c>
      <x:c r="AR43" s="57" t="str">
        <x:f>IF('制度詳細'!$H$43="",IF('制度詳細'!$J$43="","",IF(AND('制度詳細'!$J$43&gt;=AR$5,'制度詳細'!$J$43&lt;=EOMONTH(AR$5,0)),"◆","")),IF(MAX('制度詳細'!$H$43,AR$5)&lt;=MIN(IF('制度詳細'!$I$43="",EOMONTH(AR$5,0),'制度詳細'!$I$43),EOMONTH(AR$5,0)),"■",IF(AND('制度詳細'!$J$43&lt;&gt;"",'制度詳細'!$J$43&gt;=AR$5,'制度詳細'!$J$43&lt;=EOMONTH(AR$5,0)),"◆","")))</x:f>
      </x:c>
      <x:c r="AS43" s="57" t="str">
        <x:f>IF('制度詳細'!$H$43="",IF('制度詳細'!$J$43="","",IF(AND('制度詳細'!$J$43&gt;=AS$5,'制度詳細'!$J$43&lt;=EOMONTH(AS$5,0)),"◆","")),IF(MAX('制度詳細'!$H$43,AS$5)&lt;=MIN(IF('制度詳細'!$I$43="",EOMONTH(AS$5,0),'制度詳細'!$I$43),EOMONTH(AS$5,0)),"■",IF(AND('制度詳細'!$J$43&lt;&gt;"",'制度詳細'!$J$43&gt;=AS$5,'制度詳細'!$J$43&lt;=EOMONTH(AS$5,0)),"◆","")))</x:f>
      </x:c>
      <x:c r="AT43" s="57" t="str">
        <x:f>IF('制度詳細'!$H$43="",IF('制度詳細'!$J$43="","",IF(AND('制度詳細'!$J$43&gt;=AT$5,'制度詳細'!$J$43&lt;=EOMONTH(AT$5,0)),"◆","")),IF(MAX('制度詳細'!$H$43,AT$5)&lt;=MIN(IF('制度詳細'!$I$43="",EOMONTH(AT$5,0),'制度詳細'!$I$43),EOMONTH(AT$5,0)),"■",IF(AND('制度詳細'!$J$43&lt;&gt;"",'制度詳細'!$J$43&gt;=AT$5,'制度詳細'!$J$43&lt;=EOMONTH(AT$5,0)),"◆","")))</x:f>
      </x:c>
      <x:c r="AU43" s="57" t="str">
        <x:f>IF('制度詳細'!$H$43="",IF('制度詳細'!$J$43="","",IF(AND('制度詳細'!$J$43&gt;=AU$5,'制度詳細'!$J$43&lt;=EOMONTH(AU$5,0)),"◆","")),IF(MAX('制度詳細'!$H$43,AU$5)&lt;=MIN(IF('制度詳細'!$I$43="",EOMONTH(AU$5,0),'制度詳細'!$I$43),EOMONTH(AU$5,0)),"■",IF(AND('制度詳細'!$J$43&lt;&gt;"",'制度詳細'!$J$43&gt;=AU$5,'制度詳細'!$J$43&lt;=EOMONTH(AU$5,0)),"◆","")))</x:f>
      </x:c>
      <x:c r="AV43" s="57" t="str">
        <x:f>IF('制度詳細'!$H$43="",IF('制度詳細'!$J$43="","",IF(AND('制度詳細'!$J$43&gt;=AV$5,'制度詳細'!$J$43&lt;=EOMONTH(AV$5,0)),"◆","")),IF(MAX('制度詳細'!$H$43,AV$5)&lt;=MIN(IF('制度詳細'!$I$43="",EOMONTH(AV$5,0),'制度詳細'!$I$43),EOMONTH(AV$5,0)),"■",IF(AND('制度詳細'!$J$43&lt;&gt;"",'制度詳細'!$J$43&gt;=AV$5,'制度詳細'!$J$43&lt;=EOMONTH(AV$5,0)),"◆","")))</x:f>
      </x:c>
      <x:c r="AW43" s="57" t="str">
        <x:f>IF('制度詳細'!$H$43="",IF('制度詳細'!$J$43="","",IF(AND('制度詳細'!$J$43&gt;=AW$5,'制度詳細'!$J$43&lt;=EOMONTH(AW$5,0)),"◆","")),IF(MAX('制度詳細'!$H$43,AW$5)&lt;=MIN(IF('制度詳細'!$I$43="",EOMONTH(AW$5,0),'制度詳細'!$I$43),EOMONTH(AW$5,0)),"■",IF(AND('制度詳細'!$J$43&lt;&gt;"",'制度詳細'!$J$43&gt;=AW$5,'制度詳細'!$J$43&lt;=EOMONTH(AW$5,0)),"◆","")))</x:f>
      </x:c>
      <x:c r="AX43" s="57" t="str">
        <x:f>IF('制度詳細'!$H$43="",IF('制度詳細'!$J$43="","",IF(AND('制度詳細'!$J$43&gt;=AX$5,'制度詳細'!$J$43&lt;=EOMONTH(AX$5,0)),"◆","")),IF(MAX('制度詳細'!$H$43,AX$5)&lt;=MIN(IF('制度詳細'!$I$43="",EOMONTH(AX$5,0),'制度詳細'!$I$43),EOMONTH(AX$5,0)),"■",IF(AND('制度詳細'!$J$43&lt;&gt;"",'制度詳細'!$J$43&gt;=AX$5,'制度詳細'!$J$43&lt;=EOMONTH(AX$5,0)),"◆","")))</x:f>
      </x:c>
      <x:c r="AY43" s="57" t="str">
        <x:f>IF('制度詳細'!$H$43="",IF('制度詳細'!$J$43="","",IF(AND('制度詳細'!$J$43&gt;=AY$5,'制度詳細'!$J$43&lt;=EOMONTH(AY$5,0)),"◆","")),IF(MAX('制度詳細'!$H$43,AY$5)&lt;=MIN(IF('制度詳細'!$I$43="",EOMONTH(AY$5,0),'制度詳細'!$I$43),EOMONTH(AY$5,0)),"■",IF(AND('制度詳細'!$J$43&lt;&gt;"",'制度詳細'!$J$43&gt;=AY$5,'制度詳細'!$J$43&lt;=EOMONTH(AY$5,0)),"◆","")))</x:f>
      </x:c>
      <x:c r="AZ43" s="57" t="str">
        <x:f>IF('制度詳細'!$H$43="",IF('制度詳細'!$J$43="","",IF(AND('制度詳細'!$J$43&gt;=AZ$5,'制度詳細'!$J$43&lt;=EOMONTH(AZ$5,0)),"◆","")),IF(MAX('制度詳細'!$H$43,AZ$5)&lt;=MIN(IF('制度詳細'!$I$43="",EOMONTH(AZ$5,0),'制度詳細'!$I$43),EOMONTH(AZ$5,0)),"■",IF(AND('制度詳細'!$J$43&lt;&gt;"",'制度詳細'!$J$43&gt;=AZ$5,'制度詳細'!$J$43&lt;=EOMONTH(AZ$5,0)),"◆","")))</x:f>
      </x:c>
      <x:c r="BA43" s="57" t="str">
        <x:f>IF('制度詳細'!$H$43="",IF('制度詳細'!$J$43="","",IF(AND('制度詳細'!$J$43&gt;=BA$5,'制度詳細'!$J$43&lt;=EOMONTH(BA$5,0)),"◆","")),IF(MAX('制度詳細'!$H$43,BA$5)&lt;=MIN(IF('制度詳細'!$I$43="",EOMONTH(BA$5,0),'制度詳細'!$I$43),EOMONTH(BA$5,0)),"■",IF(AND('制度詳細'!$J$43&lt;&gt;"",'制度詳細'!$J$43&gt;=BA$5,'制度詳細'!$J$43&lt;=EOMONTH(BA$5,0)),"◆","")))</x:f>
      </x:c>
      <x:c r="BB43" s="57" t="str">
        <x:f>IF('制度詳細'!$H$43="",IF('制度詳細'!$J$43="","",IF(AND('制度詳細'!$J$43&gt;=BB$5,'制度詳細'!$J$43&lt;=EOMONTH(BB$5,0)),"◆","")),IF(MAX('制度詳細'!$H$43,BB$5)&lt;=MIN(IF('制度詳細'!$I$43="",EOMONTH(BB$5,0),'制度詳細'!$I$43),EOMONTH(BB$5,0)),"■",IF(AND('制度詳細'!$J$43&lt;&gt;"",'制度詳細'!$J$43&gt;=BB$5,'制度詳細'!$J$43&lt;=EOMONTH(BB$5,0)),"◆","")))</x:f>
      </x:c>
      <x:c r="BC43" s="57" t="str">
        <x:f>IF('制度詳細'!$H$43="",IF('制度詳細'!$J$43="","",IF(AND('制度詳細'!$J$43&gt;=BC$5,'制度詳細'!$J$43&lt;=EOMONTH(BC$5,0)),"◆","")),IF(MAX('制度詳細'!$H$43,BC$5)&lt;=MIN(IF('制度詳細'!$I$43="",EOMONTH(BC$5,0),'制度詳細'!$I$43),EOMONTH(BC$5,0)),"■",IF(AND('制度詳細'!$J$43&lt;&gt;"",'制度詳細'!$J$43&gt;=BC$5,'制度詳細'!$J$43&lt;=EOMONTH(BC$5,0)),"◆","")))</x:f>
      </x:c>
      <x:c r="BD43" s="57" t="str">
        <x:f>IF('制度詳細'!$H$43="",IF('制度詳細'!$J$43="","",IF(AND('制度詳細'!$J$43&gt;=BD$5,'制度詳細'!$J$43&lt;=EOMONTH(BD$5,0)),"◆","")),IF(MAX('制度詳細'!$H$43,BD$5)&lt;=MIN(IF('制度詳細'!$I$43="",EOMONTH(BD$5,0),'制度詳細'!$I$43),EOMONTH(BD$5,0)),"■",IF(AND('制度詳細'!$J$43&lt;&gt;"",'制度詳細'!$J$43&gt;=BD$5,'制度詳細'!$J$43&lt;=EOMONTH(BD$5,0)),"◆","")))</x:f>
      </x:c>
      <x:c r="BE43" s="57" t="str">
        <x:f>IF('制度詳細'!$H$43="",IF('制度詳細'!$J$43="","",IF(AND('制度詳細'!$J$43&gt;=BE$5,'制度詳細'!$J$43&lt;=EOMONTH(BE$5,0)),"◆","")),IF(MAX('制度詳細'!$H$43,BE$5)&lt;=MIN(IF('制度詳細'!$I$43="",EOMONTH(BE$5,0),'制度詳細'!$I$43),EOMONTH(BE$5,0)),"■",IF(AND('制度詳細'!$J$43&lt;&gt;"",'制度詳細'!$J$43&gt;=BE$5,'制度詳細'!$J$43&lt;=EOMONTH(BE$5,0)),"◆","")))</x:f>
      </x:c>
      <x:c r="BF43" s="57" t="str">
        <x:f>IF('制度詳細'!$H$43="",IF('制度詳細'!$J$43="","",IF(AND('制度詳細'!$J$43&gt;=BF$5,'制度詳細'!$J$43&lt;=EOMONTH(BF$5,0)),"◆","")),IF(MAX('制度詳細'!$H$43,BF$5)&lt;=MIN(IF('制度詳細'!$I$43="",EOMONTH(BF$5,0),'制度詳細'!$I$43),EOMONTH(BF$5,0)),"■",IF(AND('制度詳細'!$J$43&lt;&gt;"",'制度詳細'!$J$43&gt;=BF$5,'制度詳細'!$J$43&lt;=EOMONTH(BF$5,0)),"◆","")))</x:f>
      </x:c>
      <x:c r="BG43" s="57" t="str">
        <x:f>IF('制度詳細'!$H$43="",IF('制度詳細'!$J$43="","",IF(AND('制度詳細'!$J$43&gt;=BG$5,'制度詳細'!$J$43&lt;=EOMONTH(BG$5,0)),"◆","")),IF(MAX('制度詳細'!$H$43,BG$5)&lt;=MIN(IF('制度詳細'!$I$43="",EOMONTH(BG$5,0),'制度詳細'!$I$43),EOMONTH(BG$5,0)),"■",IF(AND('制度詳細'!$J$43&lt;&gt;"",'制度詳細'!$J$43&gt;=BG$5,'制度詳細'!$J$43&lt;=EOMONTH(BG$5,0)),"◆","")))</x:f>
      </x:c>
      <x:c r="BH43" s="57" t="str">
        <x:f>IF('制度詳細'!$H$43="",IF('制度詳細'!$J$43="","",IF(AND('制度詳細'!$J$43&gt;=BH$5,'制度詳細'!$J$43&lt;=EOMONTH(BH$5,0)),"◆","")),IF(MAX('制度詳細'!$H$43,BH$5)&lt;=MIN(IF('制度詳細'!$I$43="",EOMONTH(BH$5,0),'制度詳細'!$I$43),EOMONTH(BH$5,0)),"■",IF(AND('制度詳細'!$J$43&lt;&gt;"",'制度詳細'!$J$43&gt;=BH$5,'制度詳細'!$J$43&lt;=EOMONTH(BH$5,0)),"◆","")))</x:f>
      </x:c>
      <x:c r="BI43" s="57" t="str">
        <x:f>IF('制度詳細'!$H$43="",IF('制度詳細'!$J$43="","",IF(AND('制度詳細'!$J$43&gt;=BI$5,'制度詳細'!$J$43&lt;=EOMONTH(BI$5,0)),"◆","")),IF(MAX('制度詳細'!$H$43,BI$5)&lt;=MIN(IF('制度詳細'!$I$43="",EOMONTH(BI$5,0),'制度詳細'!$I$43),EOMONTH(BI$5,0)),"■",IF(AND('制度詳細'!$J$43&lt;&gt;"",'制度詳細'!$J$43&gt;=BI$5,'制度詳細'!$J$43&lt;=EOMONTH(BI$5,0)),"◆","")))</x:f>
      </x:c>
      <x:c r="BJ43" s="57" t="str">
        <x:f>IF('制度詳細'!$H$43="",IF('制度詳細'!$J$43="","",IF(AND('制度詳細'!$J$43&gt;=BJ$5,'制度詳細'!$J$43&lt;=EOMONTH(BJ$5,0)),"◆","")),IF(MAX('制度詳細'!$H$43,BJ$5)&lt;=MIN(IF('制度詳細'!$I$43="",EOMONTH(BJ$5,0),'制度詳細'!$I$43),EOMONTH(BJ$5,0)),"■",IF(AND('制度詳細'!$J$43&lt;&gt;"",'制度詳細'!$J$43&gt;=BJ$5,'制度詳細'!$J$43&lt;=EOMONTH(BJ$5,0)),"◆","")))</x:f>
      </x:c>
      <x:c r="BK43" s="57" t="str">
        <x:f>IF('制度詳細'!$H$43="",IF('制度詳細'!$J$43="","",IF(AND('制度詳細'!$J$43&gt;=BK$5,'制度詳細'!$J$43&lt;=EOMONTH(BK$5,0)),"◆","")),IF(MAX('制度詳細'!$H$43,BK$5)&lt;=MIN(IF('制度詳細'!$I$43="",EOMONTH(BK$5,0),'制度詳細'!$I$43),EOMONTH(BK$5,0)),"■",IF(AND('制度詳細'!$J$43&lt;&gt;"",'制度詳細'!$J$43&gt;=BK$5,'制度詳細'!$J$43&lt;=EOMONTH(BK$5,0)),"◆","")))</x:f>
      </x:c>
      <x:c r="BL43" s="57" t="str">
        <x:f>IF('制度詳細'!$H$43="",IF('制度詳細'!$J$43="","",IF(AND('制度詳細'!$J$43&gt;=BL$5,'制度詳細'!$J$43&lt;=EOMONTH(BL$5,0)),"◆","")),IF(MAX('制度詳細'!$H$43,BL$5)&lt;=MIN(IF('制度詳細'!$I$43="",EOMONTH(BL$5,0),'制度詳細'!$I$43),EOMONTH(BL$5,0)),"■",IF(AND('制度詳細'!$J$43&lt;&gt;"",'制度詳細'!$J$43&gt;=BL$5,'制度詳細'!$J$43&lt;=EOMONTH(BL$5,0)),"◆","")))</x:f>
      </x:c>
      <x:c r="BM43" s="57" t="str">
        <x:f>IF('制度詳細'!$H$43="",IF('制度詳細'!$J$43="","",IF(AND('制度詳細'!$J$43&gt;=BM$5,'制度詳細'!$J$43&lt;=EOMONTH(BM$5,0)),"◆","")),IF(MAX('制度詳細'!$H$43,BM$5)&lt;=MIN(IF('制度詳細'!$I$43="",EOMONTH(BM$5,0),'制度詳細'!$I$43),EOMONTH(BM$5,0)),"■",IF(AND('制度詳細'!$J$43&lt;&gt;"",'制度詳細'!$J$43&gt;=BM$5,'制度詳細'!$J$43&lt;=EOMONTH(BM$5,0)),"◆","")))</x:f>
        <x:v>◆</x:v>
      </x:c>
      <x:c r="BN43" s="57" t="str">
        <x:f>IF('制度詳細'!$H$43="",IF('制度詳細'!$J$43="","",IF(AND('制度詳細'!$J$43&gt;=BN$5,'制度詳細'!$J$43&lt;=EOMONTH(BN$5,0)),"◆","")),IF(MAX('制度詳細'!$H$43,BN$5)&lt;=MIN(IF('制度詳細'!$I$43="",EOMONTH(BN$5,0),'制度詳細'!$I$43),EOMONTH(BN$5,0)),"■",IF(AND('制度詳細'!$J$43&lt;&gt;"",'制度詳細'!$J$43&gt;=BN$5,'制度詳細'!$J$43&lt;=EOMONTH(BN$5,0)),"◆","")))</x:f>
      </x:c>
      <x:c r="BO43" s="57" t="str">
        <x:f>IF('制度詳細'!$H$43="",IF('制度詳細'!$J$43="","",IF(AND('制度詳細'!$J$43&gt;=BO$5,'制度詳細'!$J$43&lt;=EOMONTH(BO$5,0)),"◆","")),IF(MAX('制度詳細'!$H$43,BO$5)&lt;=MIN(IF('制度詳細'!$I$43="",EOMONTH(BO$5,0),'制度詳細'!$I$43),EOMONTH(BO$5,0)),"■",IF(AND('制度詳細'!$J$43&lt;&gt;"",'制度詳細'!$J$43&gt;=BO$5,'制度詳細'!$J$43&lt;=EOMONTH(BO$5,0)),"◆","")))</x:f>
      </x:c>
      <x:c r="BP43" s="57" t="str">
        <x:f>IF('制度詳細'!$H$43="",IF('制度詳細'!$J$43="","",IF(AND('制度詳細'!$J$43&gt;=BP$5,'制度詳細'!$J$43&lt;=EOMONTH(BP$5,0)),"◆","")),IF(MAX('制度詳細'!$H$43,BP$5)&lt;=MIN(IF('制度詳細'!$I$43="",EOMONTH(BP$5,0),'制度詳細'!$I$43),EOMONTH(BP$5,0)),"■",IF(AND('制度詳細'!$J$43&lt;&gt;"",'制度詳細'!$J$43&gt;=BP$5,'制度詳細'!$J$43&lt;=EOMONTH(BP$5,0)),"◆","")))</x:f>
      </x:c>
      <x:c r="BQ43" s="57" t="str">
        <x:f>IF('制度詳細'!$H$43="",IF('制度詳細'!$J$43="","",IF(AND('制度詳細'!$J$43&gt;=BQ$5,'制度詳細'!$J$43&lt;=EOMONTH(BQ$5,0)),"◆","")),IF(MAX('制度詳細'!$H$43,BQ$5)&lt;=MIN(IF('制度詳細'!$I$43="",EOMONTH(BQ$5,0),'制度詳細'!$I$43),EOMONTH(BQ$5,0)),"■",IF(AND('制度詳細'!$J$43&lt;&gt;"",'制度詳細'!$J$43&gt;=BQ$5,'制度詳細'!$J$43&lt;=EOMONTH(BQ$5,0)),"◆","")))</x:f>
      </x:c>
      <x:c r="BR43" s="57" t="str">
        <x:f>IF('制度詳細'!$H$43="",IF('制度詳細'!$J$43="","",IF(AND('制度詳細'!$J$43&gt;=BR$5,'制度詳細'!$J$43&lt;=EOMONTH(BR$5,0)),"◆","")),IF(MAX('制度詳細'!$H$43,BR$5)&lt;=MIN(IF('制度詳細'!$I$43="",EOMONTH(BR$5,0),'制度詳細'!$I$43),EOMONTH(BR$5,0)),"■",IF(AND('制度詳細'!$J$43&lt;&gt;"",'制度詳細'!$J$43&gt;=BR$5,'制度詳細'!$J$43&lt;=EOMONTH(BR$5,0)),"◆","")))</x:f>
      </x:c>
      <x:c r="BS43" s="57" t="str">
        <x:f>IF('制度詳細'!$H$43="",IF('制度詳細'!$J$43="","",IF(AND('制度詳細'!$J$43&gt;=BS$5,'制度詳細'!$J$43&lt;=EOMONTH(BS$5,0)),"◆","")),IF(MAX('制度詳細'!$H$43,BS$5)&lt;=MIN(IF('制度詳細'!$I$43="",EOMONTH(BS$5,0),'制度詳細'!$I$43),EOMONTH(BS$5,0)),"■",IF(AND('制度詳細'!$J$43&lt;&gt;"",'制度詳細'!$J$43&gt;=BS$5,'制度詳細'!$J$43&lt;=EOMONTH(BS$5,0)),"◆","")))</x:f>
      </x:c>
      <x:c r="BT43" s="57" t="str">
        <x:f>IF('制度詳細'!$H$43="",IF('制度詳細'!$J$43="","",IF(AND('制度詳細'!$J$43&gt;=BT$5,'制度詳細'!$J$43&lt;=EOMONTH(BT$5,0)),"◆","")),IF(MAX('制度詳細'!$H$43,BT$5)&lt;=MIN(IF('制度詳細'!$I$43="",EOMONTH(BT$5,0),'制度詳細'!$I$43),EOMONTH(BT$5,0)),"■",IF(AND('制度詳細'!$J$43&lt;&gt;"",'制度詳細'!$J$43&gt;=BT$5,'制度詳細'!$J$43&lt;=EOMONTH(BT$5,0)),"◆","")))</x:f>
      </x:c>
      <x:c r="BU43" s="57" t="str">
        <x:f>IF('制度詳細'!$H$43="",IF('制度詳細'!$J$43="","",IF(AND('制度詳細'!$J$43&gt;=BU$5,'制度詳細'!$J$43&lt;=EOMONTH(BU$5,0)),"◆","")),IF(MAX('制度詳細'!$H$43,BU$5)&lt;=MIN(IF('制度詳細'!$I$43="",EOMONTH(BU$5,0),'制度詳細'!$I$43),EOMONTH(BU$5,0)),"■",IF(AND('制度詳細'!$J$43&lt;&gt;"",'制度詳細'!$J$43&gt;=BU$5,'制度詳細'!$J$43&lt;=EOMONTH(BU$5,0)),"◆","")))</x:f>
      </x:c>
      <x:c r="BV43" s="57" t="str">
        <x:f>IF('制度詳細'!$H$43="",IF('制度詳細'!$J$43="","",IF(AND('制度詳細'!$J$43&gt;=BV$5,'制度詳細'!$J$43&lt;=EOMONTH(BV$5,0)),"◆","")),IF(MAX('制度詳細'!$H$43,BV$5)&lt;=MIN(IF('制度詳細'!$I$43="",EOMONTH(BV$5,0),'制度詳細'!$I$43),EOMONTH(BV$5,0)),"■",IF(AND('制度詳細'!$J$43&lt;&gt;"",'制度詳細'!$J$43&gt;=BV$5,'制度詳細'!$J$43&lt;=EOMONTH(BV$5,0)),"◆","")))</x:f>
      </x:c>
      <x:c r="BW43" s="57" t="str">
        <x:f>IF('制度詳細'!$H$43="",IF('制度詳細'!$J$43="","",IF(AND('制度詳細'!$J$43&gt;=BW$5,'制度詳細'!$J$43&lt;=EOMONTH(BW$5,0)),"◆","")),IF(MAX('制度詳細'!$H$43,BW$5)&lt;=MIN(IF('制度詳細'!$I$43="",EOMONTH(BW$5,0),'制度詳細'!$I$43),EOMONTH(BW$5,0)),"■",IF(AND('制度詳細'!$J$43&lt;&gt;"",'制度詳細'!$J$43&gt;=BW$5,'制度詳細'!$J$43&lt;=EOMONTH(BW$5,0)),"◆","")))</x:f>
      </x:c>
      <x:c r="BX43" s="57" t="str">
        <x:f>IF('制度詳細'!$H$43="",IF('制度詳細'!$J$43="","",IF(AND('制度詳細'!$J$43&gt;=BX$5,'制度詳細'!$J$43&lt;=EOMONTH(BX$5,0)),"◆","")),IF(MAX('制度詳細'!$H$43,BX$5)&lt;=MIN(IF('制度詳細'!$I$43="",EOMONTH(BX$5,0),'制度詳細'!$I$43),EOMONTH(BX$5,0)),"■",IF(AND('制度詳細'!$J$43&lt;&gt;"",'制度詳細'!$J$43&gt;=BX$5,'制度詳細'!$J$43&lt;=EOMONTH(BX$5,0)),"◆","")))</x:f>
      </x:c>
      <x:c r="BY43" s="57" t="str">
        <x:f>IF('制度詳細'!$H$43="",IF('制度詳細'!$J$43="","",IF(AND('制度詳細'!$J$43&gt;=BY$5,'制度詳細'!$J$43&lt;=EOMONTH(BY$5,0)),"◆","")),IF(MAX('制度詳細'!$H$43,BY$5)&lt;=MIN(IF('制度詳細'!$I$43="",EOMONTH(BY$5,0),'制度詳細'!$I$43),EOMONTH(BY$5,0)),"■",IF(AND('制度詳細'!$J$43&lt;&gt;"",'制度詳細'!$J$43&gt;=BY$5,'制度詳細'!$J$43&lt;=EOMONTH(BY$5,0)),"◆","")))</x:f>
      </x:c>
      <x:c r="BZ43" s="57" t="str">
        <x:f>IF('制度詳細'!$H$43="",IF('制度詳細'!$J$43="","",IF(AND('制度詳細'!$J$43&gt;=BZ$5,'制度詳細'!$J$43&lt;=EOMONTH(BZ$5,0)),"◆","")),IF(MAX('制度詳細'!$H$43,BZ$5)&lt;=MIN(IF('制度詳細'!$I$43="",EOMONTH(BZ$5,0),'制度詳細'!$I$43),EOMONTH(BZ$5,0)),"■",IF(AND('制度詳細'!$J$43&lt;&gt;"",'制度詳細'!$J$43&gt;=BZ$5,'制度詳細'!$J$43&lt;=EOMONTH(BZ$5,0)),"◆","")))</x:f>
      </x:c>
      <x:c r="CA43" s="57" t="str">
        <x:f>IF('制度詳細'!$H$43="",IF('制度詳細'!$J$43="","",IF(AND('制度詳細'!$J$43&gt;=CA$5,'制度詳細'!$J$43&lt;=EOMONTH(CA$5,0)),"◆","")),IF(MAX('制度詳細'!$H$43,CA$5)&lt;=MIN(IF('制度詳細'!$I$43="",EOMONTH(CA$5,0),'制度詳細'!$I$43),EOMONTH(CA$5,0)),"■",IF(AND('制度詳細'!$J$43&lt;&gt;"",'制度詳細'!$J$43&gt;=CA$5,'制度詳細'!$J$43&lt;=EOMONTH(CA$5,0)),"◆","")))</x:f>
      </x:c>
      <x:c r="CB43" s="57" t="str">
        <x:f>IF('制度詳細'!$H$43="",IF('制度詳細'!$J$43="","",IF(AND('制度詳細'!$J$43&gt;=CB$5,'制度詳細'!$J$43&lt;=EOMONTH(CB$5,0)),"◆","")),IF(MAX('制度詳細'!$H$43,CB$5)&lt;=MIN(IF('制度詳細'!$I$43="",EOMONTH(CB$5,0),'制度詳細'!$I$43),EOMONTH(CB$5,0)),"■",IF(AND('制度詳細'!$J$43&lt;&gt;"",'制度詳細'!$J$43&gt;=CB$5,'制度詳細'!$J$43&lt;=EOMONTH(CB$5,0)),"◆","")))</x:f>
      </x:c>
      <x:c r="CC43" s="57" t="str">
        <x:f>IF('制度詳細'!$H$43="",IF('制度詳細'!$J$43="","",IF(AND('制度詳細'!$J$43&gt;=CC$5,'制度詳細'!$J$43&lt;=EOMONTH(CC$5,0)),"◆","")),IF(MAX('制度詳細'!$H$43,CC$5)&lt;=MIN(IF('制度詳細'!$I$43="",EOMONTH(CC$5,0),'制度詳細'!$I$43),EOMONTH(CC$5,0)),"■",IF(AND('制度詳細'!$J$43&lt;&gt;"",'制度詳細'!$J$43&gt;=CC$5,'制度詳細'!$J$43&lt;=EOMONTH(CC$5,0)),"◆","")))</x:f>
      </x:c>
      <x:c r="CD43" s="57" t="str">
        <x:f>IF('制度詳細'!$H$43="",IF('制度詳細'!$J$43="","",IF(AND('制度詳細'!$J$43&gt;=CD$5,'制度詳細'!$J$43&lt;=EOMONTH(CD$5,0)),"◆","")),IF(MAX('制度詳細'!$H$43,CD$5)&lt;=MIN(IF('制度詳細'!$I$43="",EOMONTH(CD$5,0),'制度詳細'!$I$43),EOMONTH(CD$5,0)),"■",IF(AND('制度詳細'!$J$43&lt;&gt;"",'制度詳細'!$J$43&gt;=CD$5,'制度詳細'!$J$43&lt;=EOMONTH(CD$5,0)),"◆","")))</x:f>
      </x:c>
      <x:c r="CE43" s="57" t="str">
        <x:f>IF('制度詳細'!$H$43="",IF('制度詳細'!$J$43="","",IF(AND('制度詳細'!$J$43&gt;=CE$5,'制度詳細'!$J$43&lt;=EOMONTH(CE$5,0)),"◆","")),IF(MAX('制度詳細'!$H$43,CE$5)&lt;=MIN(IF('制度詳細'!$I$43="",EOMONTH(CE$5,0),'制度詳細'!$I$43),EOMONTH(CE$5,0)),"■",IF(AND('制度詳細'!$J$43&lt;&gt;"",'制度詳細'!$J$43&gt;=CE$5,'制度詳細'!$J$43&lt;=EOMONTH(CE$5,0)),"◆","")))</x:f>
      </x:c>
      <x:c r="CF43" s="57" t="str">
        <x:f>IF('制度詳細'!$H$43="",IF('制度詳細'!$J$43="","",IF(AND('制度詳細'!$J$43&gt;=CF$5,'制度詳細'!$J$43&lt;=EOMONTH(CF$5,0)),"◆","")),IF(MAX('制度詳細'!$H$43,CF$5)&lt;=MIN(IF('制度詳細'!$I$43="",EOMONTH(CF$5,0),'制度詳細'!$I$43),EOMONTH(CF$5,0)),"■",IF(AND('制度詳細'!$J$43&lt;&gt;"",'制度詳細'!$J$43&gt;=CF$5,'制度詳細'!$J$43&lt;=EOMONTH(CF$5,0)),"◆","")))</x:f>
      </x:c>
      <x:c r="CG43" s="57" t="str">
        <x:f>IF('制度詳細'!$H$43="",IF('制度詳細'!$J$43="","",IF(AND('制度詳細'!$J$43&gt;=CG$5,'制度詳細'!$J$43&lt;=EOMONTH(CG$5,0)),"◆","")),IF(MAX('制度詳細'!$H$43,CG$5)&lt;=MIN(IF('制度詳細'!$I$43="",EOMONTH(CG$5,0),'制度詳細'!$I$43),EOMONTH(CG$5,0)),"■",IF(AND('制度詳細'!$J$43&lt;&gt;"",'制度詳細'!$J$43&gt;=CG$5,'制度詳細'!$J$43&lt;=EOMONTH(CG$5,0)),"◆","")))</x:f>
      </x:c>
      <x:c r="CH43" s="57" t="str">
        <x:f>IF('制度詳細'!$H$43="",IF('制度詳細'!$J$43="","",IF(AND('制度詳細'!$J$43&gt;=CH$5,'制度詳細'!$J$43&lt;=EOMONTH(CH$5,0)),"◆","")),IF(MAX('制度詳細'!$H$43,CH$5)&lt;=MIN(IF('制度詳細'!$I$43="",EOMONTH(CH$5,0),'制度詳細'!$I$43),EOMONTH(CH$5,0)),"■",IF(AND('制度詳細'!$J$43&lt;&gt;"",'制度詳細'!$J$43&gt;=CH$5,'制度詳細'!$J$43&lt;=EOMONTH(CH$5,0)),"◆","")))</x:f>
      </x:c>
      <x:c r="CI43" s="57" t="str">
        <x:f>IF('制度詳細'!$H$43="",IF('制度詳細'!$J$43="","",IF(AND('制度詳細'!$J$43&gt;=CI$5,'制度詳細'!$J$43&lt;=EOMONTH(CI$5,0)),"◆","")),IF(MAX('制度詳細'!$H$43,CI$5)&lt;=MIN(IF('制度詳細'!$I$43="",EOMONTH(CI$5,0),'制度詳細'!$I$43),EOMONTH(CI$5,0)),"■",IF(AND('制度詳細'!$J$43&lt;&gt;"",'制度詳細'!$J$43&gt;=CI$5,'制度詳細'!$J$43&lt;=EOMONTH(CI$5,0)),"◆","")))</x:f>
      </x:c>
      <x:c r="CJ43" s="57" t="str">
        <x:f>IF('制度詳細'!$H$43="",IF('制度詳細'!$J$43="","",IF(AND('制度詳細'!$J$43&gt;=CJ$5,'制度詳細'!$J$43&lt;=EOMONTH(CJ$5,0)),"◆","")),IF(MAX('制度詳細'!$H$43,CJ$5)&lt;=MIN(IF('制度詳細'!$I$43="",EOMONTH(CJ$5,0),'制度詳細'!$I$43),EOMONTH(CJ$5,0)),"■",IF(AND('制度詳細'!$J$43&lt;&gt;"",'制度詳細'!$J$43&gt;=CJ$5,'制度詳細'!$J$43&lt;=EOMONTH(CJ$5,0)),"◆","")))</x:f>
      </x:c>
      <x:c r="CK43" s="57" t="str">
        <x:f>IF('制度詳細'!$H$43="",IF('制度詳細'!$J$43="","",IF(AND('制度詳細'!$J$43&gt;=CK$5,'制度詳細'!$J$43&lt;=EOMONTH(CK$5,0)),"◆","")),IF(MAX('制度詳細'!$H$43,CK$5)&lt;=MIN(IF('制度詳細'!$I$43="",EOMONTH(CK$5,0),'制度詳細'!$I$43),EOMONTH(CK$5,0)),"■",IF(AND('制度詳細'!$J$43&lt;&gt;"",'制度詳細'!$J$43&gt;=CK$5,'制度詳細'!$J$43&lt;=EOMONTH(CK$5,0)),"◆","")))</x:f>
      </x:c>
      <x:c r="CL43" s="57" t="str">
        <x:f>IF('制度詳細'!$H$43="",IF('制度詳細'!$J$43="","",IF(AND('制度詳細'!$J$43&gt;=CL$5,'制度詳細'!$J$43&lt;=EOMONTH(CL$5,0)),"◆","")),IF(MAX('制度詳細'!$H$43,CL$5)&lt;=MIN(IF('制度詳細'!$I$43="",EOMONTH(CL$5,0),'制度詳細'!$I$43),EOMONTH(CL$5,0)),"■",IF(AND('制度詳細'!$J$43&lt;&gt;"",'制度詳細'!$J$43&gt;=CL$5,'制度詳細'!$J$43&lt;=EOMONTH(CL$5,0)),"◆","")))</x:f>
      </x:c>
      <x:c r="CM43" s="57" t="str">
        <x:f>IF('制度詳細'!$H$43="",IF('制度詳細'!$J$43="","",IF(AND('制度詳細'!$J$43&gt;=CM$5,'制度詳細'!$J$43&lt;=EOMONTH(CM$5,0)),"◆","")),IF(MAX('制度詳細'!$H$43,CM$5)&lt;=MIN(IF('制度詳細'!$I$43="",EOMONTH(CM$5,0),'制度詳細'!$I$43),EOMONTH(CM$5,0)),"■",IF(AND('制度詳細'!$J$43&lt;&gt;"",'制度詳細'!$J$43&gt;=CM$5,'制度詳細'!$J$43&lt;=EOMONTH(CM$5,0)),"◆","")))</x:f>
      </x:c>
      <x:c r="CN43" s="57" t="str">
        <x:f>IF('制度詳細'!$H$43="",IF('制度詳細'!$J$43="","",IF(AND('制度詳細'!$J$43&gt;=CN$5,'制度詳細'!$J$43&lt;=EOMONTH(CN$5,0)),"◆","")),IF(MAX('制度詳細'!$H$43,CN$5)&lt;=MIN(IF('制度詳細'!$I$43="",EOMONTH(CN$5,0),'制度詳細'!$I$43),EOMONTH(CN$5,0)),"■",IF(AND('制度詳細'!$J$43&lt;&gt;"",'制度詳細'!$J$43&gt;=CN$5,'制度詳細'!$J$43&lt;=EOMONTH(CN$5,0)),"◆","")))</x:f>
      </x:c>
      <x:c r="CO43" s="57" t="str">
        <x:f>IF('制度詳細'!$H$43="",IF('制度詳細'!$J$43="","",IF(AND('制度詳細'!$J$43&gt;=CO$5,'制度詳細'!$J$43&lt;=EOMONTH(CO$5,0)),"◆","")),IF(MAX('制度詳細'!$H$43,CO$5)&lt;=MIN(IF('制度詳細'!$I$43="",EOMONTH(CO$5,0),'制度詳細'!$I$43),EOMONTH(CO$5,0)),"■",IF(AND('制度詳細'!$J$43&lt;&gt;"",'制度詳細'!$J$43&gt;=CO$5,'制度詳細'!$J$43&lt;=EOMONTH(CO$5,0)),"◆","")))</x:f>
      </x:c>
      <x:c r="CP43" s="57" t="str">
        <x:f>IF('制度詳細'!$H$43="",IF('制度詳細'!$J$43="","",IF(AND('制度詳細'!$J$43&gt;=CP$5,'制度詳細'!$J$43&lt;=EOMONTH(CP$5,0)),"◆","")),IF(MAX('制度詳細'!$H$43,CP$5)&lt;=MIN(IF('制度詳細'!$I$43="",EOMONTH(CP$5,0),'制度詳細'!$I$43),EOMONTH(CP$5,0)),"■",IF(AND('制度詳細'!$J$43&lt;&gt;"",'制度詳細'!$J$43&gt;=CP$5,'制度詳細'!$J$43&lt;=EOMONTH(CP$5,0)),"◆","")))</x:f>
      </x:c>
      <x:c r="CQ43" s="57" t="str">
        <x:f>IF('制度詳細'!$H$43="",IF('制度詳細'!$J$43="","",IF(AND('制度詳細'!$J$43&gt;=CQ$5,'制度詳細'!$J$43&lt;=EOMONTH(CQ$5,0)),"◆","")),IF(MAX('制度詳細'!$H$43,CQ$5)&lt;=MIN(IF('制度詳細'!$I$43="",EOMONTH(CQ$5,0),'制度詳細'!$I$43),EOMONTH(CQ$5,0)),"■",IF(AND('制度詳細'!$J$43&lt;&gt;"",'制度詳細'!$J$43&gt;=CQ$5,'制度詳細'!$J$43&lt;=EOMONTH(CQ$5,0)),"◆","")))</x:f>
      </x:c>
      <x:c r="CR43" s="57" t="str">
        <x:f>IF('制度詳細'!$H$43="",IF('制度詳細'!$J$43="","",IF(AND('制度詳細'!$J$43&gt;=CR$5,'制度詳細'!$J$43&lt;=EOMONTH(CR$5,0)),"◆","")),IF(MAX('制度詳細'!$H$43,CR$5)&lt;=MIN(IF('制度詳細'!$I$43="",EOMONTH(CR$5,0),'制度詳細'!$I$43),EOMONTH(CR$5,0)),"■",IF(AND('制度詳細'!$J$43&lt;&gt;"",'制度詳細'!$J$43&gt;=CR$5,'制度詳細'!$J$43&lt;=EOMONTH(CR$5,0)),"◆","")))</x:f>
      </x:c>
      <x:c r="CS43" s="57" t="str">
        <x:f>IF('制度詳細'!$H$43="",IF('制度詳細'!$J$43="","",IF(AND('制度詳細'!$J$43&gt;=CS$5,'制度詳細'!$J$43&lt;=EOMONTH(CS$5,0)),"◆","")),IF(MAX('制度詳細'!$H$43,CS$5)&lt;=MIN(IF('制度詳細'!$I$43="",EOMONTH(CS$5,0),'制度詳細'!$I$43),EOMONTH(CS$5,0)),"■",IF(AND('制度詳細'!$J$43&lt;&gt;"",'制度詳細'!$J$43&gt;=CS$5,'制度詳細'!$J$43&lt;=EOMONTH(CS$5,0)),"◆","")))</x:f>
      </x:c>
      <x:c r="CT43" s="57" t="str">
        <x:f>IF('制度詳細'!$H$43="",IF('制度詳細'!$J$43="","",IF(AND('制度詳細'!$J$43&gt;=CT$5,'制度詳細'!$J$43&lt;=EOMONTH(CT$5,0)),"◆","")),IF(MAX('制度詳細'!$H$43,CT$5)&lt;=MIN(IF('制度詳細'!$I$43="",EOMONTH(CT$5,0),'制度詳細'!$I$43),EOMONTH(CT$5,0)),"■",IF(AND('制度詳細'!$J$43&lt;&gt;"",'制度詳細'!$J$43&gt;=CT$5,'制度詳細'!$J$43&lt;=EOMONTH(CT$5,0)),"◆","")))</x:f>
      </x:c>
      <x:c r="CU43" s="57" t="str">
        <x:f>IF('制度詳細'!$H$43="",IF('制度詳細'!$J$43="","",IF(AND('制度詳細'!$J$43&gt;=CU$5,'制度詳細'!$J$43&lt;=EOMONTH(CU$5,0)),"◆","")),IF(MAX('制度詳細'!$H$43,CU$5)&lt;=MIN(IF('制度詳細'!$I$43="",EOMONTH(CU$5,0),'制度詳細'!$I$43),EOMONTH(CU$5,0)),"■",IF(AND('制度詳細'!$J$43&lt;&gt;"",'制度詳細'!$J$43&gt;=CU$5,'制度詳細'!$J$43&lt;=EOMONTH(CU$5,0)),"◆","")))</x:f>
      </x:c>
      <x:c r="CV43" s="57" t="str">
        <x:f>IF('制度詳細'!$H$43="",IF('制度詳細'!$J$43="","",IF(AND('制度詳細'!$J$43&gt;=CV$5,'制度詳細'!$J$43&lt;=EOMONTH(CV$5,0)),"◆","")),IF(MAX('制度詳細'!$H$43,CV$5)&lt;=MIN(IF('制度詳細'!$I$43="",EOMONTH(CV$5,0),'制度詳細'!$I$43),EOMONTH(CV$5,0)),"■",IF(AND('制度詳細'!$J$43&lt;&gt;"",'制度詳細'!$J$43&gt;=CV$5,'制度詳細'!$J$43&lt;=EOMONTH(CV$5,0)),"◆","")))</x:f>
      </x:c>
      <x:c r="CW43" s="1"/>
      <x:c r="CX43" s="1"/>
      <x:c r="CY43" s="1"/>
      <x:c r="CZ43" s="1"/>
      <x:c r="DA43" s="1"/>
      <x:c r="DB43" s="1"/>
      <x:c r="DC43" s="1"/>
      <x:c r="DD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  <x:c r="CW210" s="1"/>
      <x:c r="CX210" s="1"/>
      <x:c r="CY210" s="1"/>
      <x:c r="CZ210" s="1"/>
      <x:c r="DA210" s="1"/>
      <x:c r="DB210" s="1"/>
      <x:c r="DC210" s="1"/>
      <x:c r="DD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/>
      <x:c r="CZ214" s="1"/>
      <x:c r="DA214" s="1"/>
      <x:c r="DB214" s="1"/>
      <x:c r="DC214" s="1"/>
      <x:c r="DD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/>
      <x:c r="CY228" s="1"/>
      <x:c r="CZ228" s="1"/>
      <x:c r="DA228" s="1"/>
      <x:c r="DB228" s="1"/>
      <x:c r="DC228" s="1"/>
      <x:c r="DD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  <x:c r="CW232" s="1"/>
      <x:c r="CX232" s="1"/>
      <x:c r="CY232" s="1"/>
      <x:c r="CZ232" s="1"/>
      <x:c r="DA232" s="1"/>
      <x:c r="DB232" s="1"/>
      <x:c r="DC232" s="1"/>
      <x:c r="DD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  <x:c r="CW237" s="1"/>
      <x:c r="CX237" s="1"/>
      <x:c r="CY237" s="1"/>
      <x:c r="CZ237" s="1"/>
      <x:c r="DA237" s="1"/>
      <x:c r="DB237" s="1"/>
      <x:c r="DC237" s="1"/>
      <x:c r="DD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  <x:c r="CW245" s="1"/>
      <x:c r="CX245" s="1"/>
      <x:c r="CY245" s="1"/>
      <x:c r="CZ245" s="1"/>
      <x:c r="DA245" s="1"/>
      <x:c r="DB245" s="1"/>
      <x:c r="DC245" s="1"/>
      <x:c r="DD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/>
      <x:c r="CZ247" s="1"/>
      <x:c r="DA247" s="1"/>
      <x:c r="DB247" s="1"/>
      <x:c r="DC247" s="1"/>
      <x:c r="DD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/>
      <x:c r="CY249" s="1"/>
      <x:c r="CZ249" s="1"/>
      <x:c r="DA249" s="1"/>
      <x:c r="DB249" s="1"/>
      <x:c r="DC249" s="1"/>
      <x:c r="DD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/>
      <x:c r="CY250" s="1"/>
      <x:c r="CZ250" s="1"/>
      <x:c r="DA250" s="1"/>
      <x:c r="DB250" s="1"/>
      <x:c r="DC250" s="1"/>
      <x:c r="DD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/>
      <x:c r="CY252" s="1"/>
      <x:c r="CZ252" s="1"/>
      <x:c r="DA252" s="1"/>
      <x:c r="DB252" s="1"/>
      <x:c r="DC252" s="1"/>
      <x:c r="DD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/>
      <x:c r="CZ260" s="1"/>
      <x:c r="DA260" s="1"/>
      <x:c r="DB260" s="1"/>
      <x:c r="DC260" s="1"/>
      <x:c r="DD260" s="1"/>
    </x:row>
  </x:sheetData>
  <x:mergeCells>
    <x:mergeCell ref="A1:CT1"/>
    <x:mergeCell ref="A2:CT2"/>
    <x:mergeCell ref="A3:CT3"/>
    <x:mergeCell ref="E4:P4"/>
    <x:mergeCell ref="Q4:AB4"/>
    <x:mergeCell ref="AC4:AN4"/>
    <x:mergeCell ref="AO4:AZ4"/>
    <x:mergeCell ref="BA4:BL4"/>
    <x:mergeCell ref="BM4:BX4"/>
    <x:mergeCell ref="BY4:CJ4"/>
    <x:mergeCell ref="CK4:CV4"/>
  </x:mergeCells>
  <x:conditionalFormatting sqref="E6:CV6">
    <x:cfRule type="expression" dxfId="115" priority="1">
      <x:formula>AND(E6="■",E$5&lt;=DATE(2026,10,1))</x:formula>
    </x:cfRule>
    <x:cfRule type="expression" dxfId="116" priority="2">
      <x:formula>AND(E6="■",E$5&gt;DATE(2026,10,1))</x:formula>
    </x:cfRule>
    <x:cfRule type="expression" dxfId="117" priority="3">
      <x:formula>E6="◆"</x:formula>
    </x:cfRule>
  </x:conditionalFormatting>
  <x:conditionalFormatting sqref="E7:CV7">
    <x:cfRule type="expression" dxfId="118" priority="4">
      <x:formula>AND(E7="■",E$5&lt;=DATE(2026,10,1))</x:formula>
    </x:cfRule>
    <x:cfRule type="expression" dxfId="119" priority="5">
      <x:formula>AND(E7="■",E$5&gt;DATE(2026,10,1))</x:formula>
    </x:cfRule>
    <x:cfRule type="expression" dxfId="120" priority="6">
      <x:formula>E7="◆"</x:formula>
    </x:cfRule>
  </x:conditionalFormatting>
  <x:conditionalFormatting sqref="E8:CV8">
    <x:cfRule type="expression" dxfId="121" priority="7">
      <x:formula>AND(E8="■",E$5&lt;=DATE(2026,10,1))</x:formula>
    </x:cfRule>
    <x:cfRule type="expression" dxfId="122" priority="8">
      <x:formula>AND(E8="■",E$5&gt;DATE(2026,10,1))</x:formula>
    </x:cfRule>
    <x:cfRule type="expression" dxfId="123" priority="9">
      <x:formula>E8="◆"</x:formula>
    </x:cfRule>
  </x:conditionalFormatting>
  <x:conditionalFormatting sqref="E9:CV9">
    <x:cfRule type="expression" dxfId="124" priority="10">
      <x:formula>AND(E9="■",E$5&lt;=DATE(2026,10,1))</x:formula>
    </x:cfRule>
    <x:cfRule type="expression" dxfId="125" priority="11">
      <x:formula>AND(E9="■",E$5&gt;DATE(2026,10,1))</x:formula>
    </x:cfRule>
    <x:cfRule type="expression" dxfId="126" priority="12">
      <x:formula>E9="◆"</x:formula>
    </x:cfRule>
  </x:conditionalFormatting>
  <x:conditionalFormatting sqref="E10:CV10">
    <x:cfRule type="expression" dxfId="127" priority="13">
      <x:formula>AND(E10="■",E$5&lt;=DATE(2026,10,1))</x:formula>
    </x:cfRule>
    <x:cfRule type="expression" dxfId="128" priority="14">
      <x:formula>AND(E10="■",E$5&gt;DATE(2026,10,1))</x:formula>
    </x:cfRule>
    <x:cfRule type="expression" dxfId="129" priority="15">
      <x:formula>E10="◆"</x:formula>
    </x:cfRule>
  </x:conditionalFormatting>
  <x:conditionalFormatting sqref="E11:CV11">
    <x:cfRule type="expression" dxfId="130" priority="16">
      <x:formula>AND(E11="■",E$5&lt;=DATE(2026,10,1))</x:formula>
    </x:cfRule>
    <x:cfRule type="expression" dxfId="131" priority="17">
      <x:formula>AND(E11="■",E$5&gt;DATE(2026,10,1))</x:formula>
    </x:cfRule>
    <x:cfRule type="expression" dxfId="132" priority="18">
      <x:formula>E11="◆"</x:formula>
    </x:cfRule>
  </x:conditionalFormatting>
  <x:conditionalFormatting sqref="E12:CV12">
    <x:cfRule type="expression" dxfId="133" priority="19">
      <x:formula>AND(E12="■",E$5&lt;=DATE(2026,10,1))</x:formula>
    </x:cfRule>
    <x:cfRule type="expression" dxfId="134" priority="20">
      <x:formula>AND(E12="■",E$5&gt;DATE(2026,10,1))</x:formula>
    </x:cfRule>
    <x:cfRule type="expression" dxfId="135" priority="21">
      <x:formula>E12="◆"</x:formula>
    </x:cfRule>
  </x:conditionalFormatting>
  <x:conditionalFormatting sqref="E13:CV13">
    <x:cfRule type="expression" dxfId="136" priority="22">
      <x:formula>AND(E13="■",E$5&lt;=DATE(2026,10,1))</x:formula>
    </x:cfRule>
    <x:cfRule type="expression" dxfId="137" priority="23">
      <x:formula>AND(E13="■",E$5&gt;DATE(2026,10,1))</x:formula>
    </x:cfRule>
    <x:cfRule type="expression" dxfId="138" priority="24">
      <x:formula>E13="◆"</x:formula>
    </x:cfRule>
  </x:conditionalFormatting>
  <x:conditionalFormatting sqref="E14:CV14">
    <x:cfRule type="expression" dxfId="139" priority="25">
      <x:formula>AND(E14="■",E$5&lt;=DATE(2026,10,1))</x:formula>
    </x:cfRule>
    <x:cfRule type="expression" dxfId="140" priority="26">
      <x:formula>AND(E14="■",E$5&gt;DATE(2026,10,1))</x:formula>
    </x:cfRule>
    <x:cfRule type="expression" dxfId="141" priority="27">
      <x:formula>E14="◆"</x:formula>
    </x:cfRule>
  </x:conditionalFormatting>
  <x:conditionalFormatting sqref="E15:CV15">
    <x:cfRule type="expression" dxfId="142" priority="28">
      <x:formula>AND(E15="■",E$5&lt;=DATE(2026,10,1))</x:formula>
    </x:cfRule>
    <x:cfRule type="expression" dxfId="143" priority="29">
      <x:formula>AND(E15="■",E$5&gt;DATE(2026,10,1))</x:formula>
    </x:cfRule>
    <x:cfRule type="expression" dxfId="144" priority="30">
      <x:formula>E15="◆"</x:formula>
    </x:cfRule>
  </x:conditionalFormatting>
  <x:conditionalFormatting sqref="E16:CV16">
    <x:cfRule type="expression" dxfId="145" priority="31">
      <x:formula>AND(E16="■",E$5&lt;=DATE(2026,10,1))</x:formula>
    </x:cfRule>
    <x:cfRule type="expression" dxfId="146" priority="32">
      <x:formula>AND(E16="■",E$5&gt;DATE(2026,10,1))</x:formula>
    </x:cfRule>
    <x:cfRule type="expression" dxfId="147" priority="33">
      <x:formula>E16="◆"</x:formula>
    </x:cfRule>
  </x:conditionalFormatting>
  <x:conditionalFormatting sqref="E17:CV17">
    <x:cfRule type="expression" dxfId="148" priority="34">
      <x:formula>AND(E17="■",E$5&lt;=DATE(2026,10,1))</x:formula>
    </x:cfRule>
    <x:cfRule type="expression" dxfId="149" priority="35">
      <x:formula>AND(E17="■",E$5&gt;DATE(2026,10,1))</x:formula>
    </x:cfRule>
    <x:cfRule type="expression" dxfId="150" priority="36">
      <x:formula>E17="◆"</x:formula>
    </x:cfRule>
  </x:conditionalFormatting>
  <x:conditionalFormatting sqref="E18:CV18">
    <x:cfRule type="expression" dxfId="151" priority="37">
      <x:formula>AND(E18="■",E$5&lt;=DATE(2026,10,1))</x:formula>
    </x:cfRule>
    <x:cfRule type="expression" dxfId="152" priority="38">
      <x:formula>AND(E18="■",E$5&gt;DATE(2026,10,1))</x:formula>
    </x:cfRule>
    <x:cfRule type="expression" dxfId="153" priority="39">
      <x:formula>E18="◆"</x:formula>
    </x:cfRule>
  </x:conditionalFormatting>
  <x:conditionalFormatting sqref="E19:CV19">
    <x:cfRule type="expression" dxfId="154" priority="40">
      <x:formula>AND(E19="■",E$5&lt;=DATE(2026,10,1))</x:formula>
    </x:cfRule>
    <x:cfRule type="expression" dxfId="155" priority="41">
      <x:formula>AND(E19="■",E$5&gt;DATE(2026,10,1))</x:formula>
    </x:cfRule>
    <x:cfRule type="expression" dxfId="156" priority="42">
      <x:formula>E19="◆"</x:formula>
    </x:cfRule>
  </x:conditionalFormatting>
  <x:conditionalFormatting sqref="E20:CV20">
    <x:cfRule type="expression" dxfId="157" priority="43">
      <x:formula>AND(E20="■",E$5&lt;=DATE(2026,10,1))</x:formula>
    </x:cfRule>
    <x:cfRule type="expression" dxfId="158" priority="44">
      <x:formula>AND(E20="■",E$5&gt;DATE(2026,10,1))</x:formula>
    </x:cfRule>
    <x:cfRule type="expression" dxfId="159" priority="45">
      <x:formula>E20="◆"</x:formula>
    </x:cfRule>
  </x:conditionalFormatting>
  <x:conditionalFormatting sqref="E21:CV21">
    <x:cfRule type="expression" dxfId="160" priority="46">
      <x:formula>AND(E21="■",E$5&lt;=DATE(2026,10,1))</x:formula>
    </x:cfRule>
    <x:cfRule type="expression" dxfId="161" priority="47">
      <x:formula>AND(E21="■",E$5&gt;DATE(2026,10,1))</x:formula>
    </x:cfRule>
    <x:cfRule type="expression" dxfId="162" priority="48">
      <x:formula>E21="◆"</x:formula>
    </x:cfRule>
  </x:conditionalFormatting>
  <x:conditionalFormatting sqref="E22:CV22">
    <x:cfRule type="expression" dxfId="163" priority="49">
      <x:formula>AND(E22="■",E$5&lt;=DATE(2026,10,1))</x:formula>
    </x:cfRule>
    <x:cfRule type="expression" dxfId="164" priority="50">
      <x:formula>AND(E22="■",E$5&gt;DATE(2026,10,1))</x:formula>
    </x:cfRule>
    <x:cfRule type="expression" dxfId="165" priority="51">
      <x:formula>E22="◆"</x:formula>
    </x:cfRule>
  </x:conditionalFormatting>
  <x:conditionalFormatting sqref="E23:CV23">
    <x:cfRule type="expression" dxfId="166" priority="52">
      <x:formula>AND(E23="■",E$5&lt;=DATE(2026,10,1))</x:formula>
    </x:cfRule>
    <x:cfRule type="expression" dxfId="167" priority="53">
      <x:formula>AND(E23="■",E$5&gt;DATE(2026,10,1))</x:formula>
    </x:cfRule>
    <x:cfRule type="expression" dxfId="168" priority="54">
      <x:formula>E23="◆"</x:formula>
    </x:cfRule>
  </x:conditionalFormatting>
  <x:conditionalFormatting sqref="E24:CV24">
    <x:cfRule type="expression" dxfId="169" priority="55">
      <x:formula>AND(E24="■",E$5&lt;=DATE(2026,10,1))</x:formula>
    </x:cfRule>
    <x:cfRule type="expression" dxfId="170" priority="56">
      <x:formula>AND(E24="■",E$5&gt;DATE(2026,10,1))</x:formula>
    </x:cfRule>
    <x:cfRule type="expression" dxfId="171" priority="57">
      <x:formula>E24="◆"</x:formula>
    </x:cfRule>
  </x:conditionalFormatting>
  <x:conditionalFormatting sqref="E25:CV25">
    <x:cfRule type="expression" dxfId="172" priority="58">
      <x:formula>AND(E25="■",E$5&lt;=DATE(2026,10,1))</x:formula>
    </x:cfRule>
    <x:cfRule type="expression" dxfId="173" priority="59">
      <x:formula>AND(E25="■",E$5&gt;DATE(2026,10,1))</x:formula>
    </x:cfRule>
    <x:cfRule type="expression" dxfId="174" priority="60">
      <x:formula>E25="◆"</x:formula>
    </x:cfRule>
  </x:conditionalFormatting>
  <x:conditionalFormatting sqref="E26:CV26">
    <x:cfRule type="expression" dxfId="175" priority="61">
      <x:formula>AND(E26="■",E$5&lt;=DATE(2026,10,1))</x:formula>
    </x:cfRule>
    <x:cfRule type="expression" dxfId="176" priority="62">
      <x:formula>AND(E26="■",E$5&gt;DATE(2026,10,1))</x:formula>
    </x:cfRule>
    <x:cfRule type="expression" dxfId="177" priority="63">
      <x:formula>E26="◆"</x:formula>
    </x:cfRule>
  </x:conditionalFormatting>
  <x:conditionalFormatting sqref="E27:CV27">
    <x:cfRule type="expression" dxfId="178" priority="64">
      <x:formula>AND(E27="■",E$5&lt;=DATE(2026,10,1))</x:formula>
    </x:cfRule>
    <x:cfRule type="expression" dxfId="179" priority="65">
      <x:formula>AND(E27="■",E$5&gt;DATE(2026,10,1))</x:formula>
    </x:cfRule>
    <x:cfRule type="expression" dxfId="180" priority="66">
      <x:formula>E27="◆"</x:formula>
    </x:cfRule>
  </x:conditionalFormatting>
  <x:conditionalFormatting sqref="E28:CV28">
    <x:cfRule type="expression" dxfId="181" priority="67">
      <x:formula>AND(E28="■",E$5&lt;=DATE(2026,10,1))</x:formula>
    </x:cfRule>
    <x:cfRule type="expression" dxfId="182" priority="68">
      <x:formula>AND(E28="■",E$5&gt;DATE(2026,10,1))</x:formula>
    </x:cfRule>
    <x:cfRule type="expression" dxfId="183" priority="69">
      <x:formula>E28="◆"</x:formula>
    </x:cfRule>
  </x:conditionalFormatting>
  <x:conditionalFormatting sqref="E29:CV29">
    <x:cfRule type="expression" dxfId="184" priority="70">
      <x:formula>AND(E29="■",E$5&lt;=DATE(2026,10,1))</x:formula>
    </x:cfRule>
    <x:cfRule type="expression" dxfId="185" priority="71">
      <x:formula>AND(E29="■",E$5&gt;DATE(2026,10,1))</x:formula>
    </x:cfRule>
    <x:cfRule type="expression" dxfId="186" priority="72">
      <x:formula>E29="◆"</x:formula>
    </x:cfRule>
  </x:conditionalFormatting>
  <x:conditionalFormatting sqref="E30:CV30">
    <x:cfRule type="expression" dxfId="187" priority="73">
      <x:formula>AND(E30="■",E$5&lt;=DATE(2026,10,1))</x:formula>
    </x:cfRule>
    <x:cfRule type="expression" dxfId="188" priority="74">
      <x:formula>AND(E30="■",E$5&gt;DATE(2026,10,1))</x:formula>
    </x:cfRule>
    <x:cfRule type="expression" dxfId="189" priority="75">
      <x:formula>E30="◆"</x:formula>
    </x:cfRule>
  </x:conditionalFormatting>
  <x:conditionalFormatting sqref="E31:CV31">
    <x:cfRule type="expression" dxfId="190" priority="76">
      <x:formula>AND(E31="■",E$5&lt;=DATE(2026,10,1))</x:formula>
    </x:cfRule>
    <x:cfRule type="expression" dxfId="191" priority="77">
      <x:formula>AND(E31="■",E$5&gt;DATE(2026,10,1))</x:formula>
    </x:cfRule>
    <x:cfRule type="expression" dxfId="192" priority="78">
      <x:formula>E31="◆"</x:formula>
    </x:cfRule>
  </x:conditionalFormatting>
  <x:conditionalFormatting sqref="E32:CV32">
    <x:cfRule type="expression" dxfId="193" priority="79">
      <x:formula>AND(E32="■",E$5&lt;=DATE(2026,10,1))</x:formula>
    </x:cfRule>
    <x:cfRule type="expression" dxfId="194" priority="80">
      <x:formula>AND(E32="■",E$5&gt;DATE(2026,10,1))</x:formula>
    </x:cfRule>
    <x:cfRule type="expression" dxfId="195" priority="81">
      <x:formula>E32="◆"</x:formula>
    </x:cfRule>
  </x:conditionalFormatting>
  <x:conditionalFormatting sqref="E33:CV33">
    <x:cfRule type="expression" dxfId="196" priority="82">
      <x:formula>AND(E33="■",E$5&lt;=DATE(2026,10,1))</x:formula>
    </x:cfRule>
    <x:cfRule type="expression" dxfId="197" priority="83">
      <x:formula>AND(E33="■",E$5&gt;DATE(2026,10,1))</x:formula>
    </x:cfRule>
    <x:cfRule type="expression" dxfId="198" priority="84">
      <x:formula>E33="◆"</x:formula>
    </x:cfRule>
    <x:cfRule type="expression" dxfId="199" priority="85">
      <x:formula>E33="■"</x:formula>
    </x:cfRule>
  </x:conditionalFormatting>
  <x:conditionalFormatting sqref="E34:CV34">
    <x:cfRule type="expression" dxfId="200" priority="86">
      <x:formula>AND(E34="■",E$5&lt;=DATE(2026,10,1))</x:formula>
    </x:cfRule>
    <x:cfRule type="expression" dxfId="201" priority="87">
      <x:formula>AND(E34="■",E$5&gt;DATE(2026,10,1))</x:formula>
    </x:cfRule>
    <x:cfRule type="expression" dxfId="202" priority="88">
      <x:formula>E34="◆"</x:formula>
    </x:cfRule>
  </x:conditionalFormatting>
  <x:conditionalFormatting sqref="E35:CV35">
    <x:cfRule type="expression" dxfId="203" priority="89">
      <x:formula>AND(E35="■",E$5&lt;=DATE(2026,10,1))</x:formula>
    </x:cfRule>
    <x:cfRule type="expression" dxfId="204" priority="90">
      <x:formula>AND(E35="■",E$5&gt;DATE(2026,10,1))</x:formula>
    </x:cfRule>
    <x:cfRule type="expression" dxfId="205" priority="91">
      <x:formula>E35="◆"</x:formula>
    </x:cfRule>
  </x:conditionalFormatting>
  <x:conditionalFormatting sqref="E36:CV36">
    <x:cfRule type="expression" dxfId="206" priority="92">
      <x:formula>AND(E36="■",E$5&lt;=DATE(2026,10,1))</x:formula>
    </x:cfRule>
    <x:cfRule type="expression" dxfId="207" priority="93">
      <x:formula>AND(E36="■",E$5&gt;DATE(2026,10,1))</x:formula>
    </x:cfRule>
    <x:cfRule type="expression" dxfId="208" priority="94">
      <x:formula>E36="◆"</x:formula>
    </x:cfRule>
  </x:conditionalFormatting>
  <x:conditionalFormatting sqref="E37:CV37">
    <x:cfRule type="expression" dxfId="209" priority="95">
      <x:formula>AND(E37="■",E$5&lt;=DATE(2026,10,1))</x:formula>
    </x:cfRule>
    <x:cfRule type="expression" dxfId="210" priority="96">
      <x:formula>AND(E37="■",E$5&gt;DATE(2026,10,1))</x:formula>
    </x:cfRule>
    <x:cfRule type="expression" dxfId="211" priority="97">
      <x:formula>E37="◆"</x:formula>
    </x:cfRule>
  </x:conditionalFormatting>
  <x:conditionalFormatting sqref="E38:CV38">
    <x:cfRule type="expression" dxfId="212" priority="98">
      <x:formula>AND(E38="■",E$5&lt;=DATE(2026,10,1))</x:formula>
    </x:cfRule>
    <x:cfRule type="expression" dxfId="213" priority="99">
      <x:formula>AND(E38="■",E$5&gt;DATE(2026,10,1))</x:formula>
    </x:cfRule>
    <x:cfRule type="expression" dxfId="214" priority="100">
      <x:formula>E38="◆"</x:formula>
    </x:cfRule>
  </x:conditionalFormatting>
  <x:conditionalFormatting sqref="E39:CV39">
    <x:cfRule type="expression" dxfId="215" priority="101">
      <x:formula>AND(E39="■",E$5&lt;=DATE(2026,10,1))</x:formula>
    </x:cfRule>
    <x:cfRule type="expression" dxfId="216" priority="102">
      <x:formula>AND(E39="■",E$5&gt;DATE(2026,10,1))</x:formula>
    </x:cfRule>
    <x:cfRule type="expression" dxfId="217" priority="103">
      <x:formula>E39="◆"</x:formula>
    </x:cfRule>
  </x:conditionalFormatting>
  <x:conditionalFormatting sqref="E40:CV40">
    <x:cfRule type="expression" dxfId="218" priority="104">
      <x:formula>AND(E40="■",E$5&lt;=DATE(2026,10,1))</x:formula>
    </x:cfRule>
    <x:cfRule type="expression" dxfId="219" priority="105">
      <x:formula>AND(E40="■",E$5&gt;DATE(2026,10,1))</x:formula>
    </x:cfRule>
    <x:cfRule type="expression" dxfId="220" priority="106">
      <x:formula>E40="◆"</x:formula>
    </x:cfRule>
  </x:conditionalFormatting>
  <x:conditionalFormatting sqref="E41:CV41">
    <x:cfRule type="expression" dxfId="221" priority="107">
      <x:formula>AND(E41="■",E$5&lt;=DATE(2026,10,1))</x:formula>
    </x:cfRule>
    <x:cfRule type="expression" dxfId="222" priority="108">
      <x:formula>AND(E41="■",E$5&gt;DATE(2026,10,1))</x:formula>
    </x:cfRule>
    <x:cfRule type="expression" dxfId="223" priority="109">
      <x:formula>E41="◆"</x:formula>
    </x:cfRule>
  </x:conditionalFormatting>
  <x:conditionalFormatting sqref="E42:CV42">
    <x:cfRule type="expression" dxfId="224" priority="110">
      <x:formula>AND(E42="■",E$5&lt;=DATE(2026,10,1))</x:formula>
    </x:cfRule>
    <x:cfRule type="expression" dxfId="225" priority="111">
      <x:formula>AND(E42="■",E$5&gt;DATE(2026,10,1))</x:formula>
    </x:cfRule>
    <x:cfRule type="expression" dxfId="226" priority="112">
      <x:formula>E42="◆"</x:formula>
    </x:cfRule>
  </x:conditionalFormatting>
  <x:conditionalFormatting sqref="E43:CV43">
    <x:cfRule type="expression" dxfId="227" priority="113">
      <x:formula>AND(E43="■",E$5&lt;=DATE(2026,10,1))</x:formula>
    </x:cfRule>
    <x:cfRule type="expression" dxfId="228" priority="114">
      <x:formula>AND(E43="■",E$5&gt;DATE(2026,10,1))</x:formula>
    </x:cfRule>
    <x:cfRule type="expression" dxfId="229" priority="115">
      <x:formula>E43="◆"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5324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9" hidden="0" customWidth="1"/>
    <x:col min="13" max="13" width="49" hidden="0" customWidth="1"/>
    <x:col min="14" max="14" width="49" hidden="0" customWidth="1"/>
    <x:col min="15" max="15" width="49" hidden="0" customWidth="1"/>
    <x:col min="16" max="16" width="49" hidden="0" customWidth="1"/>
    <x:col min="17" max="17" width="49" hidden="0" customWidth="1"/>
    <x:col min="18" max="18" width="49" hidden="0" customWidth="1"/>
    <x:col min="19" max="19" width="4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0" hidden="0" customWidth="1"/>
  </x:cols>
  <x:sheetData>
    <x:row r="1" ht="38" customHeight="1">
      <x:c r="A1" s="4" t="str">
        <x:v>ASEAN 5カ国｜制度の事実・適用条件・販売仮説</x:v>
      </x:c>
      <x:c r="B1" s="4" t="str">
        <x:v>ASEAN 5カ国｜制度の事実・適用条件・販売仮説</x:v>
      </x:c>
      <x:c r="C1" s="4" t="str">
        <x:v>ASEAN 5カ国｜制度の事実・適用条件・販売仮説</x:v>
      </x:c>
      <x:c r="D1" s="4" t="str">
        <x:v>ASEAN 5カ国｜制度の事実・適用条件・販売仮説</x:v>
      </x:c>
      <x:c r="E1" s="4" t="str">
        <x:v>ASEAN 5カ国｜制度の事実・適用条件・販売仮説</x:v>
      </x:c>
      <x:c r="F1" s="4" t="str">
        <x:v>ASEAN 5カ国｜制度の事実・適用条件・販売仮説</x:v>
      </x:c>
      <x:c r="G1" s="4" t="str">
        <x:v>ASEAN 5カ国｜制度の事実・適用条件・販売仮説</x:v>
      </x:c>
      <x:c r="H1" s="4" t="str">
        <x:v>ASEAN 5カ国｜制度の事実・適用条件・販売仮説</x:v>
      </x:c>
      <x:c r="I1" s="4" t="str">
        <x:v>ASEAN 5カ国｜制度の事実・適用条件・販売仮説</x:v>
      </x:c>
      <x:c r="J1" s="4" t="str">
        <x:v>ASEAN 5カ国｜制度の事実・適用条件・販売仮説</x:v>
      </x:c>
      <x:c r="K1" s="4" t="str">
        <x:v>ASEAN 5カ国｜制度の事実・適用条件・販売仮説</x:v>
      </x:c>
      <x:c r="L1" s="4" t="str">
        <x:v>ASEAN 5カ国｜制度の事実・適用条件・販売仮説</x:v>
      </x:c>
      <x:c r="M1" s="4" t="str">
        <x:v>ASEAN 5カ国｜制度の事実・適用条件・販売仮説</x:v>
      </x:c>
      <x:c r="N1" s="4" t="str">
        <x:v>ASEAN 5カ国｜制度の事実・適用条件・販売仮説</x:v>
      </x:c>
      <x:c r="O1" s="4" t="str">
        <x:v>ASEAN 5カ国｜制度の事実・適用条件・販売仮説</x:v>
      </x:c>
      <x:c r="P1" s="4" t="str">
        <x:v>ASEAN 5カ国｜制度の事実・適用条件・販売仮説</x:v>
      </x:c>
      <x:c r="Q1" s="4" t="str">
        <x:v>ASEAN 5カ国｜制度の事実・適用条件・販売仮説</x:v>
      </x:c>
      <x:c r="R1" s="4" t="str">
        <x:v>ASEAN 5カ国｜制度の事実・適用条件・販売仮説</x:v>
      </x:c>
      <x:c r="S1" s="4" t="str">
        <x:v>ASEAN 5カ国｜制度の事実・適用条件・販売仮説</x:v>
      </x:c>
      <x:c r="T1" s="4" t="str">
        <x:v>ASEAN 5カ国｜制度の事実・適用条件・販売仮説</x:v>
      </x:c>
      <x:c r="U1" s="4" t="str">
        <x:v>ASEAN 5カ国｜制度の事実・適用条件・販売仮説</x:v>
      </x:c>
      <x:c r="V1" s="4" t="str">
        <x:v>ASEAN 5カ国｜制度の事実・適用条件・販売仮説</x:v>
      </x:c>
      <x:c r="W1" s="4" t="str">
        <x:v>ASEAN 5カ国｜制度の事実・適用条件・販売仮説</x:v>
      </x:c>
      <x:c r="X1" s="4" t="str">
        <x:v>ASEAN 5カ国｜制度の事実・適用条件・販売仮説</x:v>
      </x:c>
      <x:c r="Y1" s="4" t="str">
        <x:v>ASEAN 5カ国｜制度の事実・適用条件・販売仮説</x:v>
      </x:c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</x:row>
    <x:row r="2" ht="34" customHeight="1">
      <x:c r="A2" s="7" t="str">
        <x:v>確認基準日：2026年10月7日。価格・供給への作用と販売仮説は推論。実測の販売効果ではない。対象は主要な購入・輸入・現地生産制度の抜粋。</x:v>
      </x:c>
      <x:c r="B2" s="7" t="str">
        <x:v>確認基準日：2026年10月7日。価格・供給への作用と販売仮説は推論。実測の販売効果ではない。対象は主要な購入・輸入・現地生産制度の抜粋。</x:v>
      </x:c>
      <x:c r="C2" s="7" t="str">
        <x:v>確認基準日：2026年10月7日。価格・供給への作用と販売仮説は推論。実測の販売効果ではない。対象は主要な購入・輸入・現地生産制度の抜粋。</x:v>
      </x:c>
      <x:c r="D2" s="7" t="str">
        <x:v>確認基準日：2026年10月7日。価格・供給への作用と販売仮説は推論。実測の販売効果ではない。対象は主要な購入・輸入・現地生産制度の抜粋。</x:v>
      </x:c>
      <x:c r="E2" s="7" t="str">
        <x:v>確認基準日：2026年10月7日。価格・供給への作用と販売仮説は推論。実測の販売効果ではない。対象は主要な購入・輸入・現地生産制度の抜粋。</x:v>
      </x:c>
      <x:c r="F2" s="7" t="str">
        <x:v>確認基準日：2026年10月7日。価格・供給への作用と販売仮説は推論。実測の販売効果ではない。対象は主要な購入・輸入・現地生産制度の抜粋。</x:v>
      </x:c>
      <x:c r="G2" s="7" t="str">
        <x:v>確認基準日：2026年10月7日。価格・供給への作用と販売仮説は推論。実測の販売効果ではない。対象は主要な購入・輸入・現地生産制度の抜粋。</x:v>
      </x:c>
      <x:c r="H2" s="7" t="str">
        <x:v>確認基準日：2026年10月7日。価格・供給への作用と販売仮説は推論。実測の販売効果ではない。対象は主要な購入・輸入・現地生産制度の抜粋。</x:v>
      </x:c>
      <x:c r="I2" s="7" t="str">
        <x:v>確認基準日：2026年10月7日。価格・供給への作用と販売仮説は推論。実測の販売効果ではない。対象は主要な購入・輸入・現地生産制度の抜粋。</x:v>
      </x:c>
      <x:c r="J2" s="7" t="str">
        <x:v>確認基準日：2026年10月7日。価格・供給への作用と販売仮説は推論。実測の販売効果ではない。対象は主要な購入・輸入・現地生産制度の抜粋。</x:v>
      </x:c>
      <x:c r="K2" s="7" t="str">
        <x:v>確認基準日：2026年10月7日。価格・供給への作用と販売仮説は推論。実測の販売効果ではない。対象は主要な購入・輸入・現地生産制度の抜粋。</x:v>
      </x:c>
      <x:c r="L2" s="7" t="str">
        <x:v>確認基準日：2026年10月7日。価格・供給への作用と販売仮説は推論。実測の販売効果ではない。対象は主要な購入・輸入・現地生産制度の抜粋。</x:v>
      </x:c>
      <x:c r="M2" s="7" t="str">
        <x:v>確認基準日：2026年10月7日。価格・供給への作用と販売仮説は推論。実測の販売効果ではない。対象は主要な購入・輸入・現地生産制度の抜粋。</x:v>
      </x:c>
      <x:c r="N2" s="7" t="str">
        <x:v>確認基準日：2026年10月7日。価格・供給への作用と販売仮説は推論。実測の販売効果ではない。対象は主要な購入・輸入・現地生産制度の抜粋。</x:v>
      </x:c>
      <x:c r="O2" s="7" t="str">
        <x:v>確認基準日：2026年10月7日。価格・供給への作用と販売仮説は推論。実測の販売効果ではない。対象は主要な購入・輸入・現地生産制度の抜粋。</x:v>
      </x:c>
      <x:c r="P2" s="7" t="str">
        <x:v>確認基準日：2026年10月7日。価格・供給への作用と販売仮説は推論。実測の販売効果ではない。対象は主要な購入・輸入・現地生産制度の抜粋。</x:v>
      </x:c>
      <x:c r="Q2" s="7" t="str">
        <x:v>確認基準日：2026年10月7日。価格・供給への作用と販売仮説は推論。実測の販売効果ではない。対象は主要な購入・輸入・現地生産制度の抜粋。</x:v>
      </x:c>
      <x:c r="R2" s="7" t="str">
        <x:v>確認基準日：2026年10月7日。価格・供給への作用と販売仮説は推論。実測の販売効果ではない。対象は主要な購入・輸入・現地生産制度の抜粋。</x:v>
      </x:c>
      <x:c r="S2" s="7" t="str">
        <x:v>確認基準日：2026年10月7日。価格・供給への作用と販売仮説は推論。実測の販売効果ではない。対象は主要な購入・輸入・現地生産制度の抜粋。</x:v>
      </x:c>
      <x:c r="T2" s="7" t="str">
        <x:v>確認基準日：2026年10月7日。価格・供給への作用と販売仮説は推論。実測の販売効果ではない。対象は主要な購入・輸入・現地生産制度の抜粋。</x:v>
      </x:c>
      <x:c r="U2" s="7" t="str">
        <x:v>確認基準日：2026年10月7日。価格・供給への作用と販売仮説は推論。実測の販売効果ではない。対象は主要な購入・輸入・現地生産制度の抜粋。</x:v>
      </x:c>
      <x:c r="V2" s="7" t="str">
        <x:v>確認基準日：2026年10月7日。価格・供給への作用と販売仮説は推論。実測の販売効果ではない。対象は主要な購入・輸入・現地生産制度の抜粋。</x:v>
      </x:c>
      <x:c r="W2" s="7" t="str">
        <x:v>確認基準日：2026年10月7日。価格・供給への作用と販売仮説は推論。実測の販売効果ではない。対象は主要な購入・輸入・現地生産制度の抜粋。</x:v>
      </x:c>
      <x:c r="X2" s="7" t="str">
        <x:v>確認基準日：2026年10月7日。価格・供給への作用と販売仮説は推論。実測の販売効果ではない。対象は主要な購入・輸入・現地生産制度の抜粋。</x:v>
      </x:c>
      <x:c r="Y2" s="7" t="str">
        <x:v>確認基準日：2026年10月7日。価格・供給への作用と販売仮説は推論。実測の販売効果ではない。対象は主要な購入・輸入・現地生産制度の抜粋。</x:v>
      </x:c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</x:row>
    <x:row r="3" ht="34" customHeight="1">
      <x:c r="A3" s="10" t="str">
        <x:v>日付精度が「月次・年度キー」の行は、表示開始日を法的施行日として使わない。期限の帯は期限月の位置を表す。未確定・提案は期間帯と区別する。</x:v>
      </x:c>
      <x:c r="B3" s="10" t="str">
        <x:v>日付精度が「月次・年度キー」の行は、表示開始日を法的施行日として使わない。期限の帯は期限月の位置を表す。未確定・提案は期間帯と区別する。</x:v>
      </x:c>
      <x:c r="C3" s="10" t="str">
        <x:v>日付精度が「月次・年度キー」の行は、表示開始日を法的施行日として使わない。期限の帯は期限月の位置を表す。未確定・提案は期間帯と区別する。</x:v>
      </x:c>
      <x:c r="D3" s="10" t="str">
        <x:v>日付精度が「月次・年度キー」の行は、表示開始日を法的施行日として使わない。期限の帯は期限月の位置を表す。未確定・提案は期間帯と区別する。</x:v>
      </x:c>
      <x:c r="E3" s="10" t="str">
        <x:v>日付精度が「月次・年度キー」の行は、表示開始日を法的施行日として使わない。期限の帯は期限月の位置を表す。未確定・提案は期間帯と区別する。</x:v>
      </x:c>
      <x:c r="F3" s="10" t="str">
        <x:v>日付精度が「月次・年度キー」の行は、表示開始日を法的施行日として使わない。期限の帯は期限月の位置を表す。未確定・提案は期間帯と区別する。</x:v>
      </x:c>
      <x:c r="G3" s="10" t="str">
        <x:v>日付精度が「月次・年度キー」の行は、表示開始日を法的施行日として使わない。期限の帯は期限月の位置を表す。未確定・提案は期間帯と区別する。</x:v>
      </x:c>
      <x:c r="H3" s="10" t="str">
        <x:v>日付精度が「月次・年度キー」の行は、表示開始日を法的施行日として使わない。期限の帯は期限月の位置を表す。未確定・提案は期間帯と区別する。</x:v>
      </x:c>
      <x:c r="I3" s="10" t="str">
        <x:v>日付精度が「月次・年度キー」の行は、表示開始日を法的施行日として使わない。期限の帯は期限月の位置を表す。未確定・提案は期間帯と区別する。</x:v>
      </x:c>
      <x:c r="J3" s="10" t="str">
        <x:v>日付精度が「月次・年度キー」の行は、表示開始日を法的施行日として使わない。期限の帯は期限月の位置を表す。未確定・提案は期間帯と区別する。</x:v>
      </x:c>
      <x:c r="K3" s="10" t="str">
        <x:v>日付精度が「月次・年度キー」の行は、表示開始日を法的施行日として使わない。期限の帯は期限月の位置を表す。未確定・提案は期間帯と区別する。</x:v>
      </x:c>
      <x:c r="L3" s="10" t="str">
        <x:v>日付精度が「月次・年度キー」の行は、表示開始日を法的施行日として使わない。期限の帯は期限月の位置を表す。未確定・提案は期間帯と区別する。</x:v>
      </x:c>
      <x:c r="M3" s="10" t="str">
        <x:v>日付精度が「月次・年度キー」の行は、表示開始日を法的施行日として使わない。期限の帯は期限月の位置を表す。未確定・提案は期間帯と区別する。</x:v>
      </x:c>
      <x:c r="N3" s="10" t="str">
        <x:v>日付精度が「月次・年度キー」の行は、表示開始日を法的施行日として使わない。期限の帯は期限月の位置を表す。未確定・提案は期間帯と区別する。</x:v>
      </x:c>
      <x:c r="O3" s="10" t="str">
        <x:v>日付精度が「月次・年度キー」の行は、表示開始日を法的施行日として使わない。期限の帯は期限月の位置を表す。未確定・提案は期間帯と区別する。</x:v>
      </x:c>
      <x:c r="P3" s="10" t="str">
        <x:v>日付精度が「月次・年度キー」の行は、表示開始日を法的施行日として使わない。期限の帯は期限月の位置を表す。未確定・提案は期間帯と区別する。</x:v>
      </x:c>
      <x:c r="Q3" s="10" t="str">
        <x:v>日付精度が「月次・年度キー」の行は、表示開始日を法的施行日として使わない。期限の帯は期限月の位置を表す。未確定・提案は期間帯と区別する。</x:v>
      </x:c>
      <x:c r="R3" s="10" t="str">
        <x:v>日付精度が「月次・年度キー」の行は、表示開始日を法的施行日として使わない。期限の帯は期限月の位置を表す。未確定・提案は期間帯と区別する。</x:v>
      </x:c>
      <x:c r="S3" s="10" t="str">
        <x:v>日付精度が「月次・年度キー」の行は、表示開始日を法的施行日として使わない。期限の帯は期限月の位置を表す。未確定・提案は期間帯と区別する。</x:v>
      </x:c>
      <x:c r="T3" s="10" t="str">
        <x:v>日付精度が「月次・年度キー」の行は、表示開始日を法的施行日として使わない。期限の帯は期限月の位置を表す。未確定・提案は期間帯と区別する。</x:v>
      </x:c>
      <x:c r="U3" s="10" t="str">
        <x:v>日付精度が「月次・年度キー」の行は、表示開始日を法的施行日として使わない。期限の帯は期限月の位置を表す。未確定・提案は期間帯と区別する。</x:v>
      </x:c>
      <x:c r="V3" s="10" t="str">
        <x:v>日付精度が「月次・年度キー」の行は、表示開始日を法的施行日として使わない。期限の帯は期限月の位置を表す。未確定・提案は期間帯と区別する。</x:v>
      </x:c>
      <x:c r="W3" s="10" t="str">
        <x:v>日付精度が「月次・年度キー」の行は、表示開始日を法的施行日として使わない。期限の帯は期限月の位置を表す。未確定・提案は期間帯と区別する。</x:v>
      </x:c>
      <x:c r="X3" s="10" t="str">
        <x:v>日付精度が「月次・年度キー」の行は、表示開始日を法的施行日として使わない。期限の帯は期限月の位置を表す。未確定・提案は期間帯と区別する。</x:v>
      </x:c>
      <x:c r="Y3" s="10" t="str">
        <x:v>日付精度が「月次・年度キー」の行は、表示開始日を法的施行日として使わない。期限の帯は期限月の位置を表す。未確定・提案は期間帯と区別する。</x:v>
      </x:c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</x:row>
    <x:row r="5" ht="40" customHeight="1">
      <x:c r="A5" s="13" t="str">
        <x:v>制度ID</x:v>
      </x:c>
      <x:c r="B5" s="13" t="str">
        <x:v>国</x:v>
      </x:c>
      <x:c r="C5" s="13" t="str">
        <x:v>制度・措置</x:v>
      </x:c>
      <x:c r="D5" s="13" t="str">
        <x:v>種類</x:v>
      </x:c>
      <x:c r="E5" s="13" t="str">
        <x:v>動力</x:v>
      </x:c>
      <x:c r="F5" s="13" t="str">
        <x:v>適用対象</x:v>
      </x:c>
      <x:c r="G5" s="13" t="str">
        <x:v>状態</x:v>
      </x:c>
      <x:c r="H5" s="13" t="str">
        <x:v>期間開始／月次キー</x:v>
      </x:c>
      <x:c r="I5" s="13" t="str">
        <x:v>期間終了／期限</x:v>
      </x:c>
      <x:c r="J5" s="13" t="str">
        <x:v>発表・公布・決定日</x:v>
      </x:c>
      <x:c r="K5" s="13" t="str">
        <x:v>日付精度</x:v>
      </x:c>
      <x:c r="L5" s="13" t="str">
        <x:v>制度の内容・数値</x:v>
      </x:c>
      <x:c r="M5" s="13" t="str">
        <x:v>価格への作用（仮説）</x:v>
      </x:c>
      <x:c r="N5" s="13" t="str">
        <x:v>供給への作用（仮説）</x:v>
      </x:c>
      <x:c r="O5" s="13" t="str">
        <x:v>月次販売の仮説・注意</x:v>
      </x:c>
      <x:c r="P5" s="13" t="str">
        <x:v>比較対象・確認指標</x:v>
      </x:c>
      <x:c r="Q5" s="13" t="str">
        <x:v>根拠URL</x:v>
      </x:c>
      <x:c r="R5" s="13" t="str">
        <x:v>根拠位置・資料</x:v>
      </x:c>
      <x:c r="S5" s="13" t="str">
        <x:v>個別注意</x:v>
      </x:c>
      <x:c r="T5" s="13" t="str">
        <x:v>確認基準日</x:v>
      </x:c>
      <x:c r="U5" s="13" t="str">
        <x:v>開始年月キー</x:v>
      </x:c>
      <x:c r="V5" s="13" t="str">
        <x:v>終了年月キー</x:v>
      </x:c>
      <x:c r="W5" s="13" t="str">
        <x:v>開始前3か月</x:v>
      </x:c>
      <x:c r="X5" s="13" t="str">
        <x:v>期間末3か月</x:v>
      </x:c>
      <x:c r="Y5" s="13" t="str">
        <x:v>中国・日本車比較</x:v>
      </x:c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</x:row>
    <x:row r="6" ht="85" customHeight="1">
      <x:c r="A6" s="17" t="str">
        <x:v>TH01</x:v>
      </x:c>
      <x:c r="B6" s="17" t="str">
        <x:v>タイ</x:v>
      </x:c>
      <x:c r="C6" s="17" t="str">
        <x:v>EV3：開始月未確定</x:v>
      </x:c>
      <x:c r="D6" s="17" t="str">
        <x:v>購入優遇</x:v>
      </x:c>
      <x:c r="E6" s="17" t="str">
        <x:v>BEV</x:v>
      </x:c>
      <x:c r="F6" s="17" t="str">
        <x:v>参加OEM・適格乗用車</x:v>
      </x:c>
      <x:c r="G6" s="17" t="str">
        <x:v>期間の開始月未確認</x:v>
      </x:c>
      <x:c r="H6" s="18"/>
      <x:c r="I6" s="18" t="d">
        <x:v>2025-12-31T00:00:00.000Z</x:v>
      </x:c>
      <x:c r="J6" s="18"/>
      <x:c r="K6" s="17" t="str">
        <x:v>年のみ</x:v>
      </x:c>
      <x:c r="L6" s="17" t="str">
        <x:v>補助金：容量・条件別。2022年開始、現地生産分は2025年まで</x:v>
      </x:c>
      <x:c r="M6" s="17" t="str">
        <x:v>購入負担低下</x:v>
      </x:c>
      <x:c r="N6" s="17" t="str">
        <x:v>参加・生産条件あり</x:v>
      </x:c>
      <x:c r="O6" s="17" t="str">
        <x:v>導入後のBEV拡大を想定。開始月が未確認のため月次帯は付けない</x:v>
      </x:c>
      <x:c r="P6" s="17" t="str">
        <x:v>同クラスHEV/ICE＋OEM参加の有無</x:v>
      </x:c>
      <x:c r="Q6" s="19" t="str">
        <x:v>https://www.boi.go.th/upload/content/20230706%20JP%20TAI.pdf</x:v>
      </x:c>
      <x:c r="R6" s="17" t="str">
        <x:v>BOI公式資料の対象制度・決定</x:v>
      </x:c>
      <x:c r="S6" s="17" t="str">
        <x:v>2022年開始を1月施行と置かない。EV3.5との重複は個社の参加制度を確認。</x:v>
      </x:c>
      <x:c r="T6" s="18" t="d">
        <x:v>2026-10-07T00:00:00.000Z</x:v>
      </x:c>
      <x:c r="U6" s="17" t="str">
        <x:f>IF(H6="","",TEXT(H6,"yyyy-mm"))</x:f>
      </x:c>
      <x:c r="V6" s="17" t="str">
        <x:f>IF(I6="","",TEXT(I6,"yyyy-mm"))</x:f>
        <x:v>2025-12</x:v>
      </x:c>
      <x:c r="W6" s="17" t="str">
        <x:f>IF(H6="","",TEXT(EDATE(H6,-3),"yyyy-mm")&amp;"〜"&amp;TEXT(EDATE(H6,-1),"yyyy-mm"))</x:f>
      </x:c>
      <x:c r="X6" s="17" t="str">
        <x:f>IF(I6="","",TEXT(EDATE(I6,-2),"yyyy-mm")&amp;"〜"&amp;TEXT(I6,"yyyy-mm"))</x:f>
        <x:v>2025-10〜2025-12</x:v>
      </x:c>
      <x:c r="Y6" s="17" t="str">
        <x:v>国籍による一律優遇と決めず、対象動力・CBU/CKD・個社認定で比較</x:v>
      </x:c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</x:row>
    <x:row r="7" ht="85" customHeight="1">
      <x:c r="A7" s="17" t="str">
        <x:v>TH02</x:v>
      </x:c>
      <x:c r="B7" s="17" t="str">
        <x:v>タイ</x:v>
      </x:c>
      <x:c r="C7" s="17" t="str">
        <x:v>EV3.5：購入補助</x:v>
      </x:c>
      <x:c r="D7" s="17" t="str">
        <x:v>購入優遇</x:v>
      </x:c>
      <x:c r="E7" s="17" t="str">
        <x:v>BEV</x:v>
      </x:c>
      <x:c r="F7" s="17" t="str">
        <x:v>価格≤200万THB・容量別</x:v>
      </x:c>
      <x:c r="G7" s="17" t="str">
        <x:v>成立・適用期間確認</x:v>
      </x:c>
      <x:c r="H7" s="18" t="d">
        <x:v>2024-01-01T00:00:00.000Z</x:v>
      </x:c>
      <x:c r="I7" s="18" t="d">
        <x:v>2027-12-31T00:00:00.000Z</x:v>
      </x:c>
      <x:c r="J7" s="18" t="d">
        <x:v>2023-11-01T00:00:00.000Z</x:v>
      </x:c>
      <x:c r="K7" s="17" t="str">
        <x:v>年度の月次キー</x:v>
      </x:c>
      <x:c r="L7" s="17" t="str">
        <x:v>4年間。50kWh以上5万〜10万THB、50kWh未満2万〜5万THB（年別）</x:v>
      </x:c>
      <x:c r="M7" s="17" t="str">
        <x:v>購入負担低下</x:v>
      </x:c>
      <x:c r="N7" s="17" t="str">
        <x:v>参加OEM・適格車のみ</x:v>
      </x:c>
      <x:c r="O7" s="17" t="str">
        <x:v>補助縮小年の前年末に前倒し、翌年に反動の可能性</x:v>
      </x:c>
      <x:c r="P7" s="17" t="str">
        <x:v>補助対象内/対象外の価格帯・容量</x:v>
      </x:c>
      <x:c r="Q7" s="19" t="str">
        <x:v>https://www.boi.go.th/upload/content/EV%203.5ENG.pdf</x:v>
      </x:c>
      <x:c r="R7" s="17" t="str">
        <x:v>BOI公式資料の対象制度・決定</x:v>
      </x:c>
      <x:c r="S7" s="17" t="str">
        <x:v>補助額を一律の値引率とみなさない。年ごとの金額は原資料表を参照。 プログラムの年度を月初・月末へ展開した表示用キー。個社契約開始日ではない。</x:v>
      </x:c>
      <x:c r="T7" s="18" t="d">
        <x:v>2026-10-07T00:00:00.000Z</x:v>
      </x:c>
      <x:c r="U7" s="17" t="str">
        <x:f>IF(H7="","",TEXT(H7,"yyyy-mm"))</x:f>
        <x:v>2024-01</x:v>
      </x:c>
      <x:c r="V7" s="17" t="str">
        <x:f>IF(I7="","",TEXT(I7,"yyyy-mm"))</x:f>
        <x:v>2027-12</x:v>
      </x:c>
      <x:c r="W7" s="17" t="str">
        <x:f>IF(H7="","",TEXT(EDATE(H7,-3),"yyyy-mm")&amp;"〜"&amp;TEXT(EDATE(H7,-1),"yyyy-mm"))</x:f>
        <x:v>2023-10〜2023-12</x:v>
      </x:c>
      <x:c r="X7" s="17" t="str">
        <x:f>IF(I7="","",TEXT(EDATE(I7,-2),"yyyy-mm")&amp;"〜"&amp;TEXT(I7,"yyyy-mm"))</x:f>
        <x:v>2027-10〜2027-12</x:v>
      </x:c>
      <x:c r="Y7" s="17" t="str">
        <x:v>国籍による一律優遇と決めず、対象動力・CBU/CKD・個社認定で比較</x:v>
      </x:c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</x:row>
    <x:row r="8" ht="85" customHeight="1">
      <x:c r="A8" s="17" t="str">
        <x:v>TH03</x:v>
      </x:c>
      <x:c r="B8" s="17" t="str">
        <x:v>タイ</x:v>
      </x:c>
      <x:c r="C8" s="17" t="str">
        <x:v>EV3.5：物品税8→2%</x:v>
      </x:c>
      <x:c r="D8" s="17" t="str">
        <x:v>購入優遇</x:v>
      </x:c>
      <x:c r="E8" s="17" t="str">
        <x:v>BEV</x:v>
      </x:c>
      <x:c r="F8" s="17" t="str">
        <x:v>適格乗用車・価格≤700万THB</x:v>
      </x:c>
      <x:c r="G8" s="17" t="str">
        <x:v>成立・適用期間確認</x:v>
      </x:c>
      <x:c r="H8" s="18" t="d">
        <x:v>2024-01-01T00:00:00.000Z</x:v>
      </x:c>
      <x:c r="I8" s="18" t="d">
        <x:v>2027-12-31T00:00:00.000Z</x:v>
      </x:c>
      <x:c r="J8" s="18" t="d">
        <x:v>2023-11-01T00:00:00.000Z</x:v>
      </x:c>
      <x:c r="K8" s="17" t="str">
        <x:v>年度の月次キー</x:v>
      </x:c>
      <x:c r="L8" s="17" t="str">
        <x:v>物品税8%→2%</x:v>
      </x:c>
      <x:c r="M8" s="17" t="str">
        <x:v>税負担低下</x:v>
      </x:c>
      <x:c r="N8" s="17" t="str">
        <x:v>参加条件あり</x:v>
      </x:c>
      <x:c r="O8" s="17" t="str">
        <x:v>価格転嫁時に販売増の可能性。税率差6ptは車両価格6%減と同義ではない</x:v>
      </x:c>
      <x:c r="P8" s="17" t="str">
        <x:v>同クラスHEV/ICE、価格改定月</x:v>
      </x:c>
      <x:c r="Q8" s="19" t="str">
        <x:v>https://www.boi.go.th/upload/content/EV%203.5ENG.pdf</x:v>
      </x:c>
      <x:c r="R8" s="17" t="str">
        <x:v>BOI公式資料の対象制度・決定</x:v>
      </x:c>
      <x:c r="S8" s="17" t="str">
        <x:v> プログラムの年度を月初・月末へ展開した表示用キー。個社契約開始日ではない。</x:v>
      </x:c>
      <x:c r="T8" s="18" t="d">
        <x:v>2026-10-07T00:00:00.000Z</x:v>
      </x:c>
      <x:c r="U8" s="17" t="str">
        <x:f>IF(H8="","",TEXT(H8,"yyyy-mm"))</x:f>
        <x:v>2024-01</x:v>
      </x:c>
      <x:c r="V8" s="17" t="str">
        <x:f>IF(I8="","",TEXT(I8,"yyyy-mm"))</x:f>
        <x:v>2027-12</x:v>
      </x:c>
      <x:c r="W8" s="17" t="str">
        <x:f>IF(H8="","",TEXT(EDATE(H8,-3),"yyyy-mm")&amp;"〜"&amp;TEXT(EDATE(H8,-1),"yyyy-mm"))</x:f>
        <x:v>2023-10〜2023-12</x:v>
      </x:c>
      <x:c r="X8" s="17" t="str">
        <x:f>IF(I8="","",TEXT(EDATE(I8,-2),"yyyy-mm")&amp;"〜"&amp;TEXT(I8,"yyyy-mm"))</x:f>
        <x:v>2027-10〜2027-12</x:v>
      </x:c>
      <x:c r="Y8" s="17" t="str">
        <x:v>国籍による一律優遇と決めず、対象動力・CBU/CKD・個社認定で比較</x:v>
      </x:c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</x:row>
    <x:row r="9" ht="85" customHeight="1">
      <x:c r="A9" s="17" t="str">
        <x:v>TH04</x:v>
      </x:c>
      <x:c r="B9" s="17" t="str">
        <x:v>タイ</x:v>
      </x:c>
      <x:c r="C9" s="17" t="str">
        <x:v>EV3.5：CBU輸入軽減</x:v>
      </x:c>
      <x:c r="D9" s="17" t="str">
        <x:v>輸入条件</x:v>
      </x:c>
      <x:c r="E9" s="17" t="str">
        <x:v>BEV</x:v>
      </x:c>
      <x:c r="F9" s="17" t="str">
        <x:v>適格CBU・価格≤200万THB</x:v>
      </x:c>
      <x:c r="G9" s="17" t="str">
        <x:v>成立・適用期間確認</x:v>
      </x:c>
      <x:c r="H9" s="18" t="d">
        <x:v>2024-01-01T00:00:00.000Z</x:v>
      </x:c>
      <x:c r="I9" s="18" t="d">
        <x:v>2025-12-31T00:00:00.000Z</x:v>
      </x:c>
      <x:c r="J9" s="18" t="d">
        <x:v>2023-11-01T00:00:00.000Z</x:v>
      </x:c>
      <x:c r="K9" s="17" t="str">
        <x:v>年度の月次キー</x:v>
      </x:c>
      <x:c r="L9" s="17" t="str">
        <x:v>輸入関税最大40%軽減。HS・原産地条件を確認</x:v>
      </x:c>
      <x:c r="M9" s="17" t="str">
        <x:v>輸入コスト低下</x:v>
      </x:c>
      <x:c r="N9" s="17" t="str">
        <x:v>CBU供給を先行可能に</x:v>
      </x:c>
      <x:c r="O9" s="17" t="str">
        <x:v>終了前の輸入・販売前倒し、CKD移行の可能性</x:v>
      </x:c>
      <x:c r="P9" s="17" t="str">
        <x:v>CBU/CKDの型式別、FTA税率との差</x:v>
      </x:c>
      <x:c r="Q9" s="19" t="str">
        <x:v>https://www.boi.go.th/upload/content/EV%203.5ENG.pdf</x:v>
      </x:c>
      <x:c r="R9" s="17" t="str">
        <x:v>BOI公式資料の対象制度・決定</x:v>
      </x:c>
      <x:c r="S9" s="17" t="str">
        <x:v> プログラムの年度を月初・月末へ展開した表示用キー。個社契約開始日ではない。</x:v>
      </x:c>
      <x:c r="T9" s="18" t="d">
        <x:v>2026-10-07T00:00:00.000Z</x:v>
      </x:c>
      <x:c r="U9" s="17" t="str">
        <x:f>IF(H9="","",TEXT(H9,"yyyy-mm"))</x:f>
        <x:v>2024-01</x:v>
      </x:c>
      <x:c r="V9" s="17" t="str">
        <x:f>IF(I9="","",TEXT(I9,"yyyy-mm"))</x:f>
        <x:v>2025-12</x:v>
      </x:c>
      <x:c r="W9" s="17" t="str">
        <x:f>IF(H9="","",TEXT(EDATE(H9,-3),"yyyy-mm")&amp;"〜"&amp;TEXT(EDATE(H9,-1),"yyyy-mm"))</x:f>
        <x:v>2023-10〜2023-12</x:v>
      </x:c>
      <x:c r="X9" s="17" t="str">
        <x:f>IF(I9="","",TEXT(EDATE(I9,-2),"yyyy-mm")&amp;"〜"&amp;TEXT(I9,"yyyy-mm"))</x:f>
        <x:v>2025-10〜2025-12</x:v>
      </x:c>
      <x:c r="Y9" s="17" t="str">
        <x:v>国籍による一律優遇と決めず、対象動力・CBU/CKD・個社認定で比較</x:v>
      </x:c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</x:row>
    <x:row r="10" ht="85" customHeight="1">
      <x:c r="A10" s="17" t="str">
        <x:v>TH05</x:v>
      </x:c>
      <x:c r="B10" s="17" t="str">
        <x:v>タイ</x:v>
      </x:c>
      <x:c r="C10" s="17" t="str">
        <x:v>EV3.5：国内生産2倍期限</x:v>
      </x:c>
      <x:c r="D10" s="17" t="str">
        <x:v>生産義務</x:v>
      </x:c>
      <x:c r="E10" s="17" t="str">
        <x:v>BEV</x:v>
      </x:c>
      <x:c r="F10" s="17" t="str">
        <x:v>制度利用OEM</x:v>
      </x:c>
      <x:c r="G10" s="17" t="str">
        <x:v>期限</x:v>
      </x:c>
      <x:c r="H10" s="18" t="d">
        <x:v>2026-12-31T00:00:00.000Z</x:v>
      </x:c>
      <x:c r="I10" s="18" t="d">
        <x:v>2026-12-31T00:00:00.000Z</x:v>
      </x:c>
      <x:c r="J10" s="18" t="d">
        <x:v>2023-11-01T00:00:00.000Z</x:v>
      </x:c>
      <x:c r="K10" s="17" t="str">
        <x:v>日付確定</x:v>
      </x:c>
      <x:c r="L10" s="17" t="str">
        <x:v>輸入1台に対し国内生産2台：2026年まで</x:v>
      </x:c>
      <x:c r="M10" s="17" t="str">
        <x:v>在庫次第で価格圧力</x:v>
      </x:c>
      <x:c r="N10" s="17" t="str">
        <x:v>補填生産の期限</x:v>
      </x:c>
      <x:c r="O10" s="17" t="str">
        <x:v>生産増→在庫増→販促強化の可能性。販売割当ではない</x:v>
      </x:c>
      <x:c r="P10" s="17" t="str">
        <x:v>国内生産・在庫・値引きと販売を併読</x:v>
      </x:c>
      <x:c r="Q10" s="19" t="str">
        <x:v>https://www.boi.go.th/upload/content/EV%203.5ENG.pdf</x:v>
      </x:c>
      <x:c r="R10" s="17" t="str">
        <x:v>BOI公式資料の対象制度・決定</x:v>
      </x:c>
      <x:c r="S10" s="17" t="str">
        <x:v>1か月の色は期限の所在。12月だけに生産義務がある意味ではない。</x:v>
      </x:c>
      <x:c r="T10" s="18" t="d">
        <x:v>2026-10-07T00:00:00.000Z</x:v>
      </x:c>
      <x:c r="U10" s="17" t="str">
        <x:f>IF(H10="","",TEXT(H10,"yyyy-mm"))</x:f>
        <x:v>2026-12</x:v>
      </x:c>
      <x:c r="V10" s="17" t="str">
        <x:f>IF(I10="","",TEXT(I10,"yyyy-mm"))</x:f>
        <x:v>2026-12</x:v>
      </x:c>
      <x:c r="W10" s="17" t="str">
        <x:f>IF(H10="","",TEXT(EDATE(H10,-3),"yyyy-mm")&amp;"〜"&amp;TEXT(EDATE(H10,-1),"yyyy-mm"))</x:f>
        <x:v>2026-09〜2026-11</x:v>
      </x:c>
      <x:c r="X10" s="17" t="str">
        <x:f>IF(I10="","",TEXT(EDATE(I10,-2),"yyyy-mm")&amp;"〜"&amp;TEXT(I10,"yyyy-mm"))</x:f>
        <x:v>2026-10〜2026-12</x:v>
      </x:c>
      <x:c r="Y10" s="17" t="str">
        <x:v>国籍による一律優遇と決めず、対象動力・CBU/CKD・個社認定で比較</x:v>
      </x:c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</x:row>
    <x:row r="11" ht="85" customHeight="1">
      <x:c r="A11" s="17" t="str">
        <x:v>TH06</x:v>
      </x:c>
      <x:c r="B11" s="17" t="str">
        <x:v>タイ</x:v>
      </x:c>
      <x:c r="C11" s="17" t="str">
        <x:v>EV3.5：国内生産3倍期限</x:v>
      </x:c>
      <x:c r="D11" s="17" t="str">
        <x:v>生産義務</x:v>
      </x:c>
      <x:c r="E11" s="17" t="str">
        <x:v>BEV</x:v>
      </x:c>
      <x:c r="F11" s="17" t="str">
        <x:v>制度利用OEM</x:v>
      </x:c>
      <x:c r="G11" s="17" t="str">
        <x:v>期限</x:v>
      </x:c>
      <x:c r="H11" s="18" t="d">
        <x:v>2027-12-31T00:00:00.000Z</x:v>
      </x:c>
      <x:c r="I11" s="18" t="d">
        <x:v>2027-12-31T00:00:00.000Z</x:v>
      </x:c>
      <x:c r="J11" s="18" t="d">
        <x:v>2023-11-01T00:00:00.000Z</x:v>
      </x:c>
      <x:c r="K11" s="17" t="str">
        <x:v>日付確定</x:v>
      </x:c>
      <x:c r="L11" s="17" t="str">
        <x:v>2027年までの場合：輸入1台に国内生産3台</x:v>
      </x:c>
      <x:c r="M11" s="17" t="str">
        <x:v>在庫次第で価格圧力</x:v>
      </x:c>
      <x:c r="N11" s="17" t="str">
        <x:v>補填生産の期限</x:v>
      </x:c>
      <x:c r="O11" s="17" t="str">
        <x:v>期限に向けて供給が拡大し得る。個社計画の確認が必要</x:v>
      </x:c>
      <x:c r="P11" s="17" t="str">
        <x:v>輸出・国内販売・生産を分離</x:v>
      </x:c>
      <x:c r="Q11" s="19" t="str">
        <x:v>https://www.boi.go.th/upload/content/EV%203.5ENG.pdf</x:v>
      </x:c>
      <x:c r="R11" s="17" t="str">
        <x:v>BOI公式資料の対象制度・決定</x:v>
      </x:c>
      <x:c r="S11" s="17" t="str"/>
      <x:c r="T11" s="18" t="d">
        <x:v>2026-10-07T00:00:00.000Z</x:v>
      </x:c>
      <x:c r="U11" s="17" t="str">
        <x:f>IF(H11="","",TEXT(H11,"yyyy-mm"))</x:f>
        <x:v>2027-12</x:v>
      </x:c>
      <x:c r="V11" s="17" t="str">
        <x:f>IF(I11="","",TEXT(I11,"yyyy-mm"))</x:f>
        <x:v>2027-12</x:v>
      </x:c>
      <x:c r="W11" s="17" t="str">
        <x:f>IF(H11="","",TEXT(EDATE(H11,-3),"yyyy-mm")&amp;"〜"&amp;TEXT(EDATE(H11,-1),"yyyy-mm"))</x:f>
        <x:v>2027-09〜2027-11</x:v>
      </x:c>
      <x:c r="X11" s="17" t="str">
        <x:f>IF(I11="","",TEXT(EDATE(I11,-2),"yyyy-mm")&amp;"〜"&amp;TEXT(I11,"yyyy-mm"))</x:f>
        <x:v>2027-10〜2027-12</x:v>
      </x:c>
      <x:c r="Y11" s="17" t="str">
        <x:v>国籍による一律優遇と決めず、対象動力・CBU/CKD・個社認定で比較</x:v>
      </x:c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</x:row>
    <x:row r="12" ht="85" customHeight="1">
      <x:c r="A12" s="17" t="str">
        <x:v>TH07</x:v>
      </x:c>
      <x:c r="B12" s="17" t="str">
        <x:v>タイ</x:v>
      </x:c>
      <x:c r="C12" s="17" t="str">
        <x:v>輸出1台＝補填1.5台の決定</x:v>
      </x:c>
      <x:c r="D12" s="17" t="str">
        <x:v>発表・見直し</x:v>
      </x:c>
      <x:c r="E12" s="17" t="str">
        <x:v>BEV</x:v>
      </x:c>
      <x:c r="F12" s="17" t="str">
        <x:v>EV3/EV3.5参加OEM</x:v>
      </x:c>
      <x:c r="G12" s="17" t="str">
        <x:v>当局決定</x:v>
      </x:c>
      <x:c r="H12" s="18"/>
      <x:c r="I12" s="18"/>
      <x:c r="J12" s="18" t="d">
        <x:v>2025-07-30T00:00:00.000Z</x:v>
      </x:c>
      <x:c r="K12" s="17" t="str">
        <x:v>決定日・施行未確認</x:v>
      </x:c>
      <x:c r="L12" s="17" t="str">
        <x:v>輸出の補填計算を1.5倍にする決定</x:v>
      </x:c>
      <x:c r="M12" s="17" t="str">
        <x:v>国内値下げ圧力の緩和余地</x:v>
      </x:c>
      <x:c r="N12" s="17" t="str">
        <x:v>輸出への供給分散</x:v>
      </x:c>
      <x:c r="O12" s="17" t="str">
        <x:v>国内販売急増を義務で説明する仮説が弱まる可能性</x:v>
      </x:c>
      <x:c r="P12" s="17" t="str">
        <x:v>国内販売対輸出、生産との差</x:v>
      </x:c>
      <x:c r="Q12" s="19" t="str">
        <x:v>https://www.boi.go.th/upload/content/PR97_2568EN.pdf</x:v>
      </x:c>
      <x:c r="R12" s="17" t="str">
        <x:v>BOI公式資料の対象制度・決定</x:v>
      </x:c>
      <x:c r="S12" s="17" t="str">
        <x:v>決定月の◆のみ。法的施行日を未確認のまま期間帯にしない。</x:v>
      </x:c>
      <x:c r="T12" s="18" t="d">
        <x:v>2026-10-07T00:00:00.000Z</x:v>
      </x:c>
      <x:c r="U12" s="17" t="str">
        <x:f>IF(H12="","",TEXT(H12,"yyyy-mm"))</x:f>
      </x:c>
      <x:c r="V12" s="17" t="str">
        <x:f>IF(I12="","",TEXT(I12,"yyyy-mm"))</x:f>
      </x:c>
      <x:c r="W12" s="17" t="str">
        <x:f>IF(H12="","",TEXT(EDATE(H12,-3),"yyyy-mm")&amp;"〜"&amp;TEXT(EDATE(H12,-1),"yyyy-mm"))</x:f>
      </x:c>
      <x:c r="X12" s="17" t="str">
        <x:f>IF(I12="","",TEXT(EDATE(I12,-2),"yyyy-mm")&amp;"〜"&amp;TEXT(I12,"yyyy-mm"))</x:f>
      </x:c>
      <x:c r="Y12" s="17" t="str">
        <x:v>国籍による一律優遇と決めず、対象動力・CBU/CKD・個社認定で比較</x:v>
      </x:c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</x:row>
    <x:row r="13" ht="85" customHeight="1">
      <x:c r="A13" s="17" t="str">
        <x:v>TH08</x:v>
      </x:c>
      <x:c r="B13" s="17" t="str">
        <x:v>タイ</x:v>
      </x:c>
      <x:c r="C13" s="17" t="str">
        <x:v>EV3販売期限・登録猶予</x:v>
      </x:c>
      <x:c r="D13" s="17" t="str">
        <x:v>期限・猶予</x:v>
      </x:c>
      <x:c r="E13" s="17" t="str">
        <x:v>BEV</x:v>
      </x:c>
      <x:c r="F13" s="17" t="str">
        <x:v>EV3適格販売分</x:v>
      </x:c>
      <x:c r="G13" s="17" t="str">
        <x:v>成立・適用期間確認</x:v>
      </x:c>
      <x:c r="H13" s="18" t="d">
        <x:v>2025-12-31T00:00:00.000Z</x:v>
      </x:c>
      <x:c r="I13" s="18" t="d">
        <x:v>2026-01-31T00:00:00.000Z</x:v>
      </x:c>
      <x:c r="J13" s="18" t="d">
        <x:v>2025-11-25T00:00:00.000Z</x:v>
      </x:c>
      <x:c r="K13" s="17" t="str">
        <x:v>日付確定</x:v>
      </x:c>
      <x:c r="L13" s="17" t="str">
        <x:v>販売は2025年末まで、登録は2026年1月末まで</x:v>
      </x:c>
      <x:c r="M13" s="17" t="str">
        <x:v>制度終了前の購入誘因</x:v>
      </x:c>
      <x:c r="N13" s="17" t="str">
        <x:v>登録と販売月にずれ</x:v>
      </x:c>
      <x:c r="O13" s="17" t="str">
        <x:v>12月の契約と1月の登録増は同じ需要を二重評価しない</x:v>
      </x:c>
      <x:c r="P13" s="17" t="str">
        <x:v>卸売/小売/登録の統計定義</x:v>
      </x:c>
      <x:c r="Q13" s="19" t="str">
        <x:v>https://www.boi.go.th/upload/content/PR168_2568EN.pdf</x:v>
      </x:c>
      <x:c r="R13" s="17" t="str">
        <x:v>BOI公式資料の対象制度・決定</x:v>
      </x:c>
      <x:c r="S13" s="17" t="str">
        <x:v>帯は販売期限〜登録猶予の位置。新規購入補助期間の延長ではない。</x:v>
      </x:c>
      <x:c r="T13" s="18" t="d">
        <x:v>2026-10-07T00:00:00.000Z</x:v>
      </x:c>
      <x:c r="U13" s="17" t="str">
        <x:f>IF(H13="","",TEXT(H13,"yyyy-mm"))</x:f>
        <x:v>2025-12</x:v>
      </x:c>
      <x:c r="V13" s="17" t="str">
        <x:f>IF(I13="","",TEXT(I13,"yyyy-mm"))</x:f>
        <x:v>2026-01</x:v>
      </x:c>
      <x:c r="W13" s="17" t="str">
        <x:f>IF(H13="","",TEXT(EDATE(H13,-3),"yyyy-mm")&amp;"〜"&amp;TEXT(EDATE(H13,-1),"yyyy-mm"))</x:f>
        <x:v>2025-09〜2025-11</x:v>
      </x:c>
      <x:c r="X13" s="17" t="str">
        <x:f>IF(I13="","",TEXT(EDATE(I13,-2),"yyyy-mm")&amp;"〜"&amp;TEXT(I13,"yyyy-mm"))</x:f>
        <x:v>2025-11〜2026-01</x:v>
      </x:c>
      <x:c r="Y13" s="17" t="str">
        <x:v>国籍による一律優遇と決めず、対象動力・CBU/CKD・個社認定で比較</x:v>
      </x:c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</x:row>
    <x:row r="14" ht="85" customHeight="1">
      <x:c r="A14" s="17" t="str">
        <x:v>TH09</x:v>
      </x:c>
      <x:c r="B14" s="17" t="str">
        <x:v>タイ</x:v>
      </x:c>
      <x:c r="C14" s="17" t="str">
        <x:v>2026年物品税再編の原則合意</x:v>
      </x:c>
      <x:c r="D14" s="17" t="str">
        <x:v>発表・見直し</x:v>
      </x:c>
      <x:c r="E14" s="17" t="str">
        <x:v>複数動力</x:v>
      </x:c>
      <x:c r="F14" s="17" t="str">
        <x:v>税制全体</x:v>
      </x:c>
      <x:c r="G14" s="17" t="str">
        <x:v>原則合意・未施行確認</x:v>
      </x:c>
      <x:c r="H14" s="18"/>
      <x:c r="I14" s="18"/>
      <x:c r="J14" s="18" t="d">
        <x:v>2026-09-10T00:00:00.000Z</x:v>
      </x:c>
      <x:c r="K14" s="17" t="str">
        <x:v>決定日・施行未確認</x:v>
      </x:c>
      <x:c r="L14" s="17" t="str">
        <x:v>原則合意段階。施行日・最終税率は別途確認</x:v>
      </x:c>
      <x:c r="M14" s="17" t="str">
        <x:v>将来価格への期待</x:v>
      </x:c>
      <x:c r="N14" s="17" t="str">
        <x:v>投資判断への期待</x:v>
      </x:c>
      <x:c r="O14" s="17" t="str">
        <x:v>買い控え/前倒しの可能性のみ。成立済み減税として扱わない</x:v>
      </x:c>
      <x:c r="P14" s="17" t="str">
        <x:v>公布・個社価格改定の追跡</x:v>
      </x:c>
      <x:c r="Q14" s="19" t="str">
        <x:v>https://osos.boi.go.th/EN/news/2475/Thailand-Overhauls-Vehicle-Excise-Tax-as-EVs-Capture-55-of</x:v>
      </x:c>
      <x:c r="R14" s="17" t="str">
        <x:v>BOI公式資料の対象制度・決定</x:v>
      </x:c>
      <x:c r="S14" s="17" t="str"/>
      <x:c r="T14" s="18" t="d">
        <x:v>2026-10-07T00:00:00.000Z</x:v>
      </x:c>
      <x:c r="U14" s="17" t="str">
        <x:f>IF(H14="","",TEXT(H14,"yyyy-mm"))</x:f>
      </x:c>
      <x:c r="V14" s="17" t="str">
        <x:f>IF(I14="","",TEXT(I14,"yyyy-mm"))</x:f>
      </x:c>
      <x:c r="W14" s="17" t="str">
        <x:f>IF(H14="","",TEXT(EDATE(H14,-3),"yyyy-mm")&amp;"〜"&amp;TEXT(EDATE(H14,-1),"yyyy-mm"))</x:f>
      </x:c>
      <x:c r="X14" s="17" t="str">
        <x:f>IF(I14="","",TEXT(EDATE(I14,-2),"yyyy-mm")&amp;"〜"&amp;TEXT(I14,"yyyy-mm"))</x:f>
      </x:c>
      <x:c r="Y14" s="17" t="str">
        <x:v>国籍による一律優遇と決めず、対象動力・CBU/CKD・個社認定で比較</x:v>
      </x:c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</x:row>
    <x:row r="15" ht="85" customHeight="1">
      <x:c r="A15" s="17" t="str">
        <x:v>ID01</x:v>
      </x:c>
      <x:c r="B15" s="17" t="str">
        <x:v>インドネシア</x:v>
      </x:c>
      <x:c r="C15" s="17" t="str">
        <x:v>BEV：VAT政府負担2023</x:v>
      </x:c>
      <x:c r="D15" s="17" t="str">
        <x:v>購入優遇</x:v>
      </x:c>
      <x:c r="E15" s="17" t="str">
        <x:v>BEV</x:v>
      </x:c>
      <x:c r="F15" s="17" t="str">
        <x:v>国内生産・TKDN≥40%</x:v>
      </x:c>
      <x:c r="G15" s="17" t="str">
        <x:v>成立・適用期間確認</x:v>
      </x:c>
      <x:c r="H15" s="18" t="d">
        <x:v>2023-04-01T00:00:00.000Z</x:v>
      </x:c>
      <x:c r="I15" s="18" t="d">
        <x:v>2023-12-31T00:00:00.000Z</x:v>
      </x:c>
      <x:c r="J15" s="18" t="d">
        <x:v>2023-04-01T00:00:00.000Z</x:v>
      </x:c>
      <x:c r="K15" s="17" t="str">
        <x:v>日付確定</x:v>
      </x:c>
      <x:c r="L15" s="17" t="str">
        <x:v>販売価格の10%分を政府負担（通常VAT11%）</x:v>
      </x:c>
      <x:c r="M15" s="17" t="str">
        <x:v>購入者のVAT負担1%相当</x:v>
      </x:c>
      <x:c r="N15" s="17" t="str">
        <x:v>適格国内生産車を優遇</x:v>
      </x:c>
      <x:c r="O15" s="17" t="str">
        <x:v>適格型式の価格低下・販売増を想定</x:v>
      </x:c>
      <x:c r="P15" s="17" t="str">
        <x:v>TKDN適格/非適格、CBU/国内生産</x:v>
      </x:c>
      <x:c r="Q15" s="19" t="str">
        <x:v>https://www.kemenkeu.go.id/informasi-publik/publikasi/siaran-pers/Pemerintah-Luncurkan-Insentif-Pembelian-KBLBB</x:v>
      </x:c>
      <x:c r="R15" s="17" t="str">
        <x:v>制度本文・適用期間・義務条項</x:v>
      </x:c>
      <x:c r="S15" s="17" t="str"/>
      <x:c r="T15" s="18" t="d">
        <x:v>2026-10-07T00:00:00.000Z</x:v>
      </x:c>
      <x:c r="U15" s="17" t="str">
        <x:f>IF(H15="","",TEXT(H15,"yyyy-mm"))</x:f>
        <x:v>2023-04</x:v>
      </x:c>
      <x:c r="V15" s="17" t="str">
        <x:f>IF(I15="","",TEXT(I15,"yyyy-mm"))</x:f>
        <x:v>2023-12</x:v>
      </x:c>
      <x:c r="W15" s="17" t="str">
        <x:f>IF(H15="","",TEXT(EDATE(H15,-3),"yyyy-mm")&amp;"〜"&amp;TEXT(EDATE(H15,-1),"yyyy-mm"))</x:f>
        <x:v>2023-01〜2023-03</x:v>
      </x:c>
      <x:c r="X15" s="17" t="str">
        <x:f>IF(I15="","",TEXT(EDATE(I15,-2),"yyyy-mm")&amp;"〜"&amp;TEXT(I15,"yyyy-mm"))</x:f>
        <x:v>2023-10〜2023-12</x:v>
      </x:c>
      <x:c r="Y15" s="17" t="str">
        <x:v>国籍による一律優遇と決めず、対象動力・CBU/CKD・個社認定で比較</x:v>
      </x:c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</x:row>
    <x:row r="16" ht="85" customHeight="1">
      <x:c r="A16" s="17" t="str">
        <x:v>ID02</x:v>
      </x:c>
      <x:c r="B16" s="17" t="str">
        <x:v>インドネシア</x:v>
      </x:c>
      <x:c r="C16" s="17" t="str">
        <x:v>BEV：VAT政府負担2024</x:v>
      </x:c>
      <x:c r="D16" s="17" t="str">
        <x:v>購入優遇</x:v>
      </x:c>
      <x:c r="E16" s="17" t="str">
        <x:v>BEV</x:v>
      </x:c>
      <x:c r="F16" s="17" t="str">
        <x:v>国内生産・TKDN≥40%</x:v>
      </x:c>
      <x:c r="G16" s="17" t="str">
        <x:v>成立・適用期間確認</x:v>
      </x:c>
      <x:c r="H16" s="18" t="d">
        <x:v>2024-01-01T00:00:00.000Z</x:v>
      </x:c>
      <x:c r="I16" s="18" t="d">
        <x:v>2024-12-31T00:00:00.000Z</x:v>
      </x:c>
      <x:c r="J16" s="18" t="d">
        <x:v>2024-02-15T00:00:00.000Z</x:v>
      </x:c>
      <x:c r="K16" s="17" t="str">
        <x:v>日付確定</x:v>
      </x:c>
      <x:c r="L16" s="17" t="str">
        <x:v>販売価格の10%分を政府負担（通常VAT11%）</x:v>
      </x:c>
      <x:c r="M16" s="17" t="str">
        <x:v>購入者のVAT負担1%相当</x:v>
      </x:c>
      <x:c r="N16" s="17" t="str">
        <x:v>国内生産の優位</x:v>
      </x:c>
      <x:c r="O16" s="17" t="str">
        <x:v>公表は2月、対象期間は1月から。遡及適用と期待を分離</x:v>
      </x:c>
      <x:c r="P16" s="17" t="str">
        <x:v>2023/2024同月、型式認定日</x:v>
      </x:c>
      <x:c r="Q16" s="19" t="str">
        <x:v>https://pajak.go.id/id/peraturan/pajak-pertambahan-nilai-atas-penyerahan-kendaraan-bermotor-listrik-berbasis-baterai-0</x:v>
      </x:c>
      <x:c r="R16" s="17" t="str">
        <x:v>制度本文・適用期間・義務条項</x:v>
      </x:c>
      <x:c r="S16" s="17" t="str"/>
      <x:c r="T16" s="18" t="d">
        <x:v>2026-10-07T00:00:00.000Z</x:v>
      </x:c>
      <x:c r="U16" s="17" t="str">
        <x:f>IF(H16="","",TEXT(H16,"yyyy-mm"))</x:f>
        <x:v>2024-01</x:v>
      </x:c>
      <x:c r="V16" s="17" t="str">
        <x:f>IF(I16="","",TEXT(I16,"yyyy-mm"))</x:f>
        <x:v>2024-12</x:v>
      </x:c>
      <x:c r="W16" s="17" t="str">
        <x:f>IF(H16="","",TEXT(EDATE(H16,-3),"yyyy-mm")&amp;"〜"&amp;TEXT(EDATE(H16,-1),"yyyy-mm"))</x:f>
        <x:v>2023-10〜2023-12</x:v>
      </x:c>
      <x:c r="X16" s="17" t="str">
        <x:f>IF(I16="","",TEXT(EDATE(I16,-2),"yyyy-mm")&amp;"〜"&amp;TEXT(I16,"yyyy-mm"))</x:f>
        <x:v>2024-10〜2024-12</x:v>
      </x:c>
      <x:c r="Y16" s="17" t="str">
        <x:v>国籍による一律優遇と決めず、対象動力・CBU/CKD・個社認定で比較</x:v>
      </x:c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</x:row>
    <x:row r="17" ht="85" customHeight="1">
      <x:c r="A17" s="17" t="str">
        <x:v>ID03</x:v>
      </x:c>
      <x:c r="B17" s="17" t="str">
        <x:v>インドネシア</x:v>
      </x:c>
      <x:c r="C17" s="17" t="str">
        <x:v>BEV：VAT政府負担2025</x:v>
      </x:c>
      <x:c r="D17" s="17" t="str">
        <x:v>購入優遇</x:v>
      </x:c>
      <x:c r="E17" s="17" t="str">
        <x:v>BEV</x:v>
      </x:c>
      <x:c r="F17" s="17" t="str">
        <x:v>国内生産・TKDN≥40%</x:v>
      </x:c>
      <x:c r="G17" s="17" t="str">
        <x:v>成立・適用期間確認</x:v>
      </x:c>
      <x:c r="H17" s="18" t="d">
        <x:v>2025-01-01T00:00:00.000Z</x:v>
      </x:c>
      <x:c r="I17" s="18" t="d">
        <x:v>2025-12-31T00:00:00.000Z</x:v>
      </x:c>
      <x:c r="J17" s="18" t="d">
        <x:v>2025-02-04T00:00:00.000Z</x:v>
      </x:c>
      <x:c r="K17" s="17" t="str">
        <x:v>日付確定</x:v>
      </x:c>
      <x:c r="L17" s="17" t="str">
        <x:v>販売価格の10%分を政府負担（通常VAT12%）</x:v>
      </x:c>
      <x:c r="M17" s="17" t="str">
        <x:v>購入者のVAT負担2%相当</x:v>
      </x:c>
      <x:c r="N17" s="17" t="str">
        <x:v>国内生産車を優遇</x:v>
      </x:c>
      <x:c r="O17" s="17" t="str">
        <x:v>前年と同じ補助でも購入者負担は異なる。終了前の前倒し可能性</x:v>
      </x:c>
      <x:c r="P17" s="17" t="str">
        <x:v>税込価格と認定型式、2026成立規則</x:v>
      </x:c>
      <x:c r="Q17" s="19" t="str">
        <x:v>https://pajak.go.id/id/peraturan/pajak-pertambahan-nilai-atas-penyerahan-kendaraan-bermotor-listrik-berbasis-baterai-1</x:v>
      </x:c>
      <x:c r="R17" s="17" t="str">
        <x:v>制度本文・適用期間・義務条項</x:v>
      </x:c>
      <x:c r="S17" s="17" t="str">
        <x:v>2026年への継続を未確認。未確認を「無政策」と断定しない。</x:v>
      </x:c>
      <x:c r="T17" s="18" t="d">
        <x:v>2026-10-07T00:00:00.000Z</x:v>
      </x:c>
      <x:c r="U17" s="17" t="str">
        <x:f>IF(H17="","",TEXT(H17,"yyyy-mm"))</x:f>
        <x:v>2025-01</x:v>
      </x:c>
      <x:c r="V17" s="17" t="str">
        <x:f>IF(I17="","",TEXT(I17,"yyyy-mm"))</x:f>
        <x:v>2025-12</x:v>
      </x:c>
      <x:c r="W17" s="17" t="str">
        <x:f>IF(H17="","",TEXT(EDATE(H17,-3),"yyyy-mm")&amp;"〜"&amp;TEXT(EDATE(H17,-1),"yyyy-mm"))</x:f>
        <x:v>2024-10〜2024-12</x:v>
      </x:c>
      <x:c r="X17" s="17" t="str">
        <x:f>IF(I17="","",TEXT(EDATE(I17,-2),"yyyy-mm")&amp;"〜"&amp;TEXT(I17,"yyyy-mm"))</x:f>
        <x:v>2025-10〜2025-12</x:v>
      </x:c>
      <x:c r="Y17" s="17" t="str">
        <x:v>国籍による一律優遇と決めず、対象動力・CBU/CKD・個社認定で比較</x:v>
      </x:c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</x:row>
    <x:row r="18" ht="85" customHeight="1">
      <x:c r="A18" s="17" t="str">
        <x:v>ID04</x:v>
      </x:c>
      <x:c r="B18" s="17" t="str">
        <x:v>インドネシア</x:v>
      </x:c>
      <x:c r="C18" s="17" t="str">
        <x:v>HEV等：PPnBM政府負担</x:v>
      </x:c>
      <x:c r="D18" s="17" t="str">
        <x:v>購入優遇</x:v>
      </x:c>
      <x:c r="E18" s="17" t="str">
        <x:v>HEV/PHEV/MHEV</x:v>
      </x:c>
      <x:c r="F18" s="17" t="str">
        <x:v>認定LCEVの対象型式</x:v>
      </x:c>
      <x:c r="G18" s="17" t="str">
        <x:v>成立・適用期間確認</x:v>
      </x:c>
      <x:c r="H18" s="18" t="d">
        <x:v>2025-01-01T00:00:00.000Z</x:v>
      </x:c>
      <x:c r="I18" s="18" t="d">
        <x:v>2025-12-31T00:00:00.000Z</x:v>
      </x:c>
      <x:c r="J18" s="18" t="d">
        <x:v>2025-02-04T00:00:00.000Z</x:v>
      </x:c>
      <x:c r="K18" s="17" t="str">
        <x:v>日付確定</x:v>
      </x:c>
      <x:c r="L18" s="17" t="str">
        <x:v>販売価格の3%分のPPnBMを政府負担</x:v>
      </x:c>
      <x:c r="M18" s="17" t="str">
        <x:v>認定車の購入負担低下</x:v>
      </x:c>
      <x:c r="N18" s="17" t="str">
        <x:v>型式認定が条件</x:v>
      </x:c>
      <x:c r="O18" s="17" t="str">
        <x:v>BEVだけでなくHEVの販売を押し上げる可能性</x:v>
      </x:c>
      <x:c r="P18" s="17" t="str">
        <x:v>適格HEV/非適格、ICE同クラス</x:v>
      </x:c>
      <x:c r="Q18" s="19" t="str">
        <x:v>https://pajak.go.id/id/peraturan/pajak-pertambahan-nilai-atas-penyerahan-kendaraan-bermotor-listrik-berbasis-baterai-1</x:v>
      </x:c>
      <x:c r="R18" s="17" t="str">
        <x:v>制度本文・適用期間・義務条項</x:v>
      </x:c>
      <x:c r="S18" s="17" t="str"/>
      <x:c r="T18" s="18" t="d">
        <x:v>2026-10-07T00:00:00.000Z</x:v>
      </x:c>
      <x:c r="U18" s="17" t="str">
        <x:f>IF(H18="","",TEXT(H18,"yyyy-mm"))</x:f>
        <x:v>2025-01</x:v>
      </x:c>
      <x:c r="V18" s="17" t="str">
        <x:f>IF(I18="","",TEXT(I18,"yyyy-mm"))</x:f>
        <x:v>2025-12</x:v>
      </x:c>
      <x:c r="W18" s="17" t="str">
        <x:f>IF(H18="","",TEXT(EDATE(H18,-3),"yyyy-mm")&amp;"〜"&amp;TEXT(EDATE(H18,-1),"yyyy-mm"))</x:f>
        <x:v>2024-10〜2024-12</x:v>
      </x:c>
      <x:c r="X18" s="17" t="str">
        <x:f>IF(I18="","",TEXT(EDATE(I18,-2),"yyyy-mm")&amp;"〜"&amp;TEXT(I18,"yyyy-mm"))</x:f>
        <x:v>2025-10〜2025-12</x:v>
      </x:c>
      <x:c r="Y18" s="17" t="str">
        <x:v>国籍による一律優遇と決めず、対象動力・CBU/CKD・個社認定で比較</x:v>
      </x:c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</x:row>
    <x:row r="19" ht="85" customHeight="1">
      <x:c r="A19" s="17" t="str">
        <x:v>ID05</x:v>
      </x:c>
      <x:c r="B19" s="17" t="str">
        <x:v>インドネシア</x:v>
      </x:c>
      <x:c r="C19" s="17" t="str">
        <x:v>投資連動CBU/CKD輸入恩典</x:v>
      </x:c>
      <x:c r="D19" s="17" t="str">
        <x:v>輸入条件</x:v>
      </x:c>
      <x:c r="E19" s="17" t="str">
        <x:v>BEV</x:v>
      </x:c>
      <x:c r="F19" s="17" t="str">
        <x:v>個社投資承認・要保証</x:v>
      </x:c>
      <x:c r="G19" s="17" t="str">
        <x:v>年度・個社承認依存</x:v>
      </x:c>
      <x:c r="H19" s="18" t="d">
        <x:v>2024-01-01T00:00:00.000Z</x:v>
      </x:c>
      <x:c r="I19" s="18" t="d">
        <x:v>2025-12-31T00:00:00.000Z</x:v>
      </x:c>
      <x:c r="J19" s="18"/>
      <x:c r="K19" s="17" t="str">
        <x:v>年度の月次キー</x:v>
      </x:c>
      <x:c r="L19" s="17" t="str">
        <x:v>CBU関税0・PPnBM政府負担等。承認期間・条件別</x:v>
      </x:c>
      <x:c r="M19" s="17" t="str">
        <x:v>輸入時の負担低下</x:v>
      </x:c>
      <x:c r="N19" s="17" t="str">
        <x:v>国内投資前に供給可能</x:v>
      </x:c>
      <x:c r="O19" s="17" t="str">
        <x:v>CBUブランド参入・販売増。ただし全BEVに自動適用ではない</x:v>
      </x:c>
      <x:c r="P19" s="17" t="str">
        <x:v>個社承認、CBU販売、現地化の時期</x:v>
      </x:c>
      <x:c r="Q19" s="19" t="str">
        <x:v>https://jdih-storage.bkpm.go.id/jdih/userfiles/documents/2024/4/2023Permeninvest006English.pdf</x:v>
      </x:c>
      <x:c r="R19" s="17" t="str">
        <x:v>制度本文・適用期間・義務条項</x:v>
      </x:c>
      <x:c r="S19" s="17" t="str">
        <x:v>始期は2024年度の月次表示用キーで、個社の法的適用開始日ではない。2026へ自動延長しない。</x:v>
      </x:c>
      <x:c r="T19" s="18" t="d">
        <x:v>2026-10-07T00:00:00.000Z</x:v>
      </x:c>
      <x:c r="U19" s="17" t="str">
        <x:f>IF(H19="","",TEXT(H19,"yyyy-mm"))</x:f>
        <x:v>2024-01</x:v>
      </x:c>
      <x:c r="V19" s="17" t="str">
        <x:f>IF(I19="","",TEXT(I19,"yyyy-mm"))</x:f>
        <x:v>2025-12</x:v>
      </x:c>
      <x:c r="W19" s="17" t="str">
        <x:f>IF(H19="","",TEXT(EDATE(H19,-3),"yyyy-mm")&amp;"〜"&amp;TEXT(EDATE(H19,-1),"yyyy-mm"))</x:f>
        <x:v>2023-10〜2023-12</x:v>
      </x:c>
      <x:c r="X19" s="17" t="str">
        <x:f>IF(I19="","",TEXT(EDATE(I19,-2),"yyyy-mm")&amp;"〜"&amp;TEXT(I19,"yyyy-mm"))</x:f>
        <x:v>2025-10〜2025-12</x:v>
      </x:c>
      <x:c r="Y19" s="17" t="str">
        <x:v>国籍による一律優遇と決めず、対象動力・CBU/CKD・個社認定で比較</x:v>
      </x:c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</x:row>
    <x:row r="20" ht="85" customHeight="1">
      <x:c r="A20" s="17" t="str">
        <x:v>ID06</x:v>
      </x:c>
      <x:c r="B20" s="17" t="str">
        <x:v>インドネシア</x:v>
      </x:c>
      <x:c r="C20" s="17" t="str">
        <x:v>商業生産開始の期限</x:v>
      </x:c>
      <x:c r="D20" s="17" t="str">
        <x:v>生産義務</x:v>
      </x:c>
      <x:c r="E20" s="17" t="str">
        <x:v>BEV</x:v>
      </x:c>
      <x:c r="F20" s="17" t="str">
        <x:v>輸入恩典利用OEM</x:v>
      </x:c>
      <x:c r="G20" s="17" t="str">
        <x:v>期限</x:v>
      </x:c>
      <x:c r="H20" s="18" t="d">
        <x:v>2026-01-01T00:00:00.000Z</x:v>
      </x:c>
      <x:c r="I20" s="18" t="d">
        <x:v>2026-01-01T00:00:00.000Z</x:v>
      </x:c>
      <x:c r="J20" s="18"/>
      <x:c r="K20" s="17" t="str">
        <x:v>日付確定</x:v>
      </x:c>
      <x:c r="L20" s="17" t="str">
        <x:v>2026年1月1日までに商業生産開始可能な状態</x:v>
      </x:c>
      <x:c r="M20" s="17" t="str">
        <x:v>CKD移行時の価格変化</x:v>
      </x:c>
      <x:c r="N20" s="17" t="str">
        <x:v>国内工場稼働の期限</x:v>
      </x:c>
      <x:c r="O20" s="17" t="str">
        <x:v>供給開始・輸入から生産への切替を検証</x:v>
      </x:c>
      <x:c r="P20" s="17" t="str">
        <x:v>工場稼働日、実生産、型式別供給</x:v>
      </x:c>
      <x:c r="Q20" s="19" t="str">
        <x:v>https://jdih-storage.bkpm.go.id/jdih/userfiles/documents/2024/4/2023Permeninvest006English.pdf</x:v>
      </x:c>
      <x:c r="R20" s="17" t="str">
        <x:v>制度本文・適用期間・義務条項</x:v>
      </x:c>
      <x:c r="S20" s="17" t="str"/>
      <x:c r="T20" s="18" t="d">
        <x:v>2026-10-07T00:00:00.000Z</x:v>
      </x:c>
      <x:c r="U20" s="17" t="str">
        <x:f>IF(H20="","",TEXT(H20,"yyyy-mm"))</x:f>
        <x:v>2026-01</x:v>
      </x:c>
      <x:c r="V20" s="17" t="str">
        <x:f>IF(I20="","",TEXT(I20,"yyyy-mm"))</x:f>
        <x:v>2026-01</x:v>
      </x:c>
      <x:c r="W20" s="17" t="str">
        <x:f>IF(H20="","",TEXT(EDATE(H20,-3),"yyyy-mm")&amp;"〜"&amp;TEXT(EDATE(H20,-1),"yyyy-mm"))</x:f>
        <x:v>2025-10〜2025-12</x:v>
      </x:c>
      <x:c r="X20" s="17" t="str">
        <x:f>IF(I20="","",TEXT(EDATE(I20,-2),"yyyy-mm")&amp;"〜"&amp;TEXT(I20,"yyyy-mm"))</x:f>
        <x:v>2025-11〜2026-01</x:v>
      </x:c>
      <x:c r="Y20" s="17" t="str">
        <x:v>国籍による一律優遇と決めず、対象動力・CBU/CKD・個社認定で比較</x:v>
      </x:c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</x:row>
    <x:row r="21" ht="85" customHeight="1">
      <x:c r="A21" s="17" t="str">
        <x:v>ID07</x:v>
      </x:c>
      <x:c r="B21" s="17" t="str">
        <x:v>インドネシア</x:v>
      </x:c>
      <x:c r="C21" s="17" t="str">
        <x:v>輸入分の補填生産期限</x:v>
      </x:c>
      <x:c r="D21" s="17" t="str">
        <x:v>生産義務</x:v>
      </x:c>
      <x:c r="E21" s="17" t="str">
        <x:v>BEV</x:v>
      </x:c>
      <x:c r="F21" s="17" t="str">
        <x:v>輸入恩典利用OEM</x:v>
      </x:c>
      <x:c r="G21" s="17" t="str">
        <x:v>期限</x:v>
      </x:c>
      <x:c r="H21" s="18" t="d">
        <x:v>2027-12-31T00:00:00.000Z</x:v>
      </x:c>
      <x:c r="I21" s="18" t="d">
        <x:v>2027-12-31T00:00:00.000Z</x:v>
      </x:c>
      <x:c r="J21" s="18"/>
      <x:c r="K21" s="17" t="str">
        <x:v>日付確定</x:v>
      </x:c>
      <x:c r="L21" s="17" t="str">
        <x:v>輸入恩典車と同等以上の台数・技術仕様を国内生産</x:v>
      </x:c>
      <x:c r="M21" s="17" t="str">
        <x:v>過剰在庫なら販促圧力</x:v>
      </x:c>
      <x:c r="N21" s="17" t="str">
        <x:v>2027年末までの履行</x:v>
      </x:c>
      <x:c r="O21" s="17" t="str">
        <x:v>販売急増と生産急増を同義にしない</x:v>
      </x:c>
      <x:c r="P21" s="17" t="str">
        <x:v>生産・輸出・在庫、契約の具体条件</x:v>
      </x:c>
      <x:c r="Q21" s="19" t="str">
        <x:v>https://jdih-storage.bkpm.go.id/jdih/userfiles/documents/2024/4/2023Permeninvest006English.pdf</x:v>
      </x:c>
      <x:c r="R21" s="17" t="str">
        <x:v>制度本文・適用期間・義務条項</x:v>
      </x:c>
      <x:c r="S21" s="17" t="str">
        <x:v>保証・未履行時の返還等の条件あり。期限月の印であって月次生産割当ではない。</x:v>
      </x:c>
      <x:c r="T21" s="18" t="d">
        <x:v>2026-10-07T00:00:00.000Z</x:v>
      </x:c>
      <x:c r="U21" s="17" t="str">
        <x:f>IF(H21="","",TEXT(H21,"yyyy-mm"))</x:f>
        <x:v>2027-12</x:v>
      </x:c>
      <x:c r="V21" s="17" t="str">
        <x:f>IF(I21="","",TEXT(I21,"yyyy-mm"))</x:f>
        <x:v>2027-12</x:v>
      </x:c>
      <x:c r="W21" s="17" t="str">
        <x:f>IF(H21="","",TEXT(EDATE(H21,-3),"yyyy-mm")&amp;"〜"&amp;TEXT(EDATE(H21,-1),"yyyy-mm"))</x:f>
        <x:v>2027-09〜2027-11</x:v>
      </x:c>
      <x:c r="X21" s="17" t="str">
        <x:f>IF(I21="","",TEXT(EDATE(I21,-2),"yyyy-mm")&amp;"〜"&amp;TEXT(I21,"yyyy-mm"))</x:f>
        <x:v>2027-10〜2027-12</x:v>
      </x:c>
      <x:c r="Y21" s="17" t="str">
        <x:v>国籍による一律優遇と決めず、対象動力・CBU/CKD・個社認定で比較</x:v>
      </x:c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</x:row>
    <x:row r="22" ht="85" customHeight="1">
      <x:c r="A22" s="17" t="str">
        <x:v>ID08</x:v>
      </x:c>
      <x:c r="B22" s="17" t="str">
        <x:v>インドネシア</x:v>
      </x:c>
      <x:c r="C22" s="17" t="str">
        <x:v>TKDN国内調達基準40%</x:v>
      </x:c>
      <x:c r="D22" s="17" t="str">
        <x:v>生産義務</x:v>
      </x:c>
      <x:c r="E22" s="17" t="str">
        <x:v>BEV</x:v>
      </x:c>
      <x:c r="F22" s="17" t="str">
        <x:v>四輪BEV国内生産</x:v>
      </x:c>
      <x:c r="G22" s="17" t="str">
        <x:v>成立・適用期間確認</x:v>
      </x:c>
      <x:c r="H22" s="18" t="d">
        <x:v>2022-01-01T00:00:00.000Z</x:v>
      </x:c>
      <x:c r="I22" s="18" t="d">
        <x:v>2026-12-31T00:00:00.000Z</x:v>
      </x:c>
      <x:c r="J22" s="18" t="d">
        <x:v>2023-12-08T00:00:00.000Z</x:v>
      </x:c>
      <x:c r="K22" s="17" t="str">
        <x:v>日付確定</x:v>
      </x:c>
      <x:c r="L22" s="17" t="str">
        <x:v>TKDN≥40%（2022〜2026年）</x:v>
      </x:c>
      <x:c r="M22" s="17" t="str">
        <x:v>部材調達と原価に影響</x:v>
      </x:c>
      <x:c r="N22" s="17" t="str">
        <x:v>2023年改正で40%期間延長</x:v>
      </x:c>
      <x:c r="O22" s="17" t="str">
        <x:v>局所的な調達変更・投資。月次販売に即時反映とは限らない</x:v>
      </x:c>
      <x:c r="P22" s="17" t="str">
        <x:v>VAT適格基準とは別項目で管理</x:v>
      </x:c>
      <x:c r="Q22" s="19" t="str">
        <x:v>https://pajak.go.id/id/peraturan/perubahan-atas-peraturan-presiden-nomor-55-tahun-2019-tentang-percepatan-program</x:v>
      </x:c>
      <x:c r="R22" s="17" t="str">
        <x:v>制度本文・適用期間・義務条項</x:v>
      </x:c>
      <x:c r="S22" s="17" t="str">
        <x:v>2023年12月の改正は2019年規則を変更。年区分は月初・月末に展開。</x:v>
      </x:c>
      <x:c r="T22" s="18" t="d">
        <x:v>2026-10-07T00:00:00.000Z</x:v>
      </x:c>
      <x:c r="U22" s="17" t="str">
        <x:f>IF(H22="","",TEXT(H22,"yyyy-mm"))</x:f>
        <x:v>2022-01</x:v>
      </x:c>
      <x:c r="V22" s="17" t="str">
        <x:f>IF(I22="","",TEXT(I22,"yyyy-mm"))</x:f>
        <x:v>2026-12</x:v>
      </x:c>
      <x:c r="W22" s="17" t="str">
        <x:f>IF(H22="","",TEXT(EDATE(H22,-3),"yyyy-mm")&amp;"〜"&amp;TEXT(EDATE(H22,-1),"yyyy-mm"))</x:f>
        <x:v>2021-10〜2021-12</x:v>
      </x:c>
      <x:c r="X22" s="17" t="str">
        <x:f>IF(I22="","",TEXT(EDATE(I22,-2),"yyyy-mm")&amp;"〜"&amp;TEXT(I22,"yyyy-mm"))</x:f>
        <x:v>2026-10〜2026-12</x:v>
      </x:c>
      <x:c r="Y22" s="17" t="str">
        <x:v>国籍による一律優遇と決めず、対象動力・CBU/CKD・個社認定で比較</x:v>
      </x:c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</x:row>
    <x:row r="23" ht="85" customHeight="1">
      <x:c r="A23" s="17" t="str">
        <x:v>ID09</x:v>
      </x:c>
      <x:c r="B23" s="17" t="str">
        <x:v>インドネシア</x:v>
      </x:c>
      <x:c r="C23" s="17" t="str">
        <x:v>TKDN国内調達基準60%</x:v>
      </x:c>
      <x:c r="D23" s="17" t="str">
        <x:v>生産義務</x:v>
      </x:c>
      <x:c r="E23" s="17" t="str">
        <x:v>BEV</x:v>
      </x:c>
      <x:c r="F23" s="17" t="str">
        <x:v>四輪BEV国内生産</x:v>
      </x:c>
      <x:c r="G23" s="17" t="str">
        <x:v>成立・将来予定</x:v>
      </x:c>
      <x:c r="H23" s="18" t="d">
        <x:v>2027-01-01T00:00:00.000Z</x:v>
      </x:c>
      <x:c r="I23" s="18" t="d">
        <x:v>2029-12-31T00:00:00.000Z</x:v>
      </x:c>
      <x:c r="J23" s="18" t="d">
        <x:v>2023-12-08T00:00:00.000Z</x:v>
      </x:c>
      <x:c r="K23" s="17" t="str">
        <x:v>日付確定</x:v>
      </x:c>
      <x:c r="L23" s="17" t="str">
        <x:v>TKDN≥60%（2027〜2029年）</x:v>
      </x:c>
      <x:c r="M23" s="17" t="str">
        <x:v>調達コスト・製品構成に影響</x:v>
      </x:c>
      <x:c r="N23" s="17" t="str">
        <x:v>現地部材化の追加要件</x:v>
      </x:c>
      <x:c r="O23" s="17" t="str">
        <x:v>供給・型式変更が起こり得る。販売への符号は不確定</x:v>
      </x:c>
      <x:c r="P23" s="17" t="str">
        <x:v>対象型式の原価・投入時期</x:v>
      </x:c>
      <x:c r="Q23" s="19" t="str">
        <x:v>https://pajak.go.id/id/peraturan/perubahan-atas-peraturan-presiden-nomor-55-tahun-2019-tentang-percepatan-program</x:v>
      </x:c>
      <x:c r="R23" s="17" t="str">
        <x:v>制度本文・適用期間・義務条項</x:v>
      </x:c>
      <x:c r="S23" s="17" t="str"/>
      <x:c r="T23" s="18" t="d">
        <x:v>2026-10-07T00:00:00.000Z</x:v>
      </x:c>
      <x:c r="U23" s="17" t="str">
        <x:f>IF(H23="","",TEXT(H23,"yyyy-mm"))</x:f>
        <x:v>2027-01</x:v>
      </x:c>
      <x:c r="V23" s="17" t="str">
        <x:f>IF(I23="","",TEXT(I23,"yyyy-mm"))</x:f>
        <x:v>2029-12</x:v>
      </x:c>
      <x:c r="W23" s="17" t="str">
        <x:f>IF(H23="","",TEXT(EDATE(H23,-3),"yyyy-mm")&amp;"〜"&amp;TEXT(EDATE(H23,-1),"yyyy-mm"))</x:f>
        <x:v>2026-10〜2026-12</x:v>
      </x:c>
      <x:c r="X23" s="17" t="str">
        <x:f>IF(I23="","",TEXT(EDATE(I23,-2),"yyyy-mm")&amp;"〜"&amp;TEXT(I23,"yyyy-mm"))</x:f>
        <x:v>2029-10〜2029-12</x:v>
      </x:c>
      <x:c r="Y23" s="17" t="str">
        <x:v>国籍による一律優遇と決めず、対象動力・CBU/CKD・個社認定で比較</x:v>
      </x:c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</x:row>
    <x:row r="24" ht="85" customHeight="1">
      <x:c r="A24" s="17" t="str">
        <x:v>MY01</x:v>
      </x:c>
      <x:c r="B24" s="17" t="str">
        <x:v>マレーシア</x:v>
      </x:c>
      <x:c r="C24" s="17" t="str">
        <x:v>CBU：輸入税・物品税免除</x:v>
      </x:c>
      <x:c r="D24" s="17" t="str">
        <x:v>輸入条件</x:v>
      </x:c>
      <x:c r="E24" s="17" t="str">
        <x:v>BEV</x:v>
      </x:c>
      <x:c r="F24" s="17" t="str">
        <x:v>適格完成車輸入</x:v>
      </x:c>
      <x:c r="G24" s="17" t="str">
        <x:v>成立・適用期間確認</x:v>
      </x:c>
      <x:c r="H24" s="18" t="d">
        <x:v>2022-01-01T00:00:00.000Z</x:v>
      </x:c>
      <x:c r="I24" s="18" t="d">
        <x:v>2025-12-31T00:00:00.000Z</x:v>
      </x:c>
      <x:c r="J24" s="18" t="d">
        <x:v>2021-10-29T00:00:00.000Z</x:v>
      </x:c>
      <x:c r="K24" s="17" t="str">
        <x:v>日付確定</x:v>
      </x:c>
      <x:c r="L24" s="17" t="str">
        <x:v>輸入税・物品税を免除。2023予算で期限延長</x:v>
      </x:c>
      <x:c r="M24" s="17" t="str">
        <x:v>輸入コスト低下</x:v>
      </x:c>
      <x:c r="N24" s="17" t="str">
        <x:v>CBUによる市場参入</x:v>
      </x:c>
      <x:c r="O24" s="17" t="str">
        <x:v>終了前の輸入・購入前倒し、終了後にCKD相対優位</x:v>
      </x:c>
      <x:c r="P24" s="17" t="str">
        <x:v>CBU/CKD、入庫・価格改定</x:v>
      </x:c>
      <x:c r="Q24" s="19" t="str">
        <x:v>https://belanjawan.mof.gov.my/pdf/belanjawan2023/ucapan/tax-measure.pdf</x:v>
      </x:c>
      <x:c r="R24" s="17" t="str">
        <x:v>関連税制・AP条項（MY01は予算2023 Appendix25、開始は予算2022）</x:v>
      </x:c>
      <x:c r="S24" s="17" t="str">
        <x:v>輸入完成車の販売税まで一律免除としない。元のCBU期限2023年末を2025年末へ延長。開始は2022予算：https://www.mof.gov.my/portal/en/news/press-citations/budget-2022-ev-gets-boost-from-exemption-of-various-taxes 。</x:v>
      </x:c>
      <x:c r="T24" s="18" t="d">
        <x:v>2026-10-07T00:00:00.000Z</x:v>
      </x:c>
      <x:c r="U24" s="17" t="str">
        <x:f>IF(H24="","",TEXT(H24,"yyyy-mm"))</x:f>
        <x:v>2022-01</x:v>
      </x:c>
      <x:c r="V24" s="17" t="str">
        <x:f>IF(I24="","",TEXT(I24,"yyyy-mm"))</x:f>
        <x:v>2025-12</x:v>
      </x:c>
      <x:c r="W24" s="17" t="str">
        <x:f>IF(H24="","",TEXT(EDATE(H24,-3),"yyyy-mm")&amp;"〜"&amp;TEXT(EDATE(H24,-1),"yyyy-mm"))</x:f>
        <x:v>2021-10〜2021-12</x:v>
      </x:c>
      <x:c r="X24" s="17" t="str">
        <x:f>IF(I24="","",TEXT(EDATE(I24,-2),"yyyy-mm")&amp;"〜"&amp;TEXT(I24,"yyyy-mm"))</x:f>
        <x:v>2025-10〜2025-12</x:v>
      </x:c>
      <x:c r="Y24" s="17" t="str">
        <x:v>国籍による一律優遇と決めず、対象動力・CBU/CKD・個社認定で比較</x:v>
      </x:c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</x:row>
    <x:row r="25" ht="85" customHeight="1">
      <x:c r="A25" s="17" t="str">
        <x:v>MY02</x:v>
      </x:c>
      <x:c r="B25" s="17" t="str">
        <x:v>マレーシア</x:v>
      </x:c>
      <x:c r="C25" s="17" t="str">
        <x:v>CKD：部品税・車両税免除</x:v>
      </x:c>
      <x:c r="D25" s="17" t="str">
        <x:v>購入優遇</x:v>
      </x:c>
      <x:c r="E25" s="17" t="str">
        <x:v>BEV</x:v>
      </x:c>
      <x:c r="F25" s="17" t="str">
        <x:v>適格国内組立・部品</x:v>
      </x:c>
      <x:c r="G25" s="17" t="str">
        <x:v>成立・適用期間確認</x:v>
      </x:c>
      <x:c r="H25" s="18" t="d">
        <x:v>2022-01-01T00:00:00.000Z</x:v>
      </x:c>
      <x:c r="I25" s="18" t="d">
        <x:v>2027-12-31T00:00:00.000Z</x:v>
      </x:c>
      <x:c r="J25" s="18" t="d">
        <x:v>2021-10-29T00:00:00.000Z</x:v>
      </x:c>
      <x:c r="K25" s="17" t="str">
        <x:v>日付確定</x:v>
      </x:c>
      <x:c r="L25" s="17" t="str">
        <x:v>部品輸入税、国内組立車の物品税・販売税免除</x:v>
      </x:c>
      <x:c r="M25" s="17" t="str">
        <x:v>CKDの税負担低下</x:v>
      </x:c>
      <x:c r="N25" s="17" t="str">
        <x:v>国内組立の優位</x:v>
      </x:c>
      <x:c r="O25" s="17" t="str">
        <x:v>2026年以降はCBUとの制度差でCKD販売比率上昇を想定</x:v>
      </x:c>
      <x:c r="P25" s="17" t="str">
        <x:v>同型のCBU→CKD、モデル変更</x:v>
      </x:c>
      <x:c r="Q25" s="19" t="str">
        <x:v>https://www.miti.gov.my/miti/resources/Approve%20Permit/Guidelines/GP_AP_MRA_EV_1_JAN_2026.pdf</x:v>
      </x:c>
      <x:c r="R25" s="17" t="str">
        <x:v>関連税制・AP条項（MY01は予算2023 Appendix25、開始は予算2022）</x:v>
      </x:c>
      <x:c r="S25" s="17" t="str">
        <x:v>2023予算でCKD期限を2025年末から2027年末へ延長。企業別承認条件も必要。</x:v>
      </x:c>
      <x:c r="T25" s="18" t="d">
        <x:v>2026-10-07T00:00:00.000Z</x:v>
      </x:c>
      <x:c r="U25" s="17" t="str">
        <x:f>IF(H25="","",TEXT(H25,"yyyy-mm"))</x:f>
        <x:v>2022-01</x:v>
      </x:c>
      <x:c r="V25" s="17" t="str">
        <x:f>IF(I25="","",TEXT(I25,"yyyy-mm"))</x:f>
        <x:v>2027-12</x:v>
      </x:c>
      <x:c r="W25" s="17" t="str">
        <x:f>IF(H25="","",TEXT(EDATE(H25,-3),"yyyy-mm")&amp;"〜"&amp;TEXT(EDATE(H25,-1),"yyyy-mm"))</x:f>
        <x:v>2021-10〜2021-12</x:v>
      </x:c>
      <x:c r="X25" s="17" t="str">
        <x:f>IF(I25="","",TEXT(EDATE(I25,-2),"yyyy-mm")&amp;"〜"&amp;TEXT(I25,"yyyy-mm"))</x:f>
        <x:v>2027-10〜2027-12</x:v>
      </x:c>
      <x:c r="Y25" s="17" t="str">
        <x:v>国籍による一律優遇と決めず、対象動力・CBU/CKD・個社認定で比較</x:v>
      </x:c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</x:row>
    <x:row r="26" ht="85" customHeight="1">
      <x:c r="A26" s="17" t="str">
        <x:v>MY03</x:v>
      </x:c>
      <x:c r="B26" s="17" t="str">
        <x:v>マレーシア</x:v>
      </x:c>
      <x:c r="C26" s="17" t="str">
        <x:v>CBU特別AP枠の終了</x:v>
      </x:c>
      <x:c r="D26" s="17" t="str">
        <x:v>発表・見直し</x:v>
      </x:c>
      <x:c r="E26" s="17" t="str">
        <x:v>BEV</x:v>
      </x:c>
      <x:c r="F26" s="17" t="str">
        <x:v>フランチャイズAPの特例</x:v>
      </x:c>
      <x:c r="G26" s="17" t="str">
        <x:v>期限</x:v>
      </x:c>
      <x:c r="H26" s="18" t="d">
        <x:v>2025-12-31T00:00:00.000Z</x:v>
      </x:c>
      <x:c r="I26" s="18" t="d">
        <x:v>2025-12-31T00:00:00.000Z</x:v>
      </x:c>
      <x:c r="J26" s="18" t="d">
        <x:v>2026-05-06T00:00:00.000Z</x:v>
      </x:c>
      <x:c r="K26" s="17" t="str">
        <x:v>日付確定</x:v>
      </x:c>
      <x:c r="L26" s="17" t="str">
        <x:v>特別免除枠は2025年末終了</x:v>
      </x:c>
      <x:c r="M26" s="17" t="str">
        <x:v>低価格輸入車の補充に制約</x:v>
      </x:c>
      <x:c r="N26" s="17" t="str">
        <x:v>承認枠の変更</x:v>
      </x:c>
      <x:c r="O26" s="17" t="str">
        <x:v>税免除終了とAP枠終了を別要因として扱う</x:v>
      </x:c>
      <x:c r="P26" s="17" t="str">
        <x:v>既存在庫と新規輸入を分離</x:v>
      </x:c>
      <x:c r="Q26" s="19" t="str">
        <x:v>https://www.miti.gov.my/miti/resources/Media%20Release/SIARAN_MEDIA_PENAMATAN_PENGECUALIAN_KHAS_6_Mei_2026_edited.pdf</x:v>
      </x:c>
      <x:c r="R26" s="17" t="str">
        <x:v>関連税制・AP条項（MY01は予算2023 Appendix25、開始は予算2022）</x:v>
      </x:c>
      <x:c r="S26" s="17" t="str">
        <x:v>AP特例と税免除は同一制度ではない。</x:v>
      </x:c>
      <x:c r="T26" s="18" t="d">
        <x:v>2026-10-07T00:00:00.000Z</x:v>
      </x:c>
      <x:c r="U26" s="17" t="str">
        <x:f>IF(H26="","",TEXT(H26,"yyyy-mm"))</x:f>
        <x:v>2025-12</x:v>
      </x:c>
      <x:c r="V26" s="17" t="str">
        <x:f>IF(I26="","",TEXT(I26,"yyyy-mm"))</x:f>
        <x:v>2025-12</x:v>
      </x:c>
      <x:c r="W26" s="17" t="str">
        <x:f>IF(H26="","",TEXT(EDATE(H26,-3),"yyyy-mm")&amp;"〜"&amp;TEXT(EDATE(H26,-1),"yyyy-mm"))</x:f>
        <x:v>2025-09〜2025-11</x:v>
      </x:c>
      <x:c r="X26" s="17" t="str">
        <x:f>IF(I26="","",TEXT(EDATE(I26,-2),"yyyy-mm")&amp;"〜"&amp;TEXT(I26,"yyyy-mm"))</x:f>
        <x:v>2025-10〜2025-12</x:v>
      </x:c>
      <x:c r="Y26" s="17" t="str">
        <x:v>国籍による一律優遇と決めず、対象動力・CBU/CKD・個社認定で比較</x:v>
      </x:c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</x:row>
    <x:row r="27" ht="85" customHeight="1">
      <x:c r="A27" s="17" t="str">
        <x:v>MY04</x:v>
      </x:c>
      <x:c r="B27" s="17" t="str">
        <x:v>マレーシア</x:v>
      </x:c>
      <x:c r="C27" s="17" t="str">
        <x:v>新規CBU：CIF・出力の下限</x:v>
      </x:c>
      <x:c r="D27" s="17" t="str">
        <x:v>輸入条件</x:v>
      </x:c>
      <x:c r="E27" s="17" t="str">
        <x:v>BEV</x:v>
      </x:c>
      <x:c r="F27" s="17" t="str">
        <x:v>新規CBU・対象AP条件</x:v>
      </x:c>
      <x:c r="G27" s="17" t="str">
        <x:v>成立・適用期間確認</x:v>
      </x:c>
      <x:c r="H27" s="18" t="d">
        <x:v>2026-07-01T00:00:00.000Z</x:v>
      </x:c>
      <x:c r="I27" s="18"/>
      <x:c r="J27" s="18" t="d">
        <x:v>2026-05-06T00:00:00.000Z</x:v>
      </x:c>
      <x:c r="K27" s="17" t="str">
        <x:v>日付確定</x:v>
      </x:c>
      <x:c r="L27" s="17" t="str">
        <x:v>CIF≥20万MYR、モーター出力≥180kW</x:v>
      </x:c>
      <x:c r="M27" s="17" t="str">
        <x:v>低価格CBU供給への制約</x:v>
      </x:c>
      <x:c r="N27" s="17" t="str">
        <x:v>既存在庫・港湾・輸送中は経過措置</x:v>
      </x:c>
      <x:c r="O27" s="17" t="str">
        <x:v>低価格輸入BEVの在庫消化後に販売構成が変化し得る</x:v>
      </x:c>
      <x:c r="P27" s="17" t="str">
        <x:v>既存在庫/新規輸入、CKD移行</x:v>
      </x:c>
      <x:c r="Q27" s="19" t="str">
        <x:v>https://www.miti.gov.my/miti/resources/Media%20Release/SIARAN_MEDIA_PENAMATAN_PENGECUALIAN_KHAS_6_Mei_2026_edited.pdf</x:v>
      </x:c>
      <x:c r="R27" s="17" t="str">
        <x:v>関連税制・AP条項（MY01は予算2023 Appendix25、開始は予算2022）</x:v>
      </x:c>
      <x:c r="S27" s="17" t="str">
        <x:v>CIFはメーカー希望小売価格ではない。既存在庫の販売終了日を7月1日と置かない。</x:v>
      </x:c>
      <x:c r="T27" s="18" t="d">
        <x:v>2026-10-07T00:00:00.000Z</x:v>
      </x:c>
      <x:c r="U27" s="17" t="str">
        <x:f>IF(H27="","",TEXT(H27,"yyyy-mm"))</x:f>
        <x:v>2026-07</x:v>
      </x:c>
      <x:c r="V27" s="17" t="str">
        <x:f>IF(I27="","",TEXT(I27,"yyyy-mm"))</x:f>
      </x:c>
      <x:c r="W27" s="17" t="str">
        <x:f>IF(H27="","",TEXT(EDATE(H27,-3),"yyyy-mm")&amp;"〜"&amp;TEXT(EDATE(H27,-1),"yyyy-mm"))</x:f>
        <x:v>2026-04〜2026-06</x:v>
      </x:c>
      <x:c r="X27" s="17" t="str">
        <x:f>IF(I27="","",TEXT(EDATE(I27,-2),"yyyy-mm")&amp;"〜"&amp;TEXT(I27,"yyyy-mm"))</x:f>
      </x:c>
      <x:c r="Y27" s="17" t="str">
        <x:v>国籍による一律優遇と決めず、対象動力・CBU/CKD・個社認定で比較</x:v>
      </x:c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</x:row>
    <x:row r="28" ht="85" customHeight="1">
      <x:c r="A28" s="17" t="str">
        <x:v>MY05</x:v>
      </x:c>
      <x:c r="B28" s="17" t="str">
        <x:v>マレーシア</x:v>
      </x:c>
      <x:c r="C28" s="17" t="str">
        <x:v>AP MRA EV：CKD前の試験輸入</x:v>
      </x:c>
      <x:c r="D28" s="17" t="str">
        <x:v>輸入条件</x:v>
      </x:c>
      <x:c r="E28" s="17" t="str">
        <x:v>BEV/FCEV/PHEV/HEV</x:v>
      </x:c>
      <x:c r="F28" s="17" t="str">
        <x:v>国内組立承認・モデル別</x:v>
      </x:c>
      <x:c r="G28" s="17" t="str">
        <x:v>成立・適用期間確認</x:v>
      </x:c>
      <x:c r="H28" s="18" t="d">
        <x:v>2026-01-01T00:00:00.000Z</x:v>
      </x:c>
      <x:c r="I28" s="18" t="d">
        <x:v>2030-12-31T00:00:00.000Z</x:v>
      </x:c>
      <x:c r="J28" s="18"/>
      <x:c r="K28" s="17" t="str">
        <x:v>日付確定</x:v>
      </x:c>
      <x:c r="L28" s="17" t="str">
        <x:v>乗用車は1モデル200台・一度限り。組立開始又は2030年末の早い方まで</x:v>
      </x:c>
      <x:c r="M28" s="17" t="str">
        <x:v>試験供給の余地</x:v>
      </x:c>
      <x:c r="N28" s="17" t="str">
        <x:v>承認後2年以内組立・2年で現地化≥30%</x:v>
      </x:c>
      <x:c r="O28" s="17" t="str">
        <x:v>限定台数の試験導入。通常輸入全体の開放とは異なる</x:v>
      </x:c>
      <x:c r="P28" s="17" t="str">
        <x:v>承認モデル、通常AP、CKD開始</x:v>
      </x:c>
      <x:c r="Q28" s="19" t="str">
        <x:v>https://www.miti.gov.my/miti/resources/Approve%20Permit/Guidelines/GP_AP_MRA_EV_1_JAN_2026.pdf</x:v>
      </x:c>
      <x:c r="R28" s="17" t="str">
        <x:v>関連税制・AP条項（MY01は予算2023 Appendix25、開始は予算2022）</x:v>
      </x:c>
      <x:c r="S28" s="17" t="str">
        <x:v>国共通の年次枠200台ではない。個社・モデルの承認、免税条件を別途確認。</x:v>
      </x:c>
      <x:c r="T28" s="18" t="d">
        <x:v>2026-10-07T00:00:00.000Z</x:v>
      </x:c>
      <x:c r="U28" s="17" t="str">
        <x:f>IF(H28="","",TEXT(H28,"yyyy-mm"))</x:f>
        <x:v>2026-01</x:v>
      </x:c>
      <x:c r="V28" s="17" t="str">
        <x:f>IF(I28="","",TEXT(I28,"yyyy-mm"))</x:f>
        <x:v>2030-12</x:v>
      </x:c>
      <x:c r="W28" s="17" t="str">
        <x:f>IF(H28="","",TEXT(EDATE(H28,-3),"yyyy-mm")&amp;"〜"&amp;TEXT(EDATE(H28,-1),"yyyy-mm"))</x:f>
        <x:v>2025-10〜2025-12</x:v>
      </x:c>
      <x:c r="X28" s="17" t="str">
        <x:f>IF(I28="","",TEXT(EDATE(I28,-2),"yyyy-mm")&amp;"〜"&amp;TEXT(I28,"yyyy-mm"))</x:f>
        <x:v>2030-10〜2030-12</x:v>
      </x:c>
      <x:c r="Y28" s="17" t="str">
        <x:v>国籍による一律優遇と決めず、対象動力・CBU/CKD・個社認定で比較</x:v>
      </x:c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</x:row>
    <x:row r="29" ht="85" customHeight="1">
      <x:c r="A29" s="17" t="str">
        <x:v>VN01</x:v>
      </x:c>
      <x:c r="B29" s="17" t="str">
        <x:v>ベトナム</x:v>
      </x:c>
      <x:c r="C29" s="17" t="str">
        <x:v>BEV：登録料0%当初期間</x:v>
      </x:c>
      <x:c r="D29" s="17" t="str">
        <x:v>購入優遇</x:v>
      </x:c>
      <x:c r="E29" s="17" t="str">
        <x:v>BEV</x:v>
      </x:c>
      <x:c r="F29" s="17" t="str">
        <x:v>初回登録のバッテリーEV</x:v>
      </x:c>
      <x:c r="G29" s="17" t="str">
        <x:v>成立・適用期間確認</x:v>
      </x:c>
      <x:c r="H29" s="18" t="d">
        <x:v>2022-03-01T00:00:00.000Z</x:v>
      </x:c>
      <x:c r="I29" s="18" t="d">
        <x:v>2025-02-28T00:00:00.000Z</x:v>
      </x:c>
      <x:c r="J29" s="18"/>
      <x:c r="K29" s="17" t="str">
        <x:v>日付確定</x:v>
      </x:c>
      <x:c r="L29" s="17" t="str">
        <x:v>登録料0%（政令10/2022）</x:v>
      </x:c>
      <x:c r="M29" s="17" t="str">
        <x:v>購入時登録費用低下</x:v>
      </x:c>
      <x:c r="N29" s="17" t="str">
        <x:v>CBU/国内生産の対象要件確認</x:v>
      </x:c>
      <x:c r="O29" s="17" t="str">
        <x:v>BEVの総購入負担低下を想定</x:v>
      </x:c>
      <x:c r="P29" s="17" t="str">
        <x:v>ICE/HEVの通常登録料、税込価格</x:v>
      </x:c>
      <x:c r="Q29" s="19" t="str">
        <x:v>https://xaydungchinhsach.chinhphu.vn/nghi-dinh-so-51-2025-nd-cp-sua-doi-bo-sung-quy-dinh-ve-le-phi-truoc-ba-119250302081211221.htm</x:v>
      </x:c>
      <x:c r="R29" s="17" t="str">
        <x:v>政府・政令の対象期間記述</x:v>
      </x:c>
      <x:c r="S29" s="17" t="str"/>
      <x:c r="T29" s="18" t="d">
        <x:v>2026-10-07T00:00:00.000Z</x:v>
      </x:c>
      <x:c r="U29" s="17" t="str">
        <x:f>IF(H29="","",TEXT(H29,"yyyy-mm"))</x:f>
        <x:v>2022-03</x:v>
      </x:c>
      <x:c r="V29" s="17" t="str">
        <x:f>IF(I29="","",TEXT(I29,"yyyy-mm"))</x:f>
        <x:v>2025-02</x:v>
      </x:c>
      <x:c r="W29" s="17" t="str">
        <x:f>IF(H29="","",TEXT(EDATE(H29,-3),"yyyy-mm")&amp;"〜"&amp;TEXT(EDATE(H29,-1),"yyyy-mm"))</x:f>
        <x:v>2021-12〜2022-02</x:v>
      </x:c>
      <x:c r="X29" s="17" t="str">
        <x:f>IF(I29="","",TEXT(EDATE(I29,-2),"yyyy-mm")&amp;"〜"&amp;TEXT(I29,"yyyy-mm"))</x:f>
        <x:v>2024-12〜2025-02</x:v>
      </x:c>
      <x:c r="Y29" s="17" t="str">
        <x:v>国籍による一律優遇と決めず、対象動力・CBU/CKD・個社認定で比較</x:v>
      </x:c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</x:row>
    <x:row r="30" ht="85" customHeight="1">
      <x:c r="A30" s="17" t="str">
        <x:v>VN02</x:v>
      </x:c>
      <x:c r="B30" s="17" t="str">
        <x:v>ベトナム</x:v>
      </x:c>
      <x:c r="C30" s="17" t="str">
        <x:v>BEV：登録料0%延長</x:v>
      </x:c>
      <x:c r="D30" s="17" t="str">
        <x:v>購入優遇</x:v>
      </x:c>
      <x:c r="E30" s="17" t="str">
        <x:v>BEV</x:v>
      </x:c>
      <x:c r="F30" s="17" t="str">
        <x:v>初回登録のバッテリーEV</x:v>
      </x:c>
      <x:c r="G30" s="17" t="str">
        <x:v>成立・適用期間確認</x:v>
      </x:c>
      <x:c r="H30" s="18" t="d">
        <x:v>2025-03-01T00:00:00.000Z</x:v>
      </x:c>
      <x:c r="I30" s="18" t="d">
        <x:v>2027-02-28T00:00:00.000Z</x:v>
      </x:c>
      <x:c r="J30" s="18" t="d">
        <x:v>2025-03-01T00:00:00.000Z</x:v>
      </x:c>
      <x:c r="K30" s="17" t="str">
        <x:v>日付確定</x:v>
      </x:c>
      <x:c r="L30" s="17" t="str">
        <x:v>登録料0%継続（政令51/2025）</x:v>
      </x:c>
      <x:c r="M30" s="17" t="str">
        <x:v>購入時登録費用低下を維持</x:v>
      </x:c>
      <x:c r="N30" s="17" t="str">
        <x:v>供給条件は別制度</x:v>
      </x:c>
      <x:c r="O30" s="17" t="str">
        <x:v>3月に新しい追加減税が発生したと扱わない</x:v>
      </x:c>
      <x:c r="P30" s="17" t="str">
        <x:v>延長公表前後の駆け込み期待</x:v>
      </x:c>
      <x:c r="Q30" s="19" t="str">
        <x:v>https://xaydungchinhsach.chinhphu.vn/nghi-dinh-so-51-2025-nd-cp-sua-doi-bo-sung-quy-dinh-ve-le-phi-truoc-ba-119250302081211221.htm</x:v>
      </x:c>
      <x:c r="R30" s="17" t="str">
        <x:v>政府・政令の対象期間記述</x:v>
      </x:c>
      <x:c r="S30" s="17" t="str"/>
      <x:c r="T30" s="18" t="d">
        <x:v>2026-10-07T00:00:00.000Z</x:v>
      </x:c>
      <x:c r="U30" s="17" t="str">
        <x:f>IF(H30="","",TEXT(H30,"yyyy-mm"))</x:f>
        <x:v>2025-03</x:v>
      </x:c>
      <x:c r="V30" s="17" t="str">
        <x:f>IF(I30="","",TEXT(I30,"yyyy-mm"))</x:f>
        <x:v>2027-02</x:v>
      </x:c>
      <x:c r="W30" s="17" t="str">
        <x:f>IF(H30="","",TEXT(EDATE(H30,-3),"yyyy-mm")&amp;"〜"&amp;TEXT(EDATE(H30,-1),"yyyy-mm"))</x:f>
        <x:v>2024-12〜2025-02</x:v>
      </x:c>
      <x:c r="X30" s="17" t="str">
        <x:f>IF(I30="","",TEXT(EDATE(I30,-2),"yyyy-mm")&amp;"〜"&amp;TEXT(I30,"yyyy-mm"))</x:f>
        <x:v>2026-12〜2027-02</x:v>
      </x:c>
      <x:c r="Y30" s="17" t="str">
        <x:v>国籍による一律優遇と決めず、対象動力・CBU/CKD・個社認定で比較</x:v>
      </x:c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</x:row>
    <x:row r="31" ht="85" customHeight="1">
      <x:c r="A31" s="17" t="str">
        <x:v>VN03</x:v>
      </x:c>
      <x:c r="B31" s="17" t="str">
        <x:v>ベトナム</x:v>
      </x:c>
      <x:c r="C31" s="17" t="str">
        <x:v>BEV：登録料0%2030年まで</x:v>
      </x:c>
      <x:c r="D31" s="17" t="str">
        <x:v>購入優遇</x:v>
      </x:c>
      <x:c r="E31" s="17" t="str">
        <x:v>BEV</x:v>
      </x:c>
      <x:c r="F31" s="17" t="str">
        <x:v>初回登録のバッテリーEV</x:v>
      </x:c>
      <x:c r="G31" s="17" t="str">
        <x:v>成立・将来予定</x:v>
      </x:c>
      <x:c r="H31" s="18" t="d">
        <x:v>2027-03-01T00:00:00.000Z</x:v>
      </x:c>
      <x:c r="I31" s="18" t="d">
        <x:v>2030-12-31T00:00:00.000Z</x:v>
      </x:c>
      <x:c r="J31" s="18" t="d">
        <x:v>2026-06-08T00:00:00.000Z</x:v>
      </x:c>
      <x:c r="K31" s="17" t="str">
        <x:v>日付確定</x:v>
      </x:c>
      <x:c r="L31" s="17" t="str">
        <x:v>登録料0%（政令202/2026、成立済み）</x:v>
      </x:c>
      <x:c r="M31" s="17" t="str">
        <x:v>免除継続・終了期待の解消</x:v>
      </x:c>
      <x:c r="N31" s="17" t="str">
        <x:v>供給条件は別制度</x:v>
      </x:c>
      <x:c r="O31" s="17" t="str">
        <x:v>2027年2月の終了前駆け込みを当然視しない</x:v>
      </x:c>
      <x:c r="P31" s="17" t="str">
        <x:v>2026年6月の期待変化と2027年継続を分離</x:v>
      </x:c>
      <x:c r="Q31" s="19" t="str">
        <x:v>https://congbao.chinhphu.vn/van-ban/nghi-dinh-so-202-2026-nd-cp-469730.htm</x:v>
      </x:c>
      <x:c r="R31" s="17" t="str">
        <x:v>政府・政令の対象期間記述</x:v>
      </x:c>
      <x:c r="S31" s="17" t="str">
        <x:v>公布2026年6月8日、施行2027年3月1日。特別消費税の延長とは別。</x:v>
      </x:c>
      <x:c r="T31" s="18" t="d">
        <x:v>2026-10-07T00:00:00.000Z</x:v>
      </x:c>
      <x:c r="U31" s="17" t="str">
        <x:f>IF(H31="","",TEXT(H31,"yyyy-mm"))</x:f>
        <x:v>2027-03</x:v>
      </x:c>
      <x:c r="V31" s="17" t="str">
        <x:f>IF(I31="","",TEXT(I31,"yyyy-mm"))</x:f>
        <x:v>2030-12</x:v>
      </x:c>
      <x:c r="W31" s="17" t="str">
        <x:f>IF(H31="","",TEXT(EDATE(H31,-3),"yyyy-mm")&amp;"〜"&amp;TEXT(EDATE(H31,-1),"yyyy-mm"))</x:f>
        <x:v>2026-12〜2027-02</x:v>
      </x:c>
      <x:c r="X31" s="17" t="str">
        <x:f>IF(I31="","",TEXT(EDATE(I31,-2),"yyyy-mm")&amp;"〜"&amp;TEXT(I31,"yyyy-mm"))</x:f>
        <x:v>2030-10〜2030-12</x:v>
      </x:c>
      <x:c r="Y31" s="17" t="str">
        <x:v>国籍による一律優遇と決めず、対象動力・CBU/CKD・個社認定で比較</x:v>
      </x:c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</x:row>
    <x:row r="32" ht="85" customHeight="1">
      <x:c r="A32" s="17" t="str">
        <x:v>VN04</x:v>
      </x:c>
      <x:c r="B32" s="17" t="str">
        <x:v>ベトナム</x:v>
      </x:c>
      <x:c r="C32" s="17" t="str">
        <x:v>BEV：特別消費税3%</x:v>
      </x:c>
      <x:c r="D32" s="17" t="str">
        <x:v>購入優遇</x:v>
      </x:c>
      <x:c r="E32" s="17" t="str">
        <x:v>BEV</x:v>
      </x:c>
      <x:c r="F32" s="17" t="str">
        <x:v>バッテリーEV・9席以下</x:v>
      </x:c>
      <x:c r="G32" s="17" t="str">
        <x:v>成立・適用期間確認</x:v>
      </x:c>
      <x:c r="H32" s="18" t="d">
        <x:v>2022-03-01T00:00:00.000Z</x:v>
      </x:c>
      <x:c r="I32" s="18" t="d">
        <x:v>2027-02-28T00:00:00.000Z</x:v>
      </x:c>
      <x:c r="J32" s="18"/>
      <x:c r="K32" s="17" t="str">
        <x:v>日付確定</x:v>
      </x:c>
      <x:c r="L32" s="17" t="str">
        <x:v>特別消費税3%（9席以下）</x:v>
      </x:c>
      <x:c r="M32" s="17" t="str">
        <x:v>車両課税を軽減</x:v>
      </x:c>
      <x:c r="N32" s="17" t="str">
        <x:v>座席区分別の税率</x:v>
      </x:c>
      <x:c r="O32" s="17" t="str">
        <x:v>購入負担低下。登録料0と混同しない</x:v>
      </x:c>
      <x:c r="P32" s="17" t="str">
        <x:v>同車格ICE、他座席区分</x:v>
      </x:c>
      <x:c r="Q32" s="19" t="str">
        <x:v>https://baochinhphu.vn/de-xuat-gia-han-thue-suat-thue-tieu-thu-dac-biet-xe-co-gan-dong-co-duoi-24-cho-chay-bang-pin-102260414162128225.htm</x:v>
      </x:c>
      <x:c r="R32" s="17" t="str">
        <x:v>政府・政令の対象期間記述</x:v>
      </x:c>
      <x:c r="S32" s="17" t="str"/>
      <x:c r="T32" s="18" t="d">
        <x:v>2026-10-07T00:00:00.000Z</x:v>
      </x:c>
      <x:c r="U32" s="17" t="str">
        <x:f>IF(H32="","",TEXT(H32,"yyyy-mm"))</x:f>
        <x:v>2022-03</x:v>
      </x:c>
      <x:c r="V32" s="17" t="str">
        <x:f>IF(I32="","",TEXT(I32,"yyyy-mm"))</x:f>
        <x:v>2027-02</x:v>
      </x:c>
      <x:c r="W32" s="17" t="str">
        <x:f>IF(H32="","",TEXT(EDATE(H32,-3),"yyyy-mm")&amp;"〜"&amp;TEXT(EDATE(H32,-1),"yyyy-mm"))</x:f>
        <x:v>2021-12〜2022-02</x:v>
      </x:c>
      <x:c r="X32" s="17" t="str">
        <x:f>IF(I32="","",TEXT(EDATE(I32,-2),"yyyy-mm")&amp;"〜"&amp;TEXT(I32,"yyyy-mm"))</x:f>
        <x:v>2026-12〜2027-02</x:v>
      </x:c>
      <x:c r="Y32" s="17" t="str">
        <x:v>国籍による一律優遇と決めず、対象動力・CBU/CKD・個社認定で比較</x:v>
      </x:c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</x:row>
    <x:row r="33" ht="85" customHeight="1">
      <x:c r="A33" s="17" t="str">
        <x:v>VN05</x:v>
      </x:c>
      <x:c r="B33" s="17" t="str">
        <x:v>ベトナム</x:v>
      </x:c>
      <x:c r="C33" s="17" t="str">
        <x:v>BEV：特別消費税11%予定</x:v>
      </x:c>
      <x:c r="D33" s="17" t="str">
        <x:v>購入優遇</x:v>
      </x:c>
      <x:c r="E33" s="17" t="str">
        <x:v>BEV</x:v>
      </x:c>
      <x:c r="F33" s="17" t="str">
        <x:v>バッテリーEV・9席以下</x:v>
      </x:c>
      <x:c r="G33" s="17" t="str">
        <x:v>条文予定・延長提案あり</x:v>
      </x:c>
      <x:c r="H33" s="18" t="d">
        <x:v>2027-03-01T00:00:00.000Z</x:v>
      </x:c>
      <x:c r="I33" s="18"/>
      <x:c r="J33" s="18"/>
      <x:c r="K33" s="17" t="str">
        <x:v>日付確定</x:v>
      </x:c>
      <x:c r="L33" s="17" t="str">
        <x:v>現行条文上の次期税率11%。延長提案の成立状況要追跡</x:v>
      </x:c>
      <x:c r="M33" s="17" t="str">
        <x:v>成立しなければ税負担上昇</x:v>
      </x:c>
      <x:c r="N33" s="17" t="str">
        <x:v>制度改正を要追跡</x:v>
      </x:c>
      <x:c r="O33" s="17" t="str">
        <x:v>3%延長が成立しない場合のみ前倒し仮説を検証</x:v>
      </x:c>
      <x:c r="P33" s="17" t="str">
        <x:v>登録料免除延長とは別の改正を確認</x:v>
      </x:c>
      <x:c r="Q33" s="19" t="str">
        <x:v>https://baochinhphu.vn/de-xuat-gia-han-thue-suat-thue-tieu-thu-dac-biet-xe-co-gan-dong-co-duoi-24-cho-chay-bang-pin-102260414162128225.htm</x:v>
      </x:c>
      <x:c r="R33" s="17" t="str">
        <x:v>政府・政令の対象期間記述</x:v>
      </x:c>
      <x:c r="S33" s="17" t="str">
        <x:v>2026年4月の3%延長提案を施行済みとして扱わない。先の税率帯は予定であり最新公布の追加確認が必要。</x:v>
      </x:c>
      <x:c r="T33" s="18" t="d">
        <x:v>2026-10-07T00:00:00.000Z</x:v>
      </x:c>
      <x:c r="U33" s="17" t="str">
        <x:f>IF(H33="","",TEXT(H33,"yyyy-mm"))</x:f>
        <x:v>2027-03</x:v>
      </x:c>
      <x:c r="V33" s="17" t="str">
        <x:f>IF(I33="","",TEXT(I33,"yyyy-mm"))</x:f>
      </x:c>
      <x:c r="W33" s="17" t="str">
        <x:f>IF(H33="","",TEXT(EDATE(H33,-3),"yyyy-mm")&amp;"〜"&amp;TEXT(EDATE(H33,-1),"yyyy-mm"))</x:f>
        <x:v>2026-12〜2027-02</x:v>
      </x:c>
      <x:c r="X33" s="17" t="str">
        <x:f>IF(I33="","",TEXT(EDATE(I33,-2),"yyyy-mm")&amp;"〜"&amp;TEXT(I33,"yyyy-mm"))</x:f>
      </x:c>
      <x:c r="Y33" s="17" t="str">
        <x:v>国籍による一律優遇と決めず、対象動力・CBU/CKD・個社認定で比較</x:v>
      </x:c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</x:row>
    <x:row r="34" ht="85" customHeight="1">
      <x:c r="A34" s="17" t="str">
        <x:v>VN06</x:v>
      </x:c>
      <x:c r="B34" s="17" t="str">
        <x:v>ベトナム</x:v>
      </x:c>
      <x:c r="C34" s="17" t="str">
        <x:v>特別消費税3%の延長提案</x:v>
      </x:c>
      <x:c r="D34" s="17" t="str">
        <x:v>発表・見直し</x:v>
      </x:c>
      <x:c r="E34" s="17" t="str">
        <x:v>BEV</x:v>
      </x:c>
      <x:c r="F34" s="17" t="str">
        <x:v>適格バッテリーEV</x:v>
      </x:c>
      <x:c r="G34" s="17" t="str">
        <x:v>提案・成立未確認</x:v>
      </x:c>
      <x:c r="H34" s="18"/>
      <x:c r="I34" s="18"/>
      <x:c r="J34" s="18" t="d">
        <x:v>2026-04-14T00:00:00.000Z</x:v>
      </x:c>
      <x:c r="K34" s="17" t="str">
        <x:v>発表日・未施行</x:v>
      </x:c>
      <x:c r="L34" s="17" t="str">
        <x:v>優遇税率を2030年まで延ばす提案</x:v>
      </x:c>
      <x:c r="M34" s="17" t="str">
        <x:v>将来の購入負担の期待</x:v>
      </x:c>
      <x:c r="N34" s="17" t="str">
        <x:v>供給投資への期待</x:v>
      </x:c>
      <x:c r="O34" s="17" t="str">
        <x:v>提案の時点で実際の税負担が変わったとは扱わない</x:v>
      </x:c>
      <x:c r="P34" s="17" t="str">
        <x:v>最終公布・施行・価格改定</x:v>
      </x:c>
      <x:c r="Q34" s="19" t="str">
        <x:v>https://baochinhphu.vn/de-xuat-gia-han-thue-suat-thue-tieu-thu-dac-biet-xe-co-gan-dong-co-duoi-24-cho-chay-bang-pin-102260414162128225.htm</x:v>
      </x:c>
      <x:c r="R34" s="17" t="str">
        <x:v>政府・政令の対象期間記述</x:v>
      </x:c>
      <x:c r="S34" s="17" t="str"/>
      <x:c r="T34" s="18" t="d">
        <x:v>2026-10-07T00:00:00.000Z</x:v>
      </x:c>
      <x:c r="U34" s="17" t="str">
        <x:f>IF(H34="","",TEXT(H34,"yyyy-mm"))</x:f>
      </x:c>
      <x:c r="V34" s="17" t="str">
        <x:f>IF(I34="","",TEXT(I34,"yyyy-mm"))</x:f>
      </x:c>
      <x:c r="W34" s="17" t="str">
        <x:f>IF(H34="","",TEXT(EDATE(H34,-3),"yyyy-mm")&amp;"〜"&amp;TEXT(EDATE(H34,-1),"yyyy-mm"))</x:f>
      </x:c>
      <x:c r="X34" s="17" t="str">
        <x:f>IF(I34="","",TEXT(EDATE(I34,-2),"yyyy-mm")&amp;"〜"&amp;TEXT(I34,"yyyy-mm"))</x:f>
      </x:c>
      <x:c r="Y34" s="17" t="str">
        <x:v>国籍による一律優遇と決めず、対象動力・CBU/CKD・個社認定で比較</x:v>
      </x:c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</x:row>
    <x:row r="35" ht="85" customHeight="1">
      <x:c r="A35" s="17" t="str">
        <x:v>VN07</x:v>
      </x:c>
      <x:c r="B35" s="17" t="str">
        <x:v>ベトナム</x:v>
      </x:c>
      <x:c r="C35" s="17" t="str">
        <x:v>国内車：登録料50%減2020</x:v>
      </x:c>
      <x:c r="D35" s="17" t="str">
        <x:v>購入優遇</x:v>
      </x:c>
      <x:c r="E35" s="17" t="str">
        <x:v>ICE/HEV等</x:v>
      </x:c>
      <x:c r="F35" s="17" t="str">
        <x:v>国内生産・組立車</x:v>
      </x:c>
      <x:c r="G35" s="17" t="str">
        <x:v>成立・適用期間確認</x:v>
      </x:c>
      <x:c r="H35" s="18" t="d">
        <x:v>2020-06-28T00:00:00.000Z</x:v>
      </x:c>
      <x:c r="I35" s="18" t="d">
        <x:v>2020-12-31T00:00:00.000Z</x:v>
      </x:c>
      <x:c r="J35" s="18"/>
      <x:c r="K35" s="17" t="str">
        <x:v>日付確定</x:v>
      </x:c>
      <x:c r="L35" s="17" t="str">
        <x:v>通常登録料の50%減（政令70/2020）</x:v>
      </x:c>
      <x:c r="M35" s="17" t="str">
        <x:v>購入時登録費用低下</x:v>
      </x:c>
      <x:c r="N35" s="17" t="str">
        <x:v>国内生産優位</x:v>
      </x:c>
      <x:c r="O35" s="17" t="str">
        <x:v>終了前の需要前倒し、翌月以降反動の可能性</x:v>
      </x:c>
      <x:c r="P35" s="17" t="str">
        <x:v>国内生産/CBU、前年同月、COVID影響</x:v>
      </x:c>
      <x:c r="Q35" s="19" t="str">
        <x:v>https://vpcp.chinhphu.vn/quy-dinh-muc-thu-le-phi-truoc-ba-doi-voi-o-to-san-xuat-lap-rap-trong-nuoc-11524165.htm</x:v>
      </x:c>
      <x:c r="R35" s="17" t="str">
        <x:v>政府・政令の対象期間記述</x:v>
      </x:c>
      <x:c r="S35" s="17" t="str"/>
      <x:c r="T35" s="18" t="d">
        <x:v>2026-10-07T00:00:00.000Z</x:v>
      </x:c>
      <x:c r="U35" s="17" t="str">
        <x:f>IF(H35="","",TEXT(H35,"yyyy-mm"))</x:f>
        <x:v>2020-06</x:v>
      </x:c>
      <x:c r="V35" s="17" t="str">
        <x:f>IF(I35="","",TEXT(I35,"yyyy-mm"))</x:f>
        <x:v>2020-12</x:v>
      </x:c>
      <x:c r="W35" s="17" t="str">
        <x:f>IF(H35="","",TEXT(EDATE(H35,-3),"yyyy-mm")&amp;"〜"&amp;TEXT(EDATE(H35,-1),"yyyy-mm"))</x:f>
        <x:v>2020-03〜2020-05</x:v>
      </x:c>
      <x:c r="X35" s="17" t="str">
        <x:f>IF(I35="","",TEXT(EDATE(I35,-2),"yyyy-mm")&amp;"〜"&amp;TEXT(I35,"yyyy-mm"))</x:f>
        <x:v>2020-10〜2020-12</x:v>
      </x:c>
      <x:c r="Y35" s="17" t="str">
        <x:v>国籍による一律優遇と決めず、対象動力・CBU/CKD・個社認定で比較</x:v>
      </x:c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</x:row>
    <x:row r="36" ht="85" customHeight="1">
      <x:c r="A36" s="17" t="str">
        <x:v>VN08</x:v>
      </x:c>
      <x:c r="B36" s="17" t="str">
        <x:v>ベトナム</x:v>
      </x:c>
      <x:c r="C36" s="17" t="str">
        <x:v>国内車：登録料50%減2021</x:v>
      </x:c>
      <x:c r="D36" s="17" t="str">
        <x:v>購入優遇</x:v>
      </x:c>
      <x:c r="E36" s="17" t="str">
        <x:v>ICE/HEV等</x:v>
      </x:c>
      <x:c r="F36" s="17" t="str">
        <x:v>国内生産・組立車</x:v>
      </x:c>
      <x:c r="G36" s="17" t="str">
        <x:v>成立・適用期間確認</x:v>
      </x:c>
      <x:c r="H36" s="18" t="d">
        <x:v>2021-12-01T00:00:00.000Z</x:v>
      </x:c>
      <x:c r="I36" s="18" t="d">
        <x:v>2022-05-31T00:00:00.000Z</x:v>
      </x:c>
      <x:c r="J36" s="18" t="d">
        <x:v>2021-11-26T00:00:00.000Z</x:v>
      </x:c>
      <x:c r="K36" s="17" t="str">
        <x:v>日付確定</x:v>
      </x:c>
      <x:c r="L36" s="17" t="str">
        <x:v>通常登録料の50%減（政令103/2021）</x:v>
      </x:c>
      <x:c r="M36" s="17" t="str">
        <x:v>購入時登録費用低下</x:v>
      </x:c>
      <x:c r="N36" s="17" t="str">
        <x:v>国内生産優位</x:v>
      </x:c>
      <x:c r="O36" s="17" t="str">
        <x:v>5月末の前倒しと6月以降の反動を検証</x:v>
      </x:c>
      <x:c r="P36" s="17" t="str">
        <x:v>国内生産/CBU、BEVは別の免除</x:v>
      </x:c>
      <x:c r="Q36" s="19" t="str">
        <x:v>https://chinhphu.vn/thong-cao-bao-chi-vbqppl-do-chinh-phu-thu-tuong-chinh-phu-ban-hanh/thong-cao-bao-chi-thang-11-nam-2021-11933120</x:v>
      </x:c>
      <x:c r="R36" s="17" t="str">
        <x:v>政府・政令の対象期間記述</x:v>
      </x:c>
      <x:c r="S36" s="17" t="str"/>
      <x:c r="T36" s="18" t="d">
        <x:v>2026-10-07T00:00:00.000Z</x:v>
      </x:c>
      <x:c r="U36" s="17" t="str">
        <x:f>IF(H36="","",TEXT(H36,"yyyy-mm"))</x:f>
        <x:v>2021-12</x:v>
      </x:c>
      <x:c r="V36" s="17" t="str">
        <x:f>IF(I36="","",TEXT(I36,"yyyy-mm"))</x:f>
        <x:v>2022-05</x:v>
      </x:c>
      <x:c r="W36" s="17" t="str">
        <x:f>IF(H36="","",TEXT(EDATE(H36,-3),"yyyy-mm")&amp;"〜"&amp;TEXT(EDATE(H36,-1),"yyyy-mm"))</x:f>
        <x:v>2021-09〜2021-11</x:v>
      </x:c>
      <x:c r="X36" s="17" t="str">
        <x:f>IF(I36="","",TEXT(EDATE(I36,-2),"yyyy-mm")&amp;"〜"&amp;TEXT(I36,"yyyy-mm"))</x:f>
        <x:v>2022-03〜2022-05</x:v>
      </x:c>
      <x:c r="Y36" s="17" t="str">
        <x:v>国籍による一律優遇と決めず、対象動力・CBU/CKD・個社認定で比較</x:v>
      </x:c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</x:row>
    <x:row r="37" ht="85" customHeight="1">
      <x:c r="A37" s="17" t="str">
        <x:v>VN09</x:v>
      </x:c>
      <x:c r="B37" s="17" t="str">
        <x:v>ベトナム</x:v>
      </x:c>
      <x:c r="C37" s="17" t="str">
        <x:v>国内車：登録料50%減2023</x:v>
      </x:c>
      <x:c r="D37" s="17" t="str">
        <x:v>購入優遇</x:v>
      </x:c>
      <x:c r="E37" s="17" t="str">
        <x:v>ICE/HEV等</x:v>
      </x:c>
      <x:c r="F37" s="17" t="str">
        <x:v>国内生産・組立車</x:v>
      </x:c>
      <x:c r="G37" s="17" t="str">
        <x:v>成立・適用期間確認</x:v>
      </x:c>
      <x:c r="H37" s="18" t="d">
        <x:v>2023-07-01T00:00:00.000Z</x:v>
      </x:c>
      <x:c r="I37" s="18" t="d">
        <x:v>2023-12-31T00:00:00.000Z</x:v>
      </x:c>
      <x:c r="J37" s="18" t="d">
        <x:v>2023-06-28T00:00:00.000Z</x:v>
      </x:c>
      <x:c r="K37" s="17" t="str">
        <x:v>日付確定</x:v>
      </x:c>
      <x:c r="L37" s="17" t="str">
        <x:v>通常登録料の50%減（政令41/2023）</x:v>
      </x:c>
      <x:c r="M37" s="17" t="str">
        <x:v>購入時登録費用低下</x:v>
      </x:c>
      <x:c r="N37" s="17" t="str">
        <x:v>国内生産優位</x:v>
      </x:c>
      <x:c r="O37" s="17" t="str">
        <x:v>開始前の買い控え、終了前の前倒しを検証</x:v>
      </x:c>
      <x:c r="P37" s="17" t="str">
        <x:v>国内生産/CBU、同クラスモデル</x:v>
      </x:c>
      <x:c r="Q37" s="19" t="str">
        <x:v>https://baochinhphu.vn/chinh-sach-moi-co-hieu-luc-tu-thang-7-2023-102230701081045384.htm</x:v>
      </x:c>
      <x:c r="R37" s="17" t="str">
        <x:v>政府・政令の対象期間記述</x:v>
      </x:c>
      <x:c r="S37" s="17" t="str"/>
      <x:c r="T37" s="18" t="d">
        <x:v>2026-10-07T00:00:00.000Z</x:v>
      </x:c>
      <x:c r="U37" s="17" t="str">
        <x:f>IF(H37="","",TEXT(H37,"yyyy-mm"))</x:f>
        <x:v>2023-07</x:v>
      </x:c>
      <x:c r="V37" s="17" t="str">
        <x:f>IF(I37="","",TEXT(I37,"yyyy-mm"))</x:f>
        <x:v>2023-12</x:v>
      </x:c>
      <x:c r="W37" s="17" t="str">
        <x:f>IF(H37="","",TEXT(EDATE(H37,-3),"yyyy-mm")&amp;"〜"&amp;TEXT(EDATE(H37,-1),"yyyy-mm"))</x:f>
        <x:v>2023-04〜2023-06</x:v>
      </x:c>
      <x:c r="X37" s="17" t="str">
        <x:f>IF(I37="","",TEXT(EDATE(I37,-2),"yyyy-mm")&amp;"〜"&amp;TEXT(I37,"yyyy-mm"))</x:f>
        <x:v>2023-10〜2023-12</x:v>
      </x:c>
      <x:c r="Y37" s="17" t="str">
        <x:v>国籍による一律優遇と決めず、対象動力・CBU/CKD・個社認定で比較</x:v>
      </x:c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</x:row>
    <x:row r="38" ht="85" customHeight="1">
      <x:c r="A38" s="17" t="str">
        <x:v>VN10</x:v>
      </x:c>
      <x:c r="B38" s="17" t="str">
        <x:v>ベトナム</x:v>
      </x:c>
      <x:c r="C38" s="17" t="str">
        <x:v>国内車：登録料50%減2024</x:v>
      </x:c>
      <x:c r="D38" s="17" t="str">
        <x:v>購入優遇</x:v>
      </x:c>
      <x:c r="E38" s="17" t="str">
        <x:v>ICE/HEV等</x:v>
      </x:c>
      <x:c r="F38" s="17" t="str">
        <x:v>国内生産・組立車</x:v>
      </x:c>
      <x:c r="G38" s="17" t="str">
        <x:v>成立・適用期間確認</x:v>
      </x:c>
      <x:c r="H38" s="18" t="d">
        <x:v>2024-09-01T00:00:00.000Z</x:v>
      </x:c>
      <x:c r="I38" s="18" t="d">
        <x:v>2024-11-30T00:00:00.000Z</x:v>
      </x:c>
      <x:c r="J38" s="18" t="d">
        <x:v>2024-08-29T00:00:00.000Z</x:v>
      </x:c>
      <x:c r="K38" s="17" t="str">
        <x:v>日付確定</x:v>
      </x:c>
      <x:c r="L38" s="17" t="str">
        <x:v>通常登録料の50%減（政令109/2024）</x:v>
      </x:c>
      <x:c r="M38" s="17" t="str">
        <x:v>購入時登録費用低下</x:v>
      </x:c>
      <x:c r="N38" s="17" t="str">
        <x:v>国内生産優位</x:v>
      </x:c>
      <x:c r="O38" s="17" t="str">
        <x:v>短期3か月の需要前倒し、12月反動を検証</x:v>
      </x:c>
      <x:c r="P38" s="17" t="str">
        <x:v>国内生産/CBU、季節性・新モデル</x:v>
      </x:c>
      <x:c r="Q38" s="19" t="str">
        <x:v>https://xaydungchinhsach.chinhphu.vn/tu-1-9-chinh-phu-giam-50-le-phi-truoc-ba-o-to-san-xuat-lap-rap-trong-nuoc-119240830162338599.htm</x:v>
      </x:c>
      <x:c r="R38" s="17" t="str">
        <x:v>税法・税務/税関資料（PH04は価格改定一次資料を併記）</x:v>
      </x:c>
      <x:c r="S38" s="17" t="str">
        <x:v>BEVは別制度で既に0%。追加50%の二重減税とは扱わない。</x:v>
      </x:c>
      <x:c r="T38" s="18" t="d">
        <x:v>2026-10-07T00:00:00.000Z</x:v>
      </x:c>
      <x:c r="U38" s="17" t="str">
        <x:f>IF(H38="","",TEXT(H38,"yyyy-mm"))</x:f>
        <x:v>2024-09</x:v>
      </x:c>
      <x:c r="V38" s="17" t="str">
        <x:f>IF(I38="","",TEXT(I38,"yyyy-mm"))</x:f>
        <x:v>2024-11</x:v>
      </x:c>
      <x:c r="W38" s="17" t="str">
        <x:f>IF(H38="","",TEXT(EDATE(H38,-3),"yyyy-mm")&amp;"〜"&amp;TEXT(EDATE(H38,-1),"yyyy-mm"))</x:f>
        <x:v>2024-06〜2024-08</x:v>
      </x:c>
      <x:c r="X38" s="17" t="str">
        <x:f>IF(I38="","",TEXT(EDATE(I38,-2),"yyyy-mm")&amp;"〜"&amp;TEXT(I38,"yyyy-mm"))</x:f>
        <x:v>2024-09〜2024-11</x:v>
      </x:c>
      <x:c r="Y38" s="17" t="str">
        <x:v>国籍による一律優遇と決めず、対象動力・CBU/CKD・個社認定で比較</x:v>
      </x:c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</x:row>
    <x:row r="39" ht="85" customHeight="1">
      <x:c r="A39" s="17" t="str">
        <x:v>PH01</x:v>
      </x:c>
      <x:c r="B39" s="17" t="str">
        <x:v>フィリピン</x:v>
      </x:c>
      <x:c r="C39" s="17" t="str">
        <x:v>純EV：物品税免除</x:v>
      </x:c>
      <x:c r="D39" s="17" t="str">
        <x:v>購入優遇</x:v>
      </x:c>
      <x:c r="E39" s="17" t="str">
        <x:v>BEV</x:v>
      </x:c>
      <x:c r="F39" s="17" t="str">
        <x:v>純電気自動車</x:v>
      </x:c>
      <x:c r="G39" s="17" t="str">
        <x:v>成立・適用期間確認</x:v>
      </x:c>
      <x:c r="H39" s="18" t="d">
        <x:v>2018-01-01T00:00:00.000Z</x:v>
      </x:c>
      <x:c r="I39" s="18"/>
      <x:c r="J39" s="18"/>
      <x:c r="K39" s="17" t="str">
        <x:v>日付確定</x:v>
      </x:c>
      <x:c r="L39" s="17" t="str">
        <x:v>TRAIN：自動車物品税免除</x:v>
      </x:c>
      <x:c r="M39" s="17" t="str">
        <x:v>購入時課税を軽減</x:v>
      </x:c>
      <x:c r="N39" s="17" t="str">
        <x:v>型式認定あり</x:v>
      </x:c>
      <x:c r="O39" s="17" t="str">
        <x:v>2020年以降の変動を新規減税ショックで説明しない</x:v>
      </x:c>
      <x:c r="P39" s="17" t="str">
        <x:v>EV/ICEの課税、総販売基盤</x:v>
      </x:c>
      <x:c r="Q39" s="19" t="str">
        <x:v>https://elibrary.judiciary.gov.ph/thebookshelf/showdocs/10/89762</x:v>
      </x:c>
      <x:c r="R39" s="17" t="str">
        <x:v>税法・税務/税関資料（PH04は価格改定一次資料を併記）</x:v>
      </x:c>
      <x:c r="S39" s="17" t="str">
        <x:v>期間は分析窓2020年より前に開始。</x:v>
      </x:c>
      <x:c r="T39" s="18" t="d">
        <x:v>2026-10-07T00:00:00.000Z</x:v>
      </x:c>
      <x:c r="U39" s="17" t="str">
        <x:f>IF(H39="","",TEXT(H39,"yyyy-mm"))</x:f>
        <x:v>2018-01</x:v>
      </x:c>
      <x:c r="V39" s="17" t="str">
        <x:f>IF(I39="","",TEXT(I39,"yyyy-mm"))</x:f>
      </x:c>
      <x:c r="W39" s="17" t="str">
        <x:f>IF(H39="","",TEXT(EDATE(H39,-3),"yyyy-mm")&amp;"〜"&amp;TEXT(EDATE(H39,-1),"yyyy-mm"))</x:f>
        <x:v>2017-10〜2017-12</x:v>
      </x:c>
      <x:c r="X39" s="17" t="str">
        <x:f>IF(I39="","",TEXT(EDATE(I39,-2),"yyyy-mm")&amp;"〜"&amp;TEXT(I39,"yyyy-mm"))</x:f>
      </x:c>
      <x:c r="Y39" s="17" t="str">
        <x:v>国籍による一律優遇と決めず、対象動力・CBU/CKD・個社認定で比較</x:v>
      </x:c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</x:row>
    <x:row r="40" ht="85" customHeight="1">
      <x:c r="A40" s="17" t="str">
        <x:v>PH02</x:v>
      </x:c>
      <x:c r="B40" s="17" t="str">
        <x:v>フィリピン</x:v>
      </x:c>
      <x:c r="C40" s="17" t="str">
        <x:v>適格Hybrid：物品税50%</x:v>
      </x:c>
      <x:c r="D40" s="17" t="str">
        <x:v>購入優遇</x:v>
      </x:c>
      <x:c r="E40" s="17" t="str">
        <x:v>HEV/PHEV等</x:v>
      </x:c>
      <x:c r="F40" s="17" t="str">
        <x:v>認定されたHybrid</x:v>
      </x:c>
      <x:c r="G40" s="17" t="str">
        <x:v>成立・適用期間確認</x:v>
      </x:c>
      <x:c r="H40" s="18" t="d">
        <x:v>2018-01-01T00:00:00.000Z</x:v>
      </x:c>
      <x:c r="I40" s="18"/>
      <x:c r="J40" s="18"/>
      <x:c r="K40" s="17" t="str">
        <x:v>日付確定</x:v>
      </x:c>
      <x:c r="L40" s="17" t="str">
        <x:v>通常自動車物品税の50%を課税</x:v>
      </x:c>
      <x:c r="M40" s="17" t="str">
        <x:v>適格Hybridの税負担軽減</x:v>
      </x:c>
      <x:c r="N40" s="17" t="str">
        <x:v>認定の有無が重要</x:v>
      </x:c>
      <x:c r="O40" s="17" t="str">
        <x:v>中国/日本など国籍よりも適格動力を優遇</x:v>
      </x:c>
      <x:c r="P40" s="17" t="str">
        <x:v>適格型式/非適格、メーカー国籍</x:v>
      </x:c>
      <x:c r="Q40" s="19" t="str">
        <x:v>https://elibrary.judiciary.gov.ph/thebookshelf/showdocs/10/89762</x:v>
      </x:c>
      <x:c r="R40" s="17" t="str">
        <x:v>税法・税務/税関資料（PH04は価格改定一次資料を併記）</x:v>
      </x:c>
      <x:c r="S40" s="17" t="str">
        <x:v>名称だけで全MHEV等を対象としない。</x:v>
      </x:c>
      <x:c r="T40" s="18" t="d">
        <x:v>2026-10-07T00:00:00.000Z</x:v>
      </x:c>
      <x:c r="U40" s="17" t="str">
        <x:f>IF(H40="","",TEXT(H40,"yyyy-mm"))</x:f>
        <x:v>2018-01</x:v>
      </x:c>
      <x:c r="V40" s="17" t="str">
        <x:f>IF(I40="","",TEXT(I40,"yyyy-mm"))</x:f>
      </x:c>
      <x:c r="W40" s="17" t="str">
        <x:f>IF(H40="","",TEXT(EDATE(H40,-3),"yyyy-mm")&amp;"〜"&amp;TEXT(EDATE(H40,-1),"yyyy-mm"))</x:f>
        <x:v>2017-10〜2017-12</x:v>
      </x:c>
      <x:c r="X40" s="17" t="str">
        <x:f>IF(I40="","",TEXT(EDATE(I40,-2),"yyyy-mm")&amp;"〜"&amp;TEXT(I40,"yyyy-mm"))</x:f>
      </x:c>
      <x:c r="Y40" s="17" t="str">
        <x:v>国籍による一律優遇と決めず、対象動力・CBU/CKD・個社認定で比較</x:v>
      </x:c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</x:row>
    <x:row r="41" ht="85" customHeight="1">
      <x:c r="A41" s="17" t="str">
        <x:v>PH03</x:v>
      </x:c>
      <x:c r="B41" s="17" t="str">
        <x:v>フィリピン</x:v>
      </x:c>
      <x:c r="C41" s="17" t="str">
        <x:v>EO12：対象BEV輸入関税0</x:v>
      </x:c>
      <x:c r="D41" s="17" t="str">
        <x:v>輸入条件</x:v>
      </x:c>
      <x:c r="E41" s="17" t="str">
        <x:v>BEV</x:v>
      </x:c>
      <x:c r="F41" s="17" t="str">
        <x:v>EO12の対象HS・MFN税率</x:v>
      </x:c>
      <x:c r="G41" s="17" t="str">
        <x:v>EO62へ更新</x:v>
      </x:c>
      <x:c r="H41" s="18" t="d">
        <x:v>2023-02-20T00:00:00.000Z</x:v>
      </x:c>
      <x:c r="I41" s="18" t="d">
        <x:v>2024-06-30T00:00:00.000Z</x:v>
      </x:c>
      <x:c r="J41" s="18" t="d">
        <x:v>2023-01-13T00:00:00.000Z</x:v>
      </x:c>
      <x:c r="K41" s="17" t="str">
        <x:v>終期は月次区切り</x:v>
      </x:c>
      <x:c r="L41" s="17" t="str">
        <x:v>対象完成車・部品のMFN関税0%</x:v>
      </x:c>
      <x:c r="M41" s="17" t="str">
        <x:v>輸入原価低下</x:v>
      </x:c>
      <x:c r="N41" s="17" t="str">
        <x:v>BEV輸入の拡大余地</x:v>
      </x:c>
      <x:c r="O41" s="17" t="str">
        <x:v>価格転嫁後に販売増。FTAで既に0なら追加差小</x:v>
      </x:c>
      <x:c r="P41" s="17" t="str">
        <x:v>原産地・FTA・対象HSを確認</x:v>
      </x:c>
      <x:c r="Q41" s="19" t="str">
        <x:v>https://customs.gov.ph/wp-content/uploads/2023/05/2023CMC-64-2023.pdf</x:v>
      </x:c>
      <x:c r="R41" s="17" t="str">
        <x:v>税法・税務/税関資料（PH04は価格改定一次資料を併記）</x:v>
      </x:c>
      <x:c r="S41" s="17" t="str">
        <x:v>EO62適用は2024年7月単位で表示。6月末は比較用の月次区切りで法的失効日ではない。</x:v>
      </x:c>
      <x:c r="T41" s="18" t="d">
        <x:v>2026-10-07T00:00:00.000Z</x:v>
      </x:c>
      <x:c r="U41" s="17" t="str">
        <x:f>IF(H41="","",TEXT(H41,"yyyy-mm"))</x:f>
        <x:v>2023-02</x:v>
      </x:c>
      <x:c r="V41" s="17" t="str">
        <x:f>IF(I41="","",TEXT(I41,"yyyy-mm"))</x:f>
        <x:v>2024-06</x:v>
      </x:c>
      <x:c r="W41" s="17" t="str">
        <x:f>IF(H41="","",TEXT(EDATE(H41,-3),"yyyy-mm")&amp;"〜"&amp;TEXT(EDATE(H41,-1),"yyyy-mm"))</x:f>
        <x:v>2022-11〜2023-01</x:v>
      </x:c>
      <x:c r="X41" s="17" t="str">
        <x:f>IF(I41="","",TEXT(EDATE(I41,-2),"yyyy-mm")&amp;"〜"&amp;TEXT(I41,"yyyy-mm"))</x:f>
        <x:v>2024-04〜2024-06</x:v>
      </x:c>
      <x:c r="Y41" s="17" t="str">
        <x:v>国籍による一律優遇と決めず、対象動力・CBU/CKD・個社認定で比較</x:v>
      </x:c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</x:row>
    <x:row r="42" ht="85" customHeight="1">
      <x:c r="A42" s="17" t="str">
        <x:v>PH04</x:v>
      </x:c>
      <x:c r="B42" s="17" t="str">
        <x:v>フィリピン</x:v>
      </x:c>
      <x:c r="C42" s="17" t="str">
        <x:v>EO62：HEV/PHEV等も関税0</x:v>
      </x:c>
      <x:c r="D42" s="17" t="str">
        <x:v>輸入条件</x:v>
      </x:c>
      <x:c r="E42" s="17" t="str">
        <x:v>BEV/HEV/PHEV</x:v>
      </x:c>
      <x:c r="F42" s="17" t="str">
        <x:v>対象HSのMFN税率</x:v>
      </x:c>
      <x:c r="G42" s="17" t="str">
        <x:v>適用月確認・日付は別途確認</x:v>
      </x:c>
      <x:c r="H42" s="18" t="d">
        <x:v>2024-07-01T00:00:00.000Z</x:v>
      </x:c>
      <x:c r="I42" s="18" t="d">
        <x:v>2028-12-31T00:00:00.000Z</x:v>
      </x:c>
      <x:c r="J42" s="18" t="d">
        <x:v>2024-06-20T00:00:00.000Z</x:v>
      </x:c>
      <x:c r="K42" s="17" t="str">
        <x:v>月次境界キー</x:v>
      </x:c>
      <x:c r="L42" s="17" t="str">
        <x:v>対象をHybrid等へ拡大、2028年まで0%</x:v>
      </x:c>
      <x:c r="M42" s="17" t="str">
        <x:v>適格輸入車の原価低下</x:v>
      </x:c>
      <x:c r="N42" s="17" t="str">
        <x:v>BEVだけでなくHybridにも拡大</x:v>
      </x:c>
      <x:c r="O42" s="17" t="str">
        <x:v>日本車HEVにも販売増の可能性。7月20日にTMP対象車SRP値下げ</x:v>
      </x:c>
      <x:c r="P42" s="17" t="str">
        <x:v>対象車/対象外、実価格改定日、FTA税率</x:v>
      </x:c>
      <x:c r="Q42" s="19" t="str">
        <x:v>https://customs.gov.ph/wp-content/uploads/2024/07/20240620-EO-62-FRM.pdf</x:v>
      </x:c>
      <x:c r="R42" s="17" t="str">
        <x:v>税法・税務/税関資料（PH04は価格改定一次資料を併記）</x:v>
      </x:c>
      <x:c r="S42" s="17" t="str">
        <x:v>始期7月1日は月次キーで施行日ではない。Toyota価格改定は2024年7月20日：https://toyota.com.ph/news/EO62PublicAdvisory</x:v>
      </x:c>
      <x:c r="T42" s="18" t="d">
        <x:v>2026-10-07T00:00:00.000Z</x:v>
      </x:c>
      <x:c r="U42" s="17" t="str">
        <x:f>IF(H42="","",TEXT(H42,"yyyy-mm"))</x:f>
        <x:v>2024-07</x:v>
      </x:c>
      <x:c r="V42" s="17" t="str">
        <x:f>IF(I42="","",TEXT(I42,"yyyy-mm"))</x:f>
        <x:v>2028-12</x:v>
      </x:c>
      <x:c r="W42" s="17" t="str">
        <x:f>IF(H42="","",TEXT(EDATE(H42,-3),"yyyy-mm")&amp;"〜"&amp;TEXT(EDATE(H42,-1),"yyyy-mm"))</x:f>
        <x:v>2024-04〜2024-06</x:v>
      </x:c>
      <x:c r="X42" s="17" t="str">
        <x:f>IF(I42="","",TEXT(EDATE(I42,-2),"yyyy-mm")&amp;"〜"&amp;TEXT(I42,"yyyy-mm"))</x:f>
        <x:v>2028-10〜2028-12</x:v>
      </x:c>
      <x:c r="Y42" s="17" t="str">
        <x:v>国籍による一律優遇と決めず、対象動力・CBU/CKD・個社認定で比較</x:v>
      </x:c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</x:row>
    <x:row r="43" ht="85" customHeight="1">
      <x:c r="A43" s="17" t="str">
        <x:v>PH05</x:v>
      </x:c>
      <x:c r="B43" s="17" t="str">
        <x:v>フィリピン</x:v>
      </x:c>
      <x:c r="C43" s="17" t="str">
        <x:v>RR1/2025：認定・定義の明確化</x:v>
      </x:c>
      <x:c r="D43" s="17" t="str">
        <x:v>発表・見直し</x:v>
      </x:c>
      <x:c r="E43" s="17" t="str">
        <x:v>BEV/Hybrid</x:v>
      </x:c>
      <x:c r="F43" s="17" t="str">
        <x:v>税免除・軽減対象の認定</x:v>
      </x:c>
      <x:c r="G43" s="17" t="str">
        <x:v>既存制度の明確化</x:v>
      </x:c>
      <x:c r="H43" s="18"/>
      <x:c r="I43" s="18"/>
      <x:c r="J43" s="18" t="d">
        <x:v>2025-01-02T00:00:00.000Z</x:v>
      </x:c>
      <x:c r="K43" s="17" t="str">
        <x:v>規則日・施行未確認</x:v>
      </x:c>
      <x:c r="L43" s="17" t="str">
        <x:v>純EV/Hybridの定義・DOE認定の扱いを明確化</x:v>
      </x:c>
      <x:c r="M43" s="17" t="str">
        <x:v>認定可否を通じ価格に影響</x:v>
      </x:c>
      <x:c r="N43" s="17" t="str">
        <x:v>型式と認定条件の確認</x:v>
      </x:c>
      <x:c r="O43" s="17" t="str">
        <x:v>既存の税優遇を2025年新規減税と誤認しない</x:v>
      </x:c>
      <x:c r="P43" s="17" t="str">
        <x:v>DOE認定型式、価格・販売の変更</x:v>
      </x:c>
      <x:c r="Q43" s="19" t="str">
        <x:v>https://bir-cdn.bir.gov.ph/BIR/pdf/RR%20No.%201-2025.pdf</x:v>
      </x:c>
      <x:c r="R43" s="17" t="str">
        <x:v>税法・税務/税関資料（PH04は価格改定一次資料を併記）</x:v>
      </x:c>
      <x:c r="S43" s="17" t="str"/>
      <x:c r="T43" s="18" t="d">
        <x:v>2026-10-07T00:00:00.000Z</x:v>
      </x:c>
      <x:c r="U43" s="17" t="str">
        <x:f>IF(H43="","",TEXT(H43,"yyyy-mm"))</x:f>
      </x:c>
      <x:c r="V43" s="17" t="str">
        <x:f>IF(I43="","",TEXT(I43,"yyyy-mm"))</x:f>
      </x:c>
      <x:c r="W43" s="17" t="str">
        <x:f>IF(H43="","",TEXT(EDATE(H43,-3),"yyyy-mm")&amp;"〜"&amp;TEXT(EDATE(H43,-1),"yyyy-mm"))</x:f>
      </x:c>
      <x:c r="X43" s="17" t="str">
        <x:f>IF(I43="","",TEXT(EDATE(I43,-2),"yyyy-mm")&amp;"〜"&amp;TEXT(I43,"yyyy-mm"))</x:f>
      </x:c>
      <x:c r="Y43" s="17" t="str">
        <x:v>国籍による一律優遇と決めず、対象動力・CBU/CKD・個社認定で比較</x:v>
      </x:c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  <x:c r="CW210" s="1"/>
      <x:c r="CX210" s="1"/>
      <x:c r="CY210" s="1"/>
      <x:c r="CZ210" s="1"/>
      <x:c r="DA210" s="1"/>
      <x:c r="DB210" s="1"/>
      <x:c r="DC210" s="1"/>
      <x:c r="DD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/>
      <x:c r="CZ214" s="1"/>
      <x:c r="DA214" s="1"/>
      <x:c r="DB214" s="1"/>
      <x:c r="DC214" s="1"/>
      <x:c r="DD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/>
      <x:c r="CY228" s="1"/>
      <x:c r="CZ228" s="1"/>
      <x:c r="DA228" s="1"/>
      <x:c r="DB228" s="1"/>
      <x:c r="DC228" s="1"/>
      <x:c r="DD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  <x:c r="CW232" s="1"/>
      <x:c r="CX232" s="1"/>
      <x:c r="CY232" s="1"/>
      <x:c r="CZ232" s="1"/>
      <x:c r="DA232" s="1"/>
      <x:c r="DB232" s="1"/>
      <x:c r="DC232" s="1"/>
      <x:c r="DD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  <x:c r="CW237" s="1"/>
      <x:c r="CX237" s="1"/>
      <x:c r="CY237" s="1"/>
      <x:c r="CZ237" s="1"/>
      <x:c r="DA237" s="1"/>
      <x:c r="DB237" s="1"/>
      <x:c r="DC237" s="1"/>
      <x:c r="DD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  <x:c r="CW245" s="1"/>
      <x:c r="CX245" s="1"/>
      <x:c r="CY245" s="1"/>
      <x:c r="CZ245" s="1"/>
      <x:c r="DA245" s="1"/>
      <x:c r="DB245" s="1"/>
      <x:c r="DC245" s="1"/>
      <x:c r="DD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/>
      <x:c r="CZ247" s="1"/>
      <x:c r="DA247" s="1"/>
      <x:c r="DB247" s="1"/>
      <x:c r="DC247" s="1"/>
      <x:c r="DD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/>
      <x:c r="CY249" s="1"/>
      <x:c r="CZ249" s="1"/>
      <x:c r="DA249" s="1"/>
      <x:c r="DB249" s="1"/>
      <x:c r="DC249" s="1"/>
      <x:c r="DD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/>
      <x:c r="CY250" s="1"/>
      <x:c r="CZ250" s="1"/>
      <x:c r="DA250" s="1"/>
      <x:c r="DB250" s="1"/>
      <x:c r="DC250" s="1"/>
      <x:c r="DD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/>
      <x:c r="CY252" s="1"/>
      <x:c r="CZ252" s="1"/>
      <x:c r="DA252" s="1"/>
      <x:c r="DB252" s="1"/>
      <x:c r="DC252" s="1"/>
      <x:c r="DD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/>
      <x:c r="CZ260" s="1"/>
      <x:c r="DA260" s="1"/>
      <x:c r="DB260" s="1"/>
      <x:c r="DC260" s="1"/>
      <x:c r="DD260" s="1"/>
    </x:row>
  </x:sheetData>
  <x:mergeCells>
    <x:mergeCell ref="A1:Y1"/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f32e66e4d1d34139"/>
  </x:tableParts>
</x:worksheet>
</file>

<file path=xl/worksheets/sheet4.xml><?xml version="1.0" encoding="utf-8"?>
<x:worksheet xmlns:x="http://schemas.openxmlformats.org/spreadsheetml/2006/main">
  <x:sheetPr>
    <x:tabColor rgb="FF15324F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8" customHeight="1">
      <x:c r="A1" s="4" t="str">
        <x:v>月次販売入力｜青いセルへ台数を貼り付け</x:v>
      </x:c>
      <x:c r="B1" s="4" t="str">
        <x:v>月次販売入力｜青いセルへ台数を貼り付け</x:v>
      </x:c>
      <x:c r="C1" s="4" t="str">
        <x:v>月次販売入力｜青いセルへ台数を貼り付け</x:v>
      </x:c>
      <x:c r="D1" s="4" t="str">
        <x:v>月次販売入力｜青いセルへ台数を貼り付け</x:v>
      </x:c>
      <x:c r="E1" s="4" t="str">
        <x:v>月次販売入力｜青いセルへ台数を貼り付け</x:v>
      </x:c>
      <x:c r="F1" s="4" t="str">
        <x:v>月次販売入力｜青いセルへ台数を貼り付け</x:v>
      </x:c>
      <x:c r="G1" s="4" t="str">
        <x:v>月次販売入力｜青いセルへ台数を貼り付け</x:v>
      </x:c>
      <x:c r="H1" s="4" t="str">
        <x:v>月次販売入力｜青いセルへ台数を貼り付け</x:v>
      </x:c>
      <x:c r="I1" s="4" t="str">
        <x:v>月次販売入力｜青いセルへ台数を貼り付け</x:v>
      </x:c>
      <x:c r="J1" s="4" t="str">
        <x:v>月次販売入力｜青いセルへ台数を貼り付け</x:v>
      </x:c>
      <x:c r="K1" s="4" t="str">
        <x:v>月次販売入力｜青いセルへ台数を貼り付け</x:v>
      </x:c>
      <x:c r="L1" s="4" t="str">
        <x:v>月次販売入力｜青いセルへ台数を貼り付け</x:v>
      </x:c>
      <x:c r="M1" s="4" t="str">
        <x:v>月次販売入力｜青いセルへ台数を貼り付け</x:v>
      </x:c>
      <x:c r="N1" s="4" t="str">
        <x:v>月次販売入力｜青いセルへ台数を貼り付け</x:v>
      </x:c>
      <x:c r="O1" s="4" t="str">
        <x:v>月次販売入力｜青いセルへ台数を貼り付け</x:v>
      </x:c>
      <x:c r="P1" s="4" t="str">
        <x:v>月次販売入力｜青いセルへ台数を貼り付け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</x:row>
    <x:row r="2" ht="34" customHeight="1">
      <x:c r="A2" s="7" t="str">
        <x:v>実際の販売台数は未入力。2020/01〜2027/12の96か月×5カ国×3系列。空欄＝未取得、0＝実測ゼロ。卸売・小売・登録を同一系列で混在させない。</x:v>
      </x:c>
      <x:c r="B2" s="7" t="str">
        <x:v>実際の販売台数は未入力。2020/01〜2027/12の96か月×5カ国×3系列。空欄＝未取得、0＝実測ゼロ。卸売・小売・登録を同一系列で混在させない。</x:v>
      </x:c>
      <x:c r="C2" s="7" t="str">
        <x:v>実際の販売台数は未入力。2020/01〜2027/12の96か月×5カ国×3系列。空欄＝未取得、0＝実測ゼロ。卸売・小売・登録を同一系列で混在させない。</x:v>
      </x:c>
      <x:c r="D2" s="7" t="str">
        <x:v>実際の販売台数は未入力。2020/01〜2027/12の96か月×5カ国×3系列。空欄＝未取得、0＝実測ゼロ。卸売・小売・登録を同一系列で混在させない。</x:v>
      </x:c>
      <x:c r="E2" s="7" t="str">
        <x:v>実際の販売台数は未入力。2020/01〜2027/12の96か月×5カ国×3系列。空欄＝未取得、0＝実測ゼロ。卸売・小売・登録を同一系列で混在させない。</x:v>
      </x:c>
      <x:c r="F2" s="7" t="str">
        <x:v>実際の販売台数は未入力。2020/01〜2027/12の96か月×5カ国×3系列。空欄＝未取得、0＝実測ゼロ。卸売・小売・登録を同一系列で混在させない。</x:v>
      </x:c>
      <x:c r="G2" s="7" t="str">
        <x:v>実際の販売台数は未入力。2020/01〜2027/12の96か月×5カ国×3系列。空欄＝未取得、0＝実測ゼロ。卸売・小売・登録を同一系列で混在させない。</x:v>
      </x:c>
      <x:c r="H2" s="7" t="str">
        <x:v>実際の販売台数は未入力。2020/01〜2027/12の96か月×5カ国×3系列。空欄＝未取得、0＝実測ゼロ。卸売・小売・登録を同一系列で混在させない。</x:v>
      </x:c>
      <x:c r="I2" s="7" t="str">
        <x:v>実際の販売台数は未入力。2020/01〜2027/12の96か月×5カ国×3系列。空欄＝未取得、0＝実測ゼロ。卸売・小売・登録を同一系列で混在させない。</x:v>
      </x:c>
      <x:c r="J2" s="7" t="str">
        <x:v>実際の販売台数は未入力。2020/01〜2027/12の96か月×5カ国×3系列。空欄＝未取得、0＝実測ゼロ。卸売・小売・登録を同一系列で混在させない。</x:v>
      </x:c>
      <x:c r="K2" s="7" t="str">
        <x:v>実際の販売台数は未入力。2020/01〜2027/12の96か月×5カ国×3系列。空欄＝未取得、0＝実測ゼロ。卸売・小売・登録を同一系列で混在させない。</x:v>
      </x:c>
      <x:c r="L2" s="7" t="str">
        <x:v>実際の販売台数は未入力。2020/01〜2027/12の96か月×5カ国×3系列。空欄＝未取得、0＝実測ゼロ。卸売・小売・登録を同一系列で混在させない。</x:v>
      </x:c>
      <x:c r="M2" s="7" t="str">
        <x:v>実際の販売台数は未入力。2020/01〜2027/12の96か月×5カ国×3系列。空欄＝未取得、0＝実測ゼロ。卸売・小売・登録を同一系列で混在させない。</x:v>
      </x:c>
      <x:c r="N2" s="7" t="str">
        <x:v>実際の販売台数は未入力。2020/01〜2027/12の96か月×5カ国×3系列。空欄＝未取得、0＝実測ゼロ。卸売・小売・登録を同一系列で混在させない。</x:v>
      </x:c>
      <x:c r="O2" s="7" t="str">
        <x:v>実際の販売台数は未入力。2020/01〜2027/12の96か月×5カ国×3系列。空欄＝未取得、0＝実測ゼロ。卸売・小売・登録を同一系列で混在させない。</x:v>
      </x:c>
      <x:c r="P2" s="7" t="str">
        <x:v>実際の販売台数は未入力。2020/01〜2027/12の96か月×5カ国×3系列。空欄＝未取得、0＝実測ゼロ。卸売・小売・登録を同一系列で混在させない。</x:v>
      </x:c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</x:row>
    <x:row r="3" ht="34" customHeight="1">
      <x:c r="A3" s="7" t="str">
        <x:v>系列名（6行目）はBEV/HEV/ICEが初期値。中国系／日本系／市場全体などに変更可能。対象モデル・動力・集計範囲、統計定義、出典を下段に記録する。</x:v>
      </x:c>
      <x:c r="B3" s="7" t="str">
        <x:v>系列名（6行目）はBEV/HEV/ICEが初期値。中国系／日本系／市場全体などに変更可能。対象モデル・動力・集計範囲、統計定義、出典を下段に記録する。</x:v>
      </x:c>
      <x:c r="C3" s="7" t="str">
        <x:v>系列名（6行目）はBEV/HEV/ICEが初期値。中国系／日本系／市場全体などに変更可能。対象モデル・動力・集計範囲、統計定義、出典を下段に記録する。</x:v>
      </x:c>
      <x:c r="D3" s="7" t="str">
        <x:v>系列名（6行目）はBEV/HEV/ICEが初期値。中国系／日本系／市場全体などに変更可能。対象モデル・動力・集計範囲、統計定義、出典を下段に記録する。</x:v>
      </x:c>
      <x:c r="E3" s="7" t="str">
        <x:v>系列名（6行目）はBEV/HEV/ICEが初期値。中国系／日本系／市場全体などに変更可能。対象モデル・動力・集計範囲、統計定義、出典を下段に記録する。</x:v>
      </x:c>
      <x:c r="F3" s="7" t="str">
        <x:v>系列名（6行目）はBEV/HEV/ICEが初期値。中国系／日本系／市場全体などに変更可能。対象モデル・動力・集計範囲、統計定義、出典を下段に記録する。</x:v>
      </x:c>
      <x:c r="G3" s="7" t="str">
        <x:v>系列名（6行目）はBEV/HEV/ICEが初期値。中国系／日本系／市場全体などに変更可能。対象モデル・動力・集計範囲、統計定義、出典を下段に記録する。</x:v>
      </x:c>
      <x:c r="H3" s="7" t="str">
        <x:v>系列名（6行目）はBEV/HEV/ICEが初期値。中国系／日本系／市場全体などに変更可能。対象モデル・動力・集計範囲、統計定義、出典を下段に記録する。</x:v>
      </x:c>
      <x:c r="I3" s="7" t="str">
        <x:v>系列名（6行目）はBEV/HEV/ICEが初期値。中国系／日本系／市場全体などに変更可能。対象モデル・動力・集計範囲、統計定義、出典を下段に記録する。</x:v>
      </x:c>
      <x:c r="J3" s="7" t="str">
        <x:v>系列名（6行目）はBEV/HEV/ICEが初期値。中国系／日本系／市場全体などに変更可能。対象モデル・動力・集計範囲、統計定義、出典を下段に記録する。</x:v>
      </x:c>
      <x:c r="K3" s="7" t="str">
        <x:v>系列名（6行目）はBEV/HEV/ICEが初期値。中国系／日本系／市場全体などに変更可能。対象モデル・動力・集計範囲、統計定義、出典を下段に記録する。</x:v>
      </x:c>
      <x:c r="L3" s="7" t="str">
        <x:v>系列名（6行目）はBEV/HEV/ICEが初期値。中国系／日本系／市場全体などに変更可能。対象モデル・動力・集計範囲、統計定義、出典を下段に記録する。</x:v>
      </x:c>
      <x:c r="M3" s="7" t="str">
        <x:v>系列名（6行目）はBEV/HEV/ICEが初期値。中国系／日本系／市場全体などに変更可能。対象モデル・動力・集計範囲、統計定義、出典を下段に記録する。</x:v>
      </x:c>
      <x:c r="N3" s="7" t="str">
        <x:v>系列名（6行目）はBEV/HEV/ICEが初期値。中国系／日本系／市場全体などに変更可能。対象モデル・動力・集計範囲、統計定義、出典を下段に記録する。</x:v>
      </x:c>
      <x:c r="O3" s="7" t="str">
        <x:v>系列名（6行目）はBEV/HEV/ICEが初期値。中国系／日本系／市場全体などに変更可能。対象モデル・動力・集計範囲、統計定義、出典を下段に記録する。</x:v>
      </x:c>
      <x:c r="P3" s="7" t="str">
        <x:v>系列名（6行目）はBEV/HEV/ICEが初期値。中国系／日本系／市場全体などに変更可能。対象モデル・動力・集計範囲、統計定義、出典を下段に記録する。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</x:row>
    <x:row r="5" ht="40" customHeight="1">
      <x:c r="A5" s="13" t="str">
        <x:v>対象月</x:v>
      </x:c>
      <x:c r="B5" s="13" t="str">
        <x:v>タイ</x:v>
      </x:c>
      <x:c r="C5" s="13"/>
      <x:c r="D5" s="13"/>
      <x:c r="E5" s="13" t="str">
        <x:v>インドネシア</x:v>
      </x:c>
      <x:c r="F5" s="13"/>
      <x:c r="G5" s="13"/>
      <x:c r="H5" s="13" t="str">
        <x:v>マレーシア</x:v>
      </x:c>
      <x:c r="I5" s="13"/>
      <x:c r="J5" s="13"/>
      <x:c r="K5" s="13" t="str">
        <x:v>ベトナム</x:v>
      </x:c>
      <x:c r="L5" s="13"/>
      <x:c r="M5" s="13"/>
      <x:c r="N5" s="13" t="str">
        <x:v>フィリピン</x:v>
      </x:c>
      <x:c r="O5" s="13"/>
      <x:c r="P5" s="13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</x:row>
    <x:row r="6" ht="28" customHeight="1">
      <x:c r="A6" s="20" t="str">
        <x:v>系列名（編集可）</x:v>
      </x:c>
      <x:c r="B6" s="21" t="str">
        <x:v>BEV</x:v>
      </x:c>
      <x:c r="C6" s="21" t="str">
        <x:v>HEV</x:v>
      </x:c>
      <x:c r="D6" s="21" t="str">
        <x:v>ICE</x:v>
      </x:c>
      <x:c r="E6" s="21" t="str">
        <x:v>BEV</x:v>
      </x:c>
      <x:c r="F6" s="21" t="str">
        <x:v>HEV</x:v>
      </x:c>
      <x:c r="G6" s="21" t="str">
        <x:v>ICE</x:v>
      </x:c>
      <x:c r="H6" s="21" t="str">
        <x:v>BEV</x:v>
      </x:c>
      <x:c r="I6" s="21" t="str">
        <x:v>HEV</x:v>
      </x:c>
      <x:c r="J6" s="21" t="str">
        <x:v>ICE</x:v>
      </x:c>
      <x:c r="K6" s="21" t="str">
        <x:v>BEV</x:v>
      </x:c>
      <x:c r="L6" s="21" t="str">
        <x:v>HEV</x:v>
      </x:c>
      <x:c r="M6" s="21" t="str">
        <x:v>ICE</x:v>
      </x:c>
      <x:c r="N6" s="21" t="str">
        <x:v>BEV</x:v>
      </x:c>
      <x:c r="O6" s="21" t="str">
        <x:v>HEV</x:v>
      </x:c>
      <x:c r="P6" s="21" t="str">
        <x:v>ICE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</x:row>
    <x:row r="7" ht="23" customHeight="1">
      <x:c r="A7" s="26" t="d">
        <x:v>2020-01-01T00:00:00.000Z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</x:row>
    <x:row r="8" ht="23" customHeight="1">
      <x:c r="A8" s="26" t="d">
        <x:v>2020-02-01T00:00:00.000Z</x:v>
      </x:c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</x:row>
    <x:row r="9" ht="23" customHeight="1">
      <x:c r="A9" s="26" t="d">
        <x:v>2020-03-01T00:00:00.000Z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</x:row>
    <x:row r="10" ht="23" customHeight="1">
      <x:c r="A10" s="26" t="d">
        <x:v>2020-04-01T00:00:00.000Z</x:v>
      </x:c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</x:row>
    <x:row r="11" ht="23" customHeight="1">
      <x:c r="A11" s="26" t="d">
        <x:v>2020-05-01T00:00:00.000Z</x:v>
      </x:c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</x:row>
    <x:row r="12" ht="23" customHeight="1">
      <x:c r="A12" s="26" t="d">
        <x:v>2020-06-01T00:00:00.000Z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</x:row>
    <x:row r="13" ht="23" customHeight="1">
      <x:c r="A13" s="26" t="d">
        <x:v>2020-07-01T00:00:00.000Z</x:v>
      </x:c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</x:row>
    <x:row r="14" ht="23" customHeight="1">
      <x:c r="A14" s="26" t="d">
        <x:v>2020-08-01T00:00:00.000Z</x:v>
      </x:c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</x:row>
    <x:row r="15" ht="23" customHeight="1">
      <x:c r="A15" s="26" t="d">
        <x:v>2020-09-01T00:00:00.000Z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</x:row>
    <x:row r="16" ht="23" customHeight="1">
      <x:c r="A16" s="26" t="d">
        <x:v>2020-10-01T00:00:00.000Z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</x:row>
    <x:row r="17" ht="23" customHeight="1">
      <x:c r="A17" s="26" t="d">
        <x:v>2020-11-01T00:00:00.000Z</x:v>
      </x:c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</x:row>
    <x:row r="18" ht="23" customHeight="1">
      <x:c r="A18" s="26" t="d">
        <x:v>2020-12-01T00:00:00.000Z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</x:row>
    <x:row r="19" ht="23" customHeight="1">
      <x:c r="A19" s="26" t="d">
        <x:v>2021-01-01T00:00:00.000Z</x:v>
      </x:c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</x:row>
    <x:row r="20" ht="23" customHeight="1">
      <x:c r="A20" s="26" t="d">
        <x:v>2021-02-01T00:00:00.000Z</x:v>
      </x:c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</x:row>
    <x:row r="21" ht="23" customHeight="1">
      <x:c r="A21" s="26" t="d">
        <x:v>2021-03-01T00:00:00.000Z</x:v>
      </x:c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</x:row>
    <x:row r="22" ht="23" customHeight="1">
      <x:c r="A22" s="26" t="d">
        <x:v>2021-04-01T00:00:00.000Z</x:v>
      </x:c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</x:row>
    <x:row r="23" ht="23" customHeight="1">
      <x:c r="A23" s="26" t="d">
        <x:v>2021-05-01T00:00:00.000Z</x:v>
      </x:c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</x:row>
    <x:row r="24" ht="23" customHeight="1">
      <x:c r="A24" s="26" t="d">
        <x:v>2021-06-01T00:00:00.000Z</x:v>
      </x:c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</x:row>
    <x:row r="25" ht="23" customHeight="1">
      <x:c r="A25" s="26" t="d">
        <x:v>2021-07-01T00:00:00.000Z</x:v>
      </x:c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</x:row>
    <x:row r="26" ht="23" customHeight="1">
      <x:c r="A26" s="26" t="d">
        <x:v>2021-08-01T00:00:00.000Z</x:v>
      </x:c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</x:row>
    <x:row r="27" ht="23" customHeight="1">
      <x:c r="A27" s="26" t="d">
        <x:v>2021-09-01T00:00:00.000Z</x:v>
      </x:c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</x:row>
    <x:row r="28" ht="23" customHeight="1">
      <x:c r="A28" s="26" t="d">
        <x:v>2021-10-01T00:00:00.000Z</x:v>
      </x:c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</x:row>
    <x:row r="29" ht="23" customHeight="1">
      <x:c r="A29" s="26" t="d">
        <x:v>2021-11-01T00:00:00.000Z</x:v>
      </x:c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</x:row>
    <x:row r="30" ht="23" customHeight="1">
      <x:c r="A30" s="26" t="d">
        <x:v>2021-12-01T00:00:00.000Z</x:v>
      </x:c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</x:row>
    <x:row r="31" ht="23" customHeight="1">
      <x:c r="A31" s="26" t="d">
        <x:v>2022-01-01T00:00:00.000Z</x:v>
      </x:c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</x:row>
    <x:row r="32" ht="23" customHeight="1">
      <x:c r="A32" s="26" t="d">
        <x:v>2022-02-01T00:00:00.000Z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</x:row>
    <x:row r="33" ht="23" customHeight="1">
      <x:c r="A33" s="26" t="d">
        <x:v>2022-03-01T00:00:00.000Z</x:v>
      </x:c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</x:row>
    <x:row r="34" ht="23" customHeight="1">
      <x:c r="A34" s="26" t="d">
        <x:v>2022-04-01T00:00:00.000Z</x:v>
      </x:c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</x:row>
    <x:row r="35" ht="23" customHeight="1">
      <x:c r="A35" s="26" t="d">
        <x:v>2022-05-01T00:00:00.000Z</x:v>
      </x:c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</x:row>
    <x:row r="36" ht="23" customHeight="1">
      <x:c r="A36" s="26" t="d">
        <x:v>2022-06-01T00:00:00.000Z</x:v>
      </x:c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</x:row>
    <x:row r="37" ht="23" customHeight="1">
      <x:c r="A37" s="26" t="d">
        <x:v>2022-07-01T00:00:00.000Z</x:v>
      </x:c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</x:row>
    <x:row r="38" ht="23" customHeight="1">
      <x:c r="A38" s="26" t="d">
        <x:v>2022-08-01T00:00:00.000Z</x:v>
      </x:c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</x:row>
    <x:row r="39" ht="23" customHeight="1">
      <x:c r="A39" s="26" t="d">
        <x:v>2022-09-01T00:00:00.000Z</x:v>
      </x:c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</x:row>
    <x:row r="40" ht="23" customHeight="1">
      <x:c r="A40" s="26" t="d">
        <x:v>2022-10-01T00:00:00.000Z</x:v>
      </x:c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</x:row>
    <x:row r="41" ht="23" customHeight="1">
      <x:c r="A41" s="26" t="d">
        <x:v>2022-11-01T00:00:00.000Z</x:v>
      </x:c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</x:row>
    <x:row r="42" ht="23" customHeight="1">
      <x:c r="A42" s="26" t="d">
        <x:v>2022-12-01T00:00:00.000Z</x:v>
      </x:c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</x:row>
    <x:row r="43" ht="23" customHeight="1">
      <x:c r="A43" s="26" t="d">
        <x:v>2023-01-01T00:00:00.000Z</x:v>
      </x:c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</x:row>
    <x:row r="44" ht="23" customHeight="1">
      <x:c r="A44" s="26" t="d">
        <x:v>2023-02-01T00:00:00.000Z</x:v>
      </x:c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</x:row>
    <x:row r="45" ht="23" customHeight="1">
      <x:c r="A45" s="26" t="d">
        <x:v>2023-03-01T00:00:00.000Z</x:v>
      </x:c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</x:row>
    <x:row r="46" ht="23" customHeight="1">
      <x:c r="A46" s="26" t="d">
        <x:v>2023-04-01T00:00:00.000Z</x:v>
      </x:c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</x:row>
    <x:row r="47" ht="23" customHeight="1">
      <x:c r="A47" s="26" t="d">
        <x:v>2023-05-01T00:00:00.000Z</x:v>
      </x:c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</x:row>
    <x:row r="48" ht="23" customHeight="1">
      <x:c r="A48" s="26" t="d">
        <x:v>2023-06-01T00:00:00.000Z</x:v>
      </x:c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</x:row>
    <x:row r="49" ht="23" customHeight="1">
      <x:c r="A49" s="26" t="d">
        <x:v>2023-07-01T00:00:00.000Z</x:v>
      </x:c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</x:row>
    <x:row r="50" ht="23" customHeight="1">
      <x:c r="A50" s="26" t="d">
        <x:v>2023-08-01T00:00:00.000Z</x:v>
      </x:c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</x:row>
    <x:row r="51" ht="23" customHeight="1">
      <x:c r="A51" s="26" t="d">
        <x:v>2023-09-01T00:00:00.000Z</x:v>
      </x:c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</x:row>
    <x:row r="52" ht="23" customHeight="1">
      <x:c r="A52" s="26" t="d">
        <x:v>2023-10-01T00:00:00.000Z</x:v>
      </x:c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</x:row>
    <x:row r="53" ht="23" customHeight="1">
      <x:c r="A53" s="26" t="d">
        <x:v>2023-11-01T00:00:00.000Z</x:v>
      </x:c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</x:row>
    <x:row r="54" ht="23" customHeight="1">
      <x:c r="A54" s="26" t="d">
        <x:v>2023-12-01T00:00:00.000Z</x:v>
      </x:c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</x:row>
    <x:row r="55" ht="23" customHeight="1">
      <x:c r="A55" s="26" t="d">
        <x:v>2024-01-01T00:00:00.000Z</x:v>
      </x:c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</x:row>
    <x:row r="56" ht="23" customHeight="1">
      <x:c r="A56" s="26" t="d">
        <x:v>2024-02-01T00:00:00.000Z</x:v>
      </x:c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</x:row>
    <x:row r="57" ht="23" customHeight="1">
      <x:c r="A57" s="26" t="d">
        <x:v>2024-03-01T00:00:00.000Z</x:v>
      </x:c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</x:row>
    <x:row r="58" ht="23" customHeight="1">
      <x:c r="A58" s="26" t="d">
        <x:v>2024-04-01T00:00:00.000Z</x:v>
      </x:c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</x:row>
    <x:row r="59" ht="23" customHeight="1">
      <x:c r="A59" s="26" t="d">
        <x:v>2024-05-01T00:00:00.000Z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</x:row>
    <x:row r="60" ht="23" customHeight="1">
      <x:c r="A60" s="26" t="d">
        <x:v>2024-06-01T00:00:00.000Z</x:v>
      </x:c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</x:row>
    <x:row r="61" ht="23" customHeight="1">
      <x:c r="A61" s="26" t="d">
        <x:v>2024-07-01T00:00:00.000Z</x:v>
      </x:c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</x:row>
    <x:row r="62" ht="23" customHeight="1">
      <x:c r="A62" s="26" t="d">
        <x:v>2024-08-01T00:00:00.000Z</x:v>
      </x:c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</x:row>
    <x:row r="63" ht="23" customHeight="1">
      <x:c r="A63" s="26" t="d">
        <x:v>2024-09-01T00:00:00.000Z</x:v>
      </x:c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</x:row>
    <x:row r="64" ht="23" customHeight="1">
      <x:c r="A64" s="26" t="d">
        <x:v>2024-10-01T00:00:00.000Z</x:v>
      </x:c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</x:row>
    <x:row r="65" ht="23" customHeight="1">
      <x:c r="A65" s="26" t="d">
        <x:v>2024-11-01T00:00:00.000Z</x:v>
      </x:c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</x:row>
    <x:row r="66" ht="23" customHeight="1">
      <x:c r="A66" s="26" t="d">
        <x:v>2024-12-01T00:00:00.000Z</x:v>
      </x:c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</x:row>
    <x:row r="67" ht="23" customHeight="1">
      <x:c r="A67" s="26" t="d">
        <x:v>2025-01-01T00:00:00.000Z</x:v>
      </x:c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</x:row>
    <x:row r="68" ht="23" customHeight="1">
      <x:c r="A68" s="26" t="d">
        <x:v>2025-02-01T00:00:00.000Z</x:v>
      </x:c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</x:row>
    <x:row r="69" ht="23" customHeight="1">
      <x:c r="A69" s="26" t="d">
        <x:v>2025-03-01T00:00:00.000Z</x:v>
      </x:c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</x:row>
    <x:row r="70" ht="23" customHeight="1">
      <x:c r="A70" s="26" t="d">
        <x:v>2025-04-01T00:00:00.000Z</x:v>
      </x:c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</x:row>
    <x:row r="71" ht="23" customHeight="1">
      <x:c r="A71" s="26" t="d">
        <x:v>2025-05-01T00:00:00.000Z</x:v>
      </x:c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</x:row>
    <x:row r="72" ht="23" customHeight="1">
      <x:c r="A72" s="26" t="d">
        <x:v>2025-06-01T00:00:00.000Z</x:v>
      </x:c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</x:row>
    <x:row r="73" ht="23" customHeight="1">
      <x:c r="A73" s="26" t="d">
        <x:v>2025-07-01T00:00:00.000Z</x:v>
      </x:c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</x:row>
    <x:row r="74" ht="23" customHeight="1">
      <x:c r="A74" s="26" t="d">
        <x:v>2025-08-01T00:00:00.000Z</x:v>
      </x:c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</x:row>
    <x:row r="75" ht="23" customHeight="1">
      <x:c r="A75" s="26" t="d">
        <x:v>2025-09-01T00:00:00.000Z</x:v>
      </x:c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</x:row>
    <x:row r="76" ht="23" customHeight="1">
      <x:c r="A76" s="26" t="d">
        <x:v>2025-10-01T00:00:00.000Z</x:v>
      </x:c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</x:row>
    <x:row r="77" ht="23" customHeight="1">
      <x:c r="A77" s="26" t="d">
        <x:v>2025-11-01T00:00:00.000Z</x:v>
      </x:c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</x:row>
    <x:row r="78" ht="23" customHeight="1">
      <x:c r="A78" s="26" t="d">
        <x:v>2025-12-01T00:00:00.000Z</x:v>
      </x:c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</x:row>
    <x:row r="79" ht="23" customHeight="1">
      <x:c r="A79" s="26" t="d">
        <x:v>2026-01-01T00:00:00.000Z</x:v>
      </x:c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</x:row>
    <x:row r="80" ht="23" customHeight="1">
      <x:c r="A80" s="26" t="d">
        <x:v>2026-02-01T00:00:00.000Z</x:v>
      </x:c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</x:row>
    <x:row r="81" ht="23" customHeight="1">
      <x:c r="A81" s="26" t="d">
        <x:v>2026-03-01T00:00:00.000Z</x:v>
      </x:c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</x:row>
    <x:row r="82" ht="23" customHeight="1">
      <x:c r="A82" s="26" t="d">
        <x:v>2026-04-01T00:00:00.000Z</x:v>
      </x:c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</x:row>
    <x:row r="83" ht="23" customHeight="1">
      <x:c r="A83" s="26" t="d">
        <x:v>2026-05-01T00:00:00.000Z</x:v>
      </x:c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</x:row>
    <x:row r="84" ht="23" customHeight="1">
      <x:c r="A84" s="26" t="d">
        <x:v>2026-06-01T00:00:00.000Z</x:v>
      </x:c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</x:row>
    <x:row r="85" ht="23" customHeight="1">
      <x:c r="A85" s="26" t="d">
        <x:v>2026-07-01T00:00:00.000Z</x:v>
      </x:c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</x:row>
    <x:row r="86" ht="23" customHeight="1">
      <x:c r="A86" s="26" t="d">
        <x:v>2026-08-01T00:00:00.000Z</x:v>
      </x:c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</x:row>
    <x:row r="87" ht="23" customHeight="1">
      <x:c r="A87" s="26" t="d">
        <x:v>2026-09-01T00:00:00.000Z</x:v>
      </x:c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</x:row>
    <x:row r="88" ht="23" customHeight="1">
      <x:c r="A88" s="26" t="d">
        <x:v>2026-10-01T00:00:00.000Z</x:v>
      </x:c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</x:row>
    <x:row r="89" ht="23" customHeight="1">
      <x:c r="A89" s="26" t="d">
        <x:v>2026-11-01T00:00:00.000Z</x:v>
      </x:c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</x:row>
    <x:row r="90" ht="23" customHeight="1">
      <x:c r="A90" s="26" t="d">
        <x:v>2026-12-01T00:00:00.000Z</x:v>
      </x:c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</x:row>
    <x:row r="91" ht="23" customHeight="1">
      <x:c r="A91" s="26" t="d">
        <x:v>2027-01-01T00:00:00.000Z</x:v>
      </x:c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</x:row>
    <x:row r="92" ht="23" customHeight="1">
      <x:c r="A92" s="26" t="d">
        <x:v>2027-02-01T00:00:00.000Z</x:v>
      </x:c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</x:row>
    <x:row r="93" ht="23" customHeight="1">
      <x:c r="A93" s="26" t="d">
        <x:v>2027-03-01T00:00:00.000Z</x:v>
      </x:c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</x:row>
    <x:row r="94" ht="23" customHeight="1">
      <x:c r="A94" s="26" t="d">
        <x:v>2027-04-01T00:00:00.000Z</x:v>
      </x:c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</x:row>
    <x:row r="95" ht="23" customHeight="1">
      <x:c r="A95" s="26" t="d">
        <x:v>2027-05-01T00:00:00.000Z</x:v>
      </x:c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</x:row>
    <x:row r="96" ht="23" customHeight="1">
      <x:c r="A96" s="26" t="d">
        <x:v>2027-06-01T00:00:00.000Z</x:v>
      </x:c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</x:row>
    <x:row r="97" ht="23" customHeight="1">
      <x:c r="A97" s="26" t="d">
        <x:v>2027-07-01T00:00:00.000Z</x:v>
      </x:c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</x:row>
    <x:row r="98" ht="23" customHeight="1">
      <x:c r="A98" s="26" t="d">
        <x:v>2027-08-01T00:00:00.000Z</x:v>
      </x:c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</x:row>
    <x:row r="99" ht="23" customHeight="1">
      <x:c r="A99" s="26" t="d">
        <x:v>2027-09-01T00:00:00.000Z</x:v>
      </x:c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</x:row>
    <x:row r="100" ht="23" customHeight="1">
      <x:c r="A100" s="26" t="d">
        <x:v>2027-10-01T00:00:00.000Z</x:v>
      </x:c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</x:row>
    <x:row r="101" ht="23" customHeight="1">
      <x:c r="A101" s="26" t="d">
        <x:v>2027-11-01T00:00:00.000Z</x:v>
      </x:c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</x:row>
    <x:row r="102" ht="23" customHeight="1">
      <x:c r="A102" s="26" t="d">
        <x:v>2027-12-01T00:00:00.000Z</x:v>
      </x:c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</x:row>
    <x:row r="106" ht="40" customHeight="1">
      <x:c r="A106" s="13" t="str">
        <x:v>系列の定義・根拠（入力）</x:v>
      </x:c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</x:row>
    <x:row r="107" ht="23" customHeight="1">
      <x:c r="A107" s="1" t="str">
        <x:v>国</x:v>
      </x:c>
      <x:c r="B107" s="1" t="str">
        <x:v>系列1の範囲</x:v>
      </x:c>
      <x:c r="C107" s="1" t="str">
        <x:v>系列2の範囲</x:v>
      </x:c>
      <x:c r="D107" s="1" t="str">
        <x:v>系列3の範囲</x:v>
      </x:c>
      <x:c r="E107" s="1" t="str">
        <x:v>統計定義・出典URL・単位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</x:row>
    <x:row r="108" ht="46" customHeight="1">
      <x:c r="A108" s="1" t="str">
        <x:v>タイ</x:v>
      </x:c>
      <x:c r="B108" s="27" t="str"/>
      <x:c r="C108" s="27" t="str"/>
      <x:c r="D108" s="27" t="str"/>
      <x:c r="E108" s="27" t="str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</x:row>
    <x:row r="109" ht="46" customHeight="1">
      <x:c r="A109" s="1" t="str">
        <x:v>インドネシア</x:v>
      </x:c>
      <x:c r="B109" s="27" t="str"/>
      <x:c r="C109" s="27" t="str"/>
      <x:c r="D109" s="27" t="str"/>
      <x:c r="E109" s="27" t="str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</x:row>
    <x:row r="110" ht="46" customHeight="1">
      <x:c r="A110" s="1" t="str">
        <x:v>マレーシア</x:v>
      </x:c>
      <x:c r="B110" s="27" t="str"/>
      <x:c r="C110" s="27" t="str"/>
      <x:c r="D110" s="27" t="str"/>
      <x:c r="E110" s="27" t="str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</x:row>
    <x:row r="111" ht="46" customHeight="1">
      <x:c r="A111" s="1" t="str">
        <x:v>ベトナム</x:v>
      </x:c>
      <x:c r="B111" s="27" t="str"/>
      <x:c r="C111" s="27" t="str"/>
      <x:c r="D111" s="27" t="str"/>
      <x:c r="E111" s="27" t="str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</x:row>
    <x:row r="112" ht="46" customHeight="1">
      <x:c r="A112" s="1" t="str">
        <x:v>フィリピン</x:v>
      </x:c>
      <x:c r="B112" s="27" t="str"/>
      <x:c r="C112" s="27" t="str"/>
      <x:c r="D112" s="27" t="str"/>
      <x:c r="E112" s="27" t="str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</x:row>
    <x:row r="114" ht="34" customHeight="1">
      <x:c r="A114" s="7" t="str">
        <x:v>同じモデルが月途中にCBU→CKDへ変わる場合は対象月を別途確認。BEV系列には中国系以外も含まれ得る。国籍別と動力別の分析を同じ意味として扱わない。</x:v>
      </x:c>
      <x:c r="B114" s="7" t="str">
        <x:v>同じモデルが月途中にCBU→CKDへ変わる場合は対象月を別途確認。BEV系列には中国系以外も含まれ得る。国籍別と動力別の分析を同じ意味として扱わない。</x:v>
      </x:c>
      <x:c r="C114" s="7" t="str">
        <x:v>同じモデルが月途中にCBU→CKDへ変わる場合は対象月を別途確認。BEV系列には中国系以外も含まれ得る。国籍別と動力別の分析を同じ意味として扱わない。</x:v>
      </x:c>
      <x:c r="D114" s="7" t="str">
        <x:v>同じモデルが月途中にCBU→CKDへ変わる場合は対象月を別途確認。BEV系列には中国系以外も含まれ得る。国籍別と動力別の分析を同じ意味として扱わない。</x:v>
      </x:c>
      <x:c r="E114" s="7" t="str">
        <x:v>同じモデルが月途中にCBU→CKDへ変わる場合は対象月を別途確認。BEV系列には中国系以外も含まれ得る。国籍別と動力別の分析を同じ意味として扱わない。</x:v>
      </x:c>
      <x:c r="F114" s="7" t="str">
        <x:v>同じモデルが月途中にCBU→CKDへ変わる場合は対象月を別途確認。BEV系列には中国系以外も含まれ得る。国籍別と動力別の分析を同じ意味として扱わない。</x:v>
      </x:c>
      <x:c r="G114" s="7" t="str">
        <x:v>同じモデルが月途中にCBU→CKDへ変わる場合は対象月を別途確認。BEV系列には中国系以外も含まれ得る。国籍別と動力別の分析を同じ意味として扱わない。</x:v>
      </x:c>
      <x:c r="H114" s="7" t="str">
        <x:v>同じモデルが月途中にCBU→CKDへ変わる場合は対象月を別途確認。BEV系列には中国系以外も含まれ得る。国籍別と動力別の分析を同じ意味として扱わない。</x:v>
      </x:c>
      <x:c r="I114" s="7" t="str">
        <x:v>同じモデルが月途中にCBU→CKDへ変わる場合は対象月を別途確認。BEV系列には中国系以外も含まれ得る。国籍別と動力別の分析を同じ意味として扱わない。</x:v>
      </x:c>
      <x:c r="J114" s="7" t="str">
        <x:v>同じモデルが月途中にCBU→CKDへ変わる場合は対象月を別途確認。BEV系列には中国系以外も含まれ得る。国籍別と動力別の分析を同じ意味として扱わない。</x:v>
      </x:c>
      <x:c r="K114" s="7" t="str">
        <x:v>同じモデルが月途中にCBU→CKDへ変わる場合は対象月を別途確認。BEV系列には中国系以外も含まれ得る。国籍別と動力別の分析を同じ意味として扱わない。</x:v>
      </x:c>
      <x:c r="L114" s="7" t="str">
        <x:v>同じモデルが月途中にCBU→CKDへ変わる場合は対象月を別途確認。BEV系列には中国系以外も含まれ得る。国籍別と動力別の分析を同じ意味として扱わない。</x:v>
      </x:c>
      <x:c r="M114" s="7" t="str">
        <x:v>同じモデルが月途中にCBU→CKDへ変わる場合は対象月を別途確認。BEV系列には中国系以外も含まれ得る。国籍別と動力別の分析を同じ意味として扱わない。</x:v>
      </x:c>
      <x:c r="N114" s="7" t="str">
        <x:v>同じモデルが月途中にCBU→CKDへ変わる場合は対象月を別途確認。BEV系列には中国系以外も含まれ得る。国籍別と動力別の分析を同じ意味として扱わない。</x:v>
      </x:c>
      <x:c r="O114" s="7" t="str">
        <x:v>同じモデルが月途中にCBU→CKDへ変わる場合は対象月を別途確認。BEV系列には中国系以外も含まれ得る。国籍別と動力別の分析を同じ意味として扱わない。</x:v>
      </x:c>
      <x:c r="P114" s="7" t="str">
        <x:v>同じモデルが月途中にCBU→CKDへ変わる場合は対象月を別途確認。BEV系列には中国系以外も含まれ得る。国籍別と動力別の分析を同じ意味として扱わない。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  <x:c r="CW210" s="1"/>
      <x:c r="CX210" s="1"/>
      <x:c r="CY210" s="1"/>
      <x:c r="CZ210" s="1"/>
      <x:c r="DA210" s="1"/>
      <x:c r="DB210" s="1"/>
      <x:c r="DC210" s="1"/>
      <x:c r="DD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/>
      <x:c r="CZ214" s="1"/>
      <x:c r="DA214" s="1"/>
      <x:c r="DB214" s="1"/>
      <x:c r="DC214" s="1"/>
      <x:c r="DD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/>
      <x:c r="CY228" s="1"/>
      <x:c r="CZ228" s="1"/>
      <x:c r="DA228" s="1"/>
      <x:c r="DB228" s="1"/>
      <x:c r="DC228" s="1"/>
      <x:c r="DD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  <x:c r="CW232" s="1"/>
      <x:c r="CX232" s="1"/>
      <x:c r="CY232" s="1"/>
      <x:c r="CZ232" s="1"/>
      <x:c r="DA232" s="1"/>
      <x:c r="DB232" s="1"/>
      <x:c r="DC232" s="1"/>
      <x:c r="DD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  <x:c r="CW237" s="1"/>
      <x:c r="CX237" s="1"/>
      <x:c r="CY237" s="1"/>
      <x:c r="CZ237" s="1"/>
      <x:c r="DA237" s="1"/>
      <x:c r="DB237" s="1"/>
      <x:c r="DC237" s="1"/>
      <x:c r="DD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  <x:c r="CW245" s="1"/>
      <x:c r="CX245" s="1"/>
      <x:c r="CY245" s="1"/>
      <x:c r="CZ245" s="1"/>
      <x:c r="DA245" s="1"/>
      <x:c r="DB245" s="1"/>
      <x:c r="DC245" s="1"/>
      <x:c r="DD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/>
      <x:c r="CZ247" s="1"/>
      <x:c r="DA247" s="1"/>
      <x:c r="DB247" s="1"/>
      <x:c r="DC247" s="1"/>
      <x:c r="DD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/>
      <x:c r="CY249" s="1"/>
      <x:c r="CZ249" s="1"/>
      <x:c r="DA249" s="1"/>
      <x:c r="DB249" s="1"/>
      <x:c r="DC249" s="1"/>
      <x:c r="DD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/>
      <x:c r="CY250" s="1"/>
      <x:c r="CZ250" s="1"/>
      <x:c r="DA250" s="1"/>
      <x:c r="DB250" s="1"/>
      <x:c r="DC250" s="1"/>
      <x:c r="DD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/>
      <x:c r="CY252" s="1"/>
      <x:c r="CZ252" s="1"/>
      <x:c r="DA252" s="1"/>
      <x:c r="DB252" s="1"/>
      <x:c r="DC252" s="1"/>
      <x:c r="DD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/>
      <x:c r="CZ260" s="1"/>
      <x:c r="DA260" s="1"/>
      <x:c r="DB260" s="1"/>
      <x:c r="DC260" s="1"/>
      <x:c r="DD260" s="1"/>
    </x:row>
  </x:sheetData>
  <x:mergeCells>
    <x:mergeCell ref="A1:P1"/>
    <x:mergeCell ref="A2:P2"/>
    <x:mergeCell ref="A3:P3"/>
    <x:mergeCell ref="B5:D5"/>
    <x:mergeCell ref="E5:G5"/>
    <x:mergeCell ref="H5:J5"/>
    <x:mergeCell ref="K5:M5"/>
    <x:mergeCell ref="N5:P5"/>
    <x:mergeCell ref="A114:P114"/>
  </x:mergeCells>
  <x:dataValidations count="1">
    <x:dataValidation type="whole" operator="greaterThanOrEqual" sqref="B7:P102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5324F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8" customHeight="1">
      <x:c r="A1" s="4" t="str">
        <x:v>グラフ計算｜36か月窓・空欄を維持</x:v>
      </x:c>
      <x:c r="B1" s="4" t="str">
        <x:v>グラフ計算｜36か月窓・空欄を維持</x:v>
      </x:c>
      <x:c r="C1" s="4" t="str">
        <x:v>グラフ計算｜36か月窓・空欄を維持</x:v>
      </x:c>
      <x:c r="D1" s="4" t="str">
        <x:v>グラフ計算｜36か月窓・空欄を維持</x:v>
      </x:c>
      <x:c r="E1" s="4" t="str">
        <x:v>グラフ計算｜36か月窓・空欄を維持</x:v>
      </x:c>
      <x:c r="F1" s="4" t="str">
        <x:v>グラフ計算｜36か月窓・空欄を維持</x:v>
      </x:c>
      <x:c r="G1" s="4" t="str">
        <x:v>グラフ計算｜36か月窓・空欄を維持</x:v>
      </x:c>
      <x:c r="H1" s="4" t="str">
        <x:v>グラフ計算｜36か月窓・空欄を維持</x:v>
      </x:c>
      <x:c r="I1" s="4" t="str">
        <x:v>グラフ計算｜36か月窓・空欄を維持</x:v>
      </x:c>
      <x:c r="J1" s="4" t="str">
        <x:v>グラフ計算｜36か月窓・空欄を維持</x:v>
      </x:c>
      <x:c r="K1" s="4" t="str">
        <x:v>グラフ計算｜36か月窓・空欄を維持</x:v>
      </x:c>
      <x:c r="L1" s="4" t="str">
        <x:v>グラフ計算｜36か月窓・空欄を維持</x:v>
      </x:c>
      <x:c r="M1" s="4" t="str">
        <x:v>グラフ計算｜36か月窓・空欄を維持</x:v>
      </x:c>
      <x:c r="N1" s="4" t="str">
        <x:v>グラフ計算｜36か月窓・空欄を維持</x:v>
      </x:c>
      <x:c r="O1" s="4" t="str">
        <x:v>グラフ計算｜36か月窓・空欄を維持</x:v>
      </x:c>
      <x:c r="P1" s="4" t="str">
        <x:v>グラフ計算｜36か月窓・空欄を維持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  <x:c r="CC1" s="1"/>
      <x:c r="CD1" s="1"/>
      <x:c r="CE1" s="1"/>
      <x:c r="CF1" s="1"/>
      <x:c r="CG1" s="1"/>
      <x:c r="CH1" s="1"/>
      <x:c r="CI1" s="1"/>
      <x:c r="CJ1" s="1"/>
      <x:c r="CK1" s="1"/>
      <x:c r="CL1" s="1"/>
      <x:c r="CM1" s="1"/>
      <x:c r="CN1" s="1"/>
      <x:c r="CO1" s="1"/>
      <x:c r="CP1" s="1"/>
      <x:c r="CQ1" s="1"/>
      <x:c r="CR1" s="1"/>
      <x:c r="CS1" s="1"/>
      <x:c r="CT1" s="1"/>
      <x:c r="CU1" s="1"/>
      <x:c r="CV1" s="1"/>
      <x:c r="CW1" s="1"/>
      <x:c r="CX1" s="1"/>
      <x:c r="CY1" s="1"/>
      <x:c r="CZ1" s="1"/>
      <x:c r="DA1" s="1"/>
      <x:c r="DB1" s="1"/>
      <x:c r="DC1" s="1"/>
      <x:c r="DD1" s="1"/>
    </x:row>
    <x:row r="2" ht="34" customHeight="1">
      <x:c r="A2" s="7" t="str">
        <x:v>表示開始月に連動。6〜41行は台数計算、44〜79行は描画専用。描画専用の#N/Aは欠測点に線を描かない指定。実測0は0のまま。</x:v>
      </x:c>
      <x:c r="B2" s="7" t="str">
        <x:v>表示開始月に連動。6〜41行は台数計算、44〜79行は描画専用。描画専用の#N/Aは欠測点に線を描かない指定。実測0は0のまま。</x:v>
      </x:c>
      <x:c r="C2" s="7" t="str">
        <x:v>表示開始月に連動。6〜41行は台数計算、44〜79行は描画専用。描画専用の#N/Aは欠測点に線を描かない指定。実測0は0のまま。</x:v>
      </x:c>
      <x:c r="D2" s="7" t="str">
        <x:v>表示開始月に連動。6〜41行は台数計算、44〜79行は描画専用。描画専用の#N/Aは欠測点に線を描かない指定。実測0は0のまま。</x:v>
      </x:c>
      <x:c r="E2" s="7" t="str">
        <x:v>表示開始月に連動。6〜41行は台数計算、44〜79行は描画専用。描画専用の#N/Aは欠測点に線を描かない指定。実測0は0のまま。</x:v>
      </x:c>
      <x:c r="F2" s="7" t="str">
        <x:v>表示開始月に連動。6〜41行は台数計算、44〜79行は描画専用。描画専用の#N/Aは欠測点に線を描かない指定。実測0は0のまま。</x:v>
      </x:c>
      <x:c r="G2" s="7" t="str">
        <x:v>表示開始月に連動。6〜41行は台数計算、44〜79行は描画専用。描画専用の#N/Aは欠測点に線を描かない指定。実測0は0のまま。</x:v>
      </x:c>
      <x:c r="H2" s="7" t="str">
        <x:v>表示開始月に連動。6〜41行は台数計算、44〜79行は描画専用。描画専用の#N/Aは欠測点に線を描かない指定。実測0は0のまま。</x:v>
      </x:c>
      <x:c r="I2" s="7" t="str">
        <x:v>表示開始月に連動。6〜41行は台数計算、44〜79行は描画専用。描画専用の#N/Aは欠測点に線を描かない指定。実測0は0のまま。</x:v>
      </x:c>
      <x:c r="J2" s="7" t="str">
        <x:v>表示開始月に連動。6〜41行は台数計算、44〜79行は描画専用。描画専用の#N/Aは欠測点に線を描かない指定。実測0は0のまま。</x:v>
      </x:c>
      <x:c r="K2" s="7" t="str">
        <x:v>表示開始月に連動。6〜41行は台数計算、44〜79行は描画専用。描画専用の#N/Aは欠測点に線を描かない指定。実測0は0のまま。</x:v>
      </x:c>
      <x:c r="L2" s="7" t="str">
        <x:v>表示開始月に連動。6〜41行は台数計算、44〜79行は描画専用。描画専用の#N/Aは欠測点に線を描かない指定。実測0は0のまま。</x:v>
      </x:c>
      <x:c r="M2" s="7" t="str">
        <x:v>表示開始月に連動。6〜41行は台数計算、44〜79行は描画専用。描画専用の#N/Aは欠測点に線を描かない指定。実測0は0のまま。</x:v>
      </x:c>
      <x:c r="N2" s="7" t="str">
        <x:v>表示開始月に連動。6〜41行は台数計算、44〜79行は描画専用。描画専用の#N/Aは欠測点に線を描かない指定。実測0は0のまま。</x:v>
      </x:c>
      <x:c r="O2" s="7" t="str">
        <x:v>表示開始月に連動。6〜41行は台数計算、44〜79行は描画専用。描画専用の#N/Aは欠測点に線を描かない指定。実測0は0のまま。</x:v>
      </x:c>
      <x:c r="P2" s="7" t="str">
        <x:v>表示開始月に連動。6〜41行は台数計算、44〜79行は描画専用。描画専用の#N/Aは欠測点に線を描かない指定。実測0は0のまま。</x:v>
      </x:c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  <x:c r="CC2" s="1"/>
      <x:c r="CD2" s="1"/>
      <x:c r="CE2" s="1"/>
      <x:c r="CF2" s="1"/>
      <x:c r="CG2" s="1"/>
      <x:c r="CH2" s="1"/>
      <x:c r="CI2" s="1"/>
      <x:c r="CJ2" s="1"/>
      <x:c r="CK2" s="1"/>
      <x:c r="CL2" s="1"/>
      <x:c r="CM2" s="1"/>
      <x:c r="CN2" s="1"/>
      <x:c r="CO2" s="1"/>
      <x:c r="CP2" s="1"/>
      <x:c r="CQ2" s="1"/>
      <x:c r="CR2" s="1"/>
      <x:c r="CS2" s="1"/>
      <x:c r="CT2" s="1"/>
      <x:c r="CU2" s="1"/>
      <x:c r="CV2" s="1"/>
      <x:c r="CW2" s="1"/>
      <x:c r="CX2" s="1"/>
      <x:c r="CY2" s="1"/>
      <x:c r="CZ2" s="1"/>
      <x:c r="DA2" s="1"/>
      <x:c r="DB2" s="1"/>
      <x:c r="DC2" s="1"/>
      <x:c r="DD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  <x:c r="CC3" s="1"/>
      <x:c r="CD3" s="1"/>
      <x:c r="CE3" s="1"/>
      <x:c r="CF3" s="1"/>
      <x:c r="CG3" s="1"/>
      <x:c r="CH3" s="1"/>
      <x:c r="CI3" s="1"/>
      <x:c r="CJ3" s="1"/>
      <x:c r="CK3" s="1"/>
      <x:c r="CL3" s="1"/>
      <x:c r="CM3" s="1"/>
      <x:c r="CN3" s="1"/>
      <x:c r="CO3" s="1"/>
      <x:c r="CP3" s="1"/>
      <x:c r="CQ3" s="1"/>
      <x:c r="CR3" s="1"/>
      <x:c r="CS3" s="1"/>
      <x:c r="CT3" s="1"/>
      <x:c r="CU3" s="1"/>
      <x:c r="CV3" s="1"/>
      <x:c r="CW3" s="1"/>
      <x:c r="CX3" s="1"/>
      <x:c r="CY3" s="1"/>
      <x:c r="CZ3" s="1"/>
      <x:c r="DA3" s="1"/>
      <x:c r="DB3" s="1"/>
      <x:c r="DC3" s="1"/>
      <x:c r="DD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  <x:c r="CC4" s="1"/>
      <x:c r="CD4" s="1"/>
      <x:c r="CE4" s="1"/>
      <x:c r="CF4" s="1"/>
      <x:c r="CG4" s="1"/>
      <x:c r="CH4" s="1"/>
      <x:c r="CI4" s="1"/>
      <x:c r="CJ4" s="1"/>
      <x:c r="CK4" s="1"/>
      <x:c r="CL4" s="1"/>
      <x:c r="CM4" s="1"/>
      <x:c r="CN4" s="1"/>
      <x:c r="CO4" s="1"/>
      <x:c r="CP4" s="1"/>
      <x:c r="CQ4" s="1"/>
      <x:c r="CR4" s="1"/>
      <x:c r="CS4" s="1"/>
      <x:c r="CT4" s="1"/>
      <x:c r="CU4" s="1"/>
      <x:c r="CV4" s="1"/>
      <x:c r="CW4" s="1"/>
      <x:c r="CX4" s="1"/>
      <x:c r="CY4" s="1"/>
      <x:c r="CZ4" s="1"/>
      <x:c r="DA4" s="1"/>
      <x:c r="DB4" s="1"/>
      <x:c r="DC4" s="1"/>
      <x:c r="DD4" s="1"/>
    </x:row>
    <x:row r="5" ht="40" customHeight="1">
      <x:c r="A5" s="13" t="str">
        <x:v>月</x:v>
      </x:c>
      <x:c r="B5" s="13" t="str">
        <x:f>'月次販売入力'!B6</x:f>
        <x:v>BEV</x:v>
      </x:c>
      <x:c r="C5" s="13" t="str">
        <x:f>'月次販売入力'!C6</x:f>
        <x:v>HEV</x:v>
      </x:c>
      <x:c r="D5" s="13" t="str">
        <x:f>'月次販売入力'!D6</x:f>
        <x:v>ICE</x:v>
      </x:c>
      <x:c r="E5" s="13" t="str">
        <x:f>'月次販売入力'!E6</x:f>
        <x:v>BEV</x:v>
      </x:c>
      <x:c r="F5" s="13" t="str">
        <x:f>'月次販売入力'!F6</x:f>
        <x:v>HEV</x:v>
      </x:c>
      <x:c r="G5" s="13" t="str">
        <x:f>'月次販売入力'!G6</x:f>
        <x:v>ICE</x:v>
      </x:c>
      <x:c r="H5" s="13" t="str">
        <x:f>'月次販売入力'!H6</x:f>
        <x:v>BEV</x:v>
      </x:c>
      <x:c r="I5" s="13" t="str">
        <x:f>'月次販売入力'!I6</x:f>
        <x:v>HEV</x:v>
      </x:c>
      <x:c r="J5" s="13" t="str">
        <x:f>'月次販売入力'!J6</x:f>
        <x:v>ICE</x:v>
      </x:c>
      <x:c r="K5" s="13" t="str">
        <x:f>'月次販売入力'!K6</x:f>
        <x:v>BEV</x:v>
      </x:c>
      <x:c r="L5" s="13" t="str">
        <x:f>'月次販売入力'!L6</x:f>
        <x:v>HEV</x:v>
      </x:c>
      <x:c r="M5" s="13" t="str">
        <x:f>'月次販売入力'!M6</x:f>
        <x:v>ICE</x:v>
      </x:c>
      <x:c r="N5" s="13" t="str">
        <x:f>'月次販売入力'!N6</x:f>
        <x:v>BEV</x:v>
      </x:c>
      <x:c r="O5" s="13" t="str">
        <x:f>'月次販売入力'!O6</x:f>
        <x:v>HEV</x:v>
      </x:c>
      <x:c r="P5" s="13" t="str">
        <x:f>'月次販売入力'!P6</x:f>
        <x:v>ICE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  <x:c r="CA5" s="1"/>
      <x:c r="CB5" s="1"/>
      <x:c r="CC5" s="1"/>
      <x:c r="CD5" s="1"/>
      <x:c r="CE5" s="1"/>
      <x:c r="CF5" s="1"/>
      <x:c r="CG5" s="1"/>
      <x:c r="CH5" s="1"/>
      <x:c r="CI5" s="1"/>
      <x:c r="CJ5" s="1"/>
      <x:c r="CK5" s="1"/>
      <x:c r="CL5" s="1"/>
      <x:c r="CM5" s="1"/>
      <x:c r="CN5" s="1"/>
      <x:c r="CO5" s="1"/>
      <x:c r="CP5" s="1"/>
      <x:c r="CQ5" s="1"/>
      <x:c r="CR5" s="1"/>
      <x:c r="CS5" s="1"/>
      <x:c r="CT5" s="1"/>
      <x:c r="CU5" s="1"/>
      <x:c r="CV5" s="1"/>
      <x:c r="CW5" s="1"/>
      <x:c r="CX5" s="1"/>
      <x:c r="CY5" s="1"/>
      <x:c r="CZ5" s="1"/>
      <x:c r="DA5" s="1"/>
      <x:c r="DB5" s="1"/>
      <x:c r="DC5" s="1"/>
      <x:c r="DD5" s="1"/>
    </x:row>
    <x:row r="6" ht="23" customHeight="1">
      <x:c r="A6" s="22" t="n">
        <x:f>EDATE('販売と制度比較'!$E$5,0)</x:f>
        <x:v>45292</x:v>
      </x:c>
      <x:c r="B6" s="30" t="str">
        <x:f>IF(ISBLANK(INDEX('月次販売入力'!B$7:B$102,MATCH($A6,'月次販売入力'!$A$7:$A$102,0))),"",INDEX('月次販売入力'!B$7:B$102,MATCH($A6,'月次販売入力'!$A$7:$A$102,0)))</x:f>
      </x:c>
      <x:c r="C6" s="30" t="str">
        <x:f>IF(ISBLANK(INDEX('月次販売入力'!C$7:C$102,MATCH($A6,'月次販売入力'!$A$7:$A$102,0))),"",INDEX('月次販売入力'!C$7:C$102,MATCH($A6,'月次販売入力'!$A$7:$A$102,0)))</x:f>
      </x:c>
      <x:c r="D6" s="30" t="str">
        <x:f>IF(ISBLANK(INDEX('月次販売入力'!D$7:D$102,MATCH($A6,'月次販売入力'!$A$7:$A$102,0))),"",INDEX('月次販売入力'!D$7:D$102,MATCH($A6,'月次販売入力'!$A$7:$A$102,0)))</x:f>
      </x:c>
      <x:c r="E6" s="30" t="str">
        <x:f>IF(ISBLANK(INDEX('月次販売入力'!E$7:E$102,MATCH($A6,'月次販売入力'!$A$7:$A$102,0))),"",INDEX('月次販売入力'!E$7:E$102,MATCH($A6,'月次販売入力'!$A$7:$A$102,0)))</x:f>
      </x:c>
      <x:c r="F6" s="30" t="str">
        <x:f>IF(ISBLANK(INDEX('月次販売入力'!F$7:F$102,MATCH($A6,'月次販売入力'!$A$7:$A$102,0))),"",INDEX('月次販売入力'!F$7:F$102,MATCH($A6,'月次販売入力'!$A$7:$A$102,0)))</x:f>
      </x:c>
      <x:c r="G6" s="30" t="str">
        <x:f>IF(ISBLANK(INDEX('月次販売入力'!G$7:G$102,MATCH($A6,'月次販売入力'!$A$7:$A$102,0))),"",INDEX('月次販売入力'!G$7:G$102,MATCH($A6,'月次販売入力'!$A$7:$A$102,0)))</x:f>
      </x:c>
      <x:c r="H6" s="30" t="str">
        <x:f>IF(ISBLANK(INDEX('月次販売入力'!H$7:H$102,MATCH($A6,'月次販売入力'!$A$7:$A$102,0))),"",INDEX('月次販売入力'!H$7:H$102,MATCH($A6,'月次販売入力'!$A$7:$A$102,0)))</x:f>
      </x:c>
      <x:c r="I6" s="30" t="str">
        <x:f>IF(ISBLANK(INDEX('月次販売入力'!I$7:I$102,MATCH($A6,'月次販売入力'!$A$7:$A$102,0))),"",INDEX('月次販売入力'!I$7:I$102,MATCH($A6,'月次販売入力'!$A$7:$A$102,0)))</x:f>
      </x:c>
      <x:c r="J6" s="30" t="str">
        <x:f>IF(ISBLANK(INDEX('月次販売入力'!J$7:J$102,MATCH($A6,'月次販売入力'!$A$7:$A$102,0))),"",INDEX('月次販売入力'!J$7:J$102,MATCH($A6,'月次販売入力'!$A$7:$A$102,0)))</x:f>
      </x:c>
      <x:c r="K6" s="30" t="str">
        <x:f>IF(ISBLANK(INDEX('月次販売入力'!K$7:K$102,MATCH($A6,'月次販売入力'!$A$7:$A$102,0))),"",INDEX('月次販売入力'!K$7:K$102,MATCH($A6,'月次販売入力'!$A$7:$A$102,0)))</x:f>
      </x:c>
      <x:c r="L6" s="30" t="str">
        <x:f>IF(ISBLANK(INDEX('月次販売入力'!L$7:L$102,MATCH($A6,'月次販売入力'!$A$7:$A$102,0))),"",INDEX('月次販売入力'!L$7:L$102,MATCH($A6,'月次販売入力'!$A$7:$A$102,0)))</x:f>
      </x:c>
      <x:c r="M6" s="30" t="str">
        <x:f>IF(ISBLANK(INDEX('月次販売入力'!M$7:M$102,MATCH($A6,'月次販売入力'!$A$7:$A$102,0))),"",INDEX('月次販売入力'!M$7:M$102,MATCH($A6,'月次販売入力'!$A$7:$A$102,0)))</x:f>
      </x:c>
      <x:c r="N6" s="30" t="str">
        <x:f>IF(ISBLANK(INDEX('月次販売入力'!N$7:N$102,MATCH($A6,'月次販売入力'!$A$7:$A$102,0))),"",INDEX('月次販売入力'!N$7:N$102,MATCH($A6,'月次販売入力'!$A$7:$A$102,0)))</x:f>
      </x:c>
      <x:c r="O6" s="30" t="str">
        <x:f>IF(ISBLANK(INDEX('月次販売入力'!O$7:O$102,MATCH($A6,'月次販売入力'!$A$7:$A$102,0))),"",INDEX('月次販売入力'!O$7:O$102,MATCH($A6,'月次販売入力'!$A$7:$A$102,0)))</x:f>
      </x:c>
      <x:c r="P6" s="30" t="str">
        <x:f>IF(ISBLANK(INDEX('月次販売入力'!P$7:P$102,MATCH($A6,'月次販売入力'!$A$7:$A$102,0))),"",INDEX('月次販売入力'!P$7:P$102,MATCH($A6,'月次販売入力'!$A$7:$A$102,0)))</x:f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</x:row>
    <x:row r="7" ht="23" customHeight="1">
      <x:c r="A7" s="22" t="n">
        <x:f>EDATE('販売と制度比較'!$E$5,1)</x:f>
        <x:v>45323</x:v>
      </x:c>
      <x:c r="B7" s="30" t="str">
        <x:f>IF(ISBLANK(INDEX('月次販売入力'!B$7:B$102,MATCH($A7,'月次販売入力'!$A$7:$A$102,0))),"",INDEX('月次販売入力'!B$7:B$102,MATCH($A7,'月次販売入力'!$A$7:$A$102,0)))</x:f>
      </x:c>
      <x:c r="C7" s="30" t="str">
        <x:f>IF(ISBLANK(INDEX('月次販売入力'!C$7:C$102,MATCH($A7,'月次販売入力'!$A$7:$A$102,0))),"",INDEX('月次販売入力'!C$7:C$102,MATCH($A7,'月次販売入力'!$A$7:$A$102,0)))</x:f>
      </x:c>
      <x:c r="D7" s="30" t="str">
        <x:f>IF(ISBLANK(INDEX('月次販売入力'!D$7:D$102,MATCH($A7,'月次販売入力'!$A$7:$A$102,0))),"",INDEX('月次販売入力'!D$7:D$102,MATCH($A7,'月次販売入力'!$A$7:$A$102,0)))</x:f>
      </x:c>
      <x:c r="E7" s="30" t="str">
        <x:f>IF(ISBLANK(INDEX('月次販売入力'!E$7:E$102,MATCH($A7,'月次販売入力'!$A$7:$A$102,0))),"",INDEX('月次販売入力'!E$7:E$102,MATCH($A7,'月次販売入力'!$A$7:$A$102,0)))</x:f>
      </x:c>
      <x:c r="F7" s="30" t="str">
        <x:f>IF(ISBLANK(INDEX('月次販売入力'!F$7:F$102,MATCH($A7,'月次販売入力'!$A$7:$A$102,0))),"",INDEX('月次販売入力'!F$7:F$102,MATCH($A7,'月次販売入力'!$A$7:$A$102,0)))</x:f>
      </x:c>
      <x:c r="G7" s="30" t="str">
        <x:f>IF(ISBLANK(INDEX('月次販売入力'!G$7:G$102,MATCH($A7,'月次販売入力'!$A$7:$A$102,0))),"",INDEX('月次販売入力'!G$7:G$102,MATCH($A7,'月次販売入力'!$A$7:$A$102,0)))</x:f>
      </x:c>
      <x:c r="H7" s="30" t="str">
        <x:f>IF(ISBLANK(INDEX('月次販売入力'!H$7:H$102,MATCH($A7,'月次販売入力'!$A$7:$A$102,0))),"",INDEX('月次販売入力'!H$7:H$102,MATCH($A7,'月次販売入力'!$A$7:$A$102,0)))</x:f>
      </x:c>
      <x:c r="I7" s="30" t="str">
        <x:f>IF(ISBLANK(INDEX('月次販売入力'!I$7:I$102,MATCH($A7,'月次販売入力'!$A$7:$A$102,0))),"",INDEX('月次販売入力'!I$7:I$102,MATCH($A7,'月次販売入力'!$A$7:$A$102,0)))</x:f>
      </x:c>
      <x:c r="J7" s="30" t="str">
        <x:f>IF(ISBLANK(INDEX('月次販売入力'!J$7:J$102,MATCH($A7,'月次販売入力'!$A$7:$A$102,0))),"",INDEX('月次販売入力'!J$7:J$102,MATCH($A7,'月次販売入力'!$A$7:$A$102,0)))</x:f>
      </x:c>
      <x:c r="K7" s="30" t="str">
        <x:f>IF(ISBLANK(INDEX('月次販売入力'!K$7:K$102,MATCH($A7,'月次販売入力'!$A$7:$A$102,0))),"",INDEX('月次販売入力'!K$7:K$102,MATCH($A7,'月次販売入力'!$A$7:$A$102,0)))</x:f>
      </x:c>
      <x:c r="L7" s="30" t="str">
        <x:f>IF(ISBLANK(INDEX('月次販売入力'!L$7:L$102,MATCH($A7,'月次販売入力'!$A$7:$A$102,0))),"",INDEX('月次販売入力'!L$7:L$102,MATCH($A7,'月次販売入力'!$A$7:$A$102,0)))</x:f>
      </x:c>
      <x:c r="M7" s="30" t="str">
        <x:f>IF(ISBLANK(INDEX('月次販売入力'!M$7:M$102,MATCH($A7,'月次販売入力'!$A$7:$A$102,0))),"",INDEX('月次販売入力'!M$7:M$102,MATCH($A7,'月次販売入力'!$A$7:$A$102,0)))</x:f>
      </x:c>
      <x:c r="N7" s="30" t="str">
        <x:f>IF(ISBLANK(INDEX('月次販売入力'!N$7:N$102,MATCH($A7,'月次販売入力'!$A$7:$A$102,0))),"",INDEX('月次販売入力'!N$7:N$102,MATCH($A7,'月次販売入力'!$A$7:$A$102,0)))</x:f>
      </x:c>
      <x:c r="O7" s="30" t="str">
        <x:f>IF(ISBLANK(INDEX('月次販売入力'!O$7:O$102,MATCH($A7,'月次販売入力'!$A$7:$A$102,0))),"",INDEX('月次販売入力'!O$7:O$102,MATCH($A7,'月次販売入力'!$A$7:$A$102,0)))</x:f>
      </x:c>
      <x:c r="P7" s="30" t="str">
        <x:f>IF(ISBLANK(INDEX('月次販売入力'!P$7:P$102,MATCH($A7,'月次販売入力'!$A$7:$A$102,0))),"",INDEX('月次販売入力'!P$7:P$102,MATCH($A7,'月次販売入力'!$A$7:$A$102,0)))</x:f>
      </x:c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</x:row>
    <x:row r="8" ht="23" customHeight="1">
      <x:c r="A8" s="22" t="n">
        <x:f>EDATE('販売と制度比較'!$E$5,2)</x:f>
        <x:v>45352</x:v>
      </x:c>
      <x:c r="B8" s="30" t="str">
        <x:f>IF(ISBLANK(INDEX('月次販売入力'!B$7:B$102,MATCH($A8,'月次販売入力'!$A$7:$A$102,0))),"",INDEX('月次販売入力'!B$7:B$102,MATCH($A8,'月次販売入力'!$A$7:$A$102,0)))</x:f>
      </x:c>
      <x:c r="C8" s="30" t="str">
        <x:f>IF(ISBLANK(INDEX('月次販売入力'!C$7:C$102,MATCH($A8,'月次販売入力'!$A$7:$A$102,0))),"",INDEX('月次販売入力'!C$7:C$102,MATCH($A8,'月次販売入力'!$A$7:$A$102,0)))</x:f>
      </x:c>
      <x:c r="D8" s="30" t="str">
        <x:f>IF(ISBLANK(INDEX('月次販売入力'!D$7:D$102,MATCH($A8,'月次販売入力'!$A$7:$A$102,0))),"",INDEX('月次販売入力'!D$7:D$102,MATCH($A8,'月次販売入力'!$A$7:$A$102,0)))</x:f>
      </x:c>
      <x:c r="E8" s="30" t="str">
        <x:f>IF(ISBLANK(INDEX('月次販売入力'!E$7:E$102,MATCH($A8,'月次販売入力'!$A$7:$A$102,0))),"",INDEX('月次販売入力'!E$7:E$102,MATCH($A8,'月次販売入力'!$A$7:$A$102,0)))</x:f>
      </x:c>
      <x:c r="F8" s="30" t="str">
        <x:f>IF(ISBLANK(INDEX('月次販売入力'!F$7:F$102,MATCH($A8,'月次販売入力'!$A$7:$A$102,0))),"",INDEX('月次販売入力'!F$7:F$102,MATCH($A8,'月次販売入力'!$A$7:$A$102,0)))</x:f>
      </x:c>
      <x:c r="G8" s="30" t="str">
        <x:f>IF(ISBLANK(INDEX('月次販売入力'!G$7:G$102,MATCH($A8,'月次販売入力'!$A$7:$A$102,0))),"",INDEX('月次販売入力'!G$7:G$102,MATCH($A8,'月次販売入力'!$A$7:$A$102,0)))</x:f>
      </x:c>
      <x:c r="H8" s="30" t="str">
        <x:f>IF(ISBLANK(INDEX('月次販売入力'!H$7:H$102,MATCH($A8,'月次販売入力'!$A$7:$A$102,0))),"",INDEX('月次販売入力'!H$7:H$102,MATCH($A8,'月次販売入力'!$A$7:$A$102,0)))</x:f>
      </x:c>
      <x:c r="I8" s="30" t="str">
        <x:f>IF(ISBLANK(INDEX('月次販売入力'!I$7:I$102,MATCH($A8,'月次販売入力'!$A$7:$A$102,0))),"",INDEX('月次販売入力'!I$7:I$102,MATCH($A8,'月次販売入力'!$A$7:$A$102,0)))</x:f>
      </x:c>
      <x:c r="J8" s="30" t="str">
        <x:f>IF(ISBLANK(INDEX('月次販売入力'!J$7:J$102,MATCH($A8,'月次販売入力'!$A$7:$A$102,0))),"",INDEX('月次販売入力'!J$7:J$102,MATCH($A8,'月次販売入力'!$A$7:$A$102,0)))</x:f>
      </x:c>
      <x:c r="K8" s="30" t="str">
        <x:f>IF(ISBLANK(INDEX('月次販売入力'!K$7:K$102,MATCH($A8,'月次販売入力'!$A$7:$A$102,0))),"",INDEX('月次販売入力'!K$7:K$102,MATCH($A8,'月次販売入力'!$A$7:$A$102,0)))</x:f>
      </x:c>
      <x:c r="L8" s="30" t="str">
        <x:f>IF(ISBLANK(INDEX('月次販売入力'!L$7:L$102,MATCH($A8,'月次販売入力'!$A$7:$A$102,0))),"",INDEX('月次販売入力'!L$7:L$102,MATCH($A8,'月次販売入力'!$A$7:$A$102,0)))</x:f>
      </x:c>
      <x:c r="M8" s="30" t="str">
        <x:f>IF(ISBLANK(INDEX('月次販売入力'!M$7:M$102,MATCH($A8,'月次販売入力'!$A$7:$A$102,0))),"",INDEX('月次販売入力'!M$7:M$102,MATCH($A8,'月次販売入力'!$A$7:$A$102,0)))</x:f>
      </x:c>
      <x:c r="N8" s="30" t="str">
        <x:f>IF(ISBLANK(INDEX('月次販売入力'!N$7:N$102,MATCH($A8,'月次販売入力'!$A$7:$A$102,0))),"",INDEX('月次販売入力'!N$7:N$102,MATCH($A8,'月次販売入力'!$A$7:$A$102,0)))</x:f>
      </x:c>
      <x:c r="O8" s="30" t="str">
        <x:f>IF(ISBLANK(INDEX('月次販売入力'!O$7:O$102,MATCH($A8,'月次販売入力'!$A$7:$A$102,0))),"",INDEX('月次販売入力'!O$7:O$102,MATCH($A8,'月次販売入力'!$A$7:$A$102,0)))</x:f>
      </x:c>
      <x:c r="P8" s="30" t="str">
        <x:f>IF(ISBLANK(INDEX('月次販売入力'!P$7:P$102,MATCH($A8,'月次販売入力'!$A$7:$A$102,0))),"",INDEX('月次販売入力'!P$7:P$102,MATCH($A8,'月次販売入力'!$A$7:$A$102,0)))</x:f>
      </x:c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  <x:c r="CA8" s="1"/>
      <x:c r="CB8" s="1"/>
      <x:c r="CC8" s="1"/>
      <x:c r="CD8" s="1"/>
      <x:c r="CE8" s="1"/>
      <x:c r="CF8" s="1"/>
      <x:c r="CG8" s="1"/>
      <x:c r="CH8" s="1"/>
      <x:c r="CI8" s="1"/>
      <x:c r="CJ8" s="1"/>
      <x:c r="CK8" s="1"/>
      <x:c r="CL8" s="1"/>
      <x:c r="CM8" s="1"/>
      <x:c r="CN8" s="1"/>
      <x:c r="CO8" s="1"/>
      <x:c r="CP8" s="1"/>
      <x:c r="CQ8" s="1"/>
      <x:c r="CR8" s="1"/>
      <x:c r="CS8" s="1"/>
      <x:c r="CT8" s="1"/>
      <x:c r="CU8" s="1"/>
      <x:c r="CV8" s="1"/>
      <x:c r="CW8" s="1"/>
      <x:c r="CX8" s="1"/>
      <x:c r="CY8" s="1"/>
      <x:c r="CZ8" s="1"/>
      <x:c r="DA8" s="1"/>
      <x:c r="DB8" s="1"/>
      <x:c r="DC8" s="1"/>
      <x:c r="DD8" s="1"/>
    </x:row>
    <x:row r="9" ht="23" customHeight="1">
      <x:c r="A9" s="22" t="n">
        <x:f>EDATE('販売と制度比較'!$E$5,3)</x:f>
        <x:v>45383</x:v>
      </x:c>
      <x:c r="B9" s="30" t="str">
        <x:f>IF(ISBLANK(INDEX('月次販売入力'!B$7:B$102,MATCH($A9,'月次販売入力'!$A$7:$A$102,0))),"",INDEX('月次販売入力'!B$7:B$102,MATCH($A9,'月次販売入力'!$A$7:$A$102,0)))</x:f>
      </x:c>
      <x:c r="C9" s="30" t="str">
        <x:f>IF(ISBLANK(INDEX('月次販売入力'!C$7:C$102,MATCH($A9,'月次販売入力'!$A$7:$A$102,0))),"",INDEX('月次販売入力'!C$7:C$102,MATCH($A9,'月次販売入力'!$A$7:$A$102,0)))</x:f>
      </x:c>
      <x:c r="D9" s="30" t="str">
        <x:f>IF(ISBLANK(INDEX('月次販売入力'!D$7:D$102,MATCH($A9,'月次販売入力'!$A$7:$A$102,0))),"",INDEX('月次販売入力'!D$7:D$102,MATCH($A9,'月次販売入力'!$A$7:$A$102,0)))</x:f>
      </x:c>
      <x:c r="E9" s="30" t="str">
        <x:f>IF(ISBLANK(INDEX('月次販売入力'!E$7:E$102,MATCH($A9,'月次販売入力'!$A$7:$A$102,0))),"",INDEX('月次販売入力'!E$7:E$102,MATCH($A9,'月次販売入力'!$A$7:$A$102,0)))</x:f>
      </x:c>
      <x:c r="F9" s="30" t="str">
        <x:f>IF(ISBLANK(INDEX('月次販売入力'!F$7:F$102,MATCH($A9,'月次販売入力'!$A$7:$A$102,0))),"",INDEX('月次販売入力'!F$7:F$102,MATCH($A9,'月次販売入力'!$A$7:$A$102,0)))</x:f>
      </x:c>
      <x:c r="G9" s="30" t="str">
        <x:f>IF(ISBLANK(INDEX('月次販売入力'!G$7:G$102,MATCH($A9,'月次販売入力'!$A$7:$A$102,0))),"",INDEX('月次販売入力'!G$7:G$102,MATCH($A9,'月次販売入力'!$A$7:$A$102,0)))</x:f>
      </x:c>
      <x:c r="H9" s="30" t="str">
        <x:f>IF(ISBLANK(INDEX('月次販売入力'!H$7:H$102,MATCH($A9,'月次販売入力'!$A$7:$A$102,0))),"",INDEX('月次販売入力'!H$7:H$102,MATCH($A9,'月次販売入力'!$A$7:$A$102,0)))</x:f>
      </x:c>
      <x:c r="I9" s="30" t="str">
        <x:f>IF(ISBLANK(INDEX('月次販売入力'!I$7:I$102,MATCH($A9,'月次販売入力'!$A$7:$A$102,0))),"",INDEX('月次販売入力'!I$7:I$102,MATCH($A9,'月次販売入力'!$A$7:$A$102,0)))</x:f>
      </x:c>
      <x:c r="J9" s="30" t="str">
        <x:f>IF(ISBLANK(INDEX('月次販売入力'!J$7:J$102,MATCH($A9,'月次販売入力'!$A$7:$A$102,0))),"",INDEX('月次販売入力'!J$7:J$102,MATCH($A9,'月次販売入力'!$A$7:$A$102,0)))</x:f>
      </x:c>
      <x:c r="K9" s="30" t="str">
        <x:f>IF(ISBLANK(INDEX('月次販売入力'!K$7:K$102,MATCH($A9,'月次販売入力'!$A$7:$A$102,0))),"",INDEX('月次販売入力'!K$7:K$102,MATCH($A9,'月次販売入力'!$A$7:$A$102,0)))</x:f>
      </x:c>
      <x:c r="L9" s="30" t="str">
        <x:f>IF(ISBLANK(INDEX('月次販売入力'!L$7:L$102,MATCH($A9,'月次販売入力'!$A$7:$A$102,0))),"",INDEX('月次販売入力'!L$7:L$102,MATCH($A9,'月次販売入力'!$A$7:$A$102,0)))</x:f>
      </x:c>
      <x:c r="M9" s="30" t="str">
        <x:f>IF(ISBLANK(INDEX('月次販売入力'!M$7:M$102,MATCH($A9,'月次販売入力'!$A$7:$A$102,0))),"",INDEX('月次販売入力'!M$7:M$102,MATCH($A9,'月次販売入力'!$A$7:$A$102,0)))</x:f>
      </x:c>
      <x:c r="N9" s="30" t="str">
        <x:f>IF(ISBLANK(INDEX('月次販売入力'!N$7:N$102,MATCH($A9,'月次販売入力'!$A$7:$A$102,0))),"",INDEX('月次販売入力'!N$7:N$102,MATCH($A9,'月次販売入力'!$A$7:$A$102,0)))</x:f>
      </x:c>
      <x:c r="O9" s="30" t="str">
        <x:f>IF(ISBLANK(INDEX('月次販売入力'!O$7:O$102,MATCH($A9,'月次販売入力'!$A$7:$A$102,0))),"",INDEX('月次販売入力'!O$7:O$102,MATCH($A9,'月次販売入力'!$A$7:$A$102,0)))</x:f>
      </x:c>
      <x:c r="P9" s="30" t="str">
        <x:f>IF(ISBLANK(INDEX('月次販売入力'!P$7:P$102,MATCH($A9,'月次販売入力'!$A$7:$A$102,0))),"",INDEX('月次販売入力'!P$7:P$102,MATCH($A9,'月次販売入力'!$A$7:$A$102,0)))</x:f>
      </x:c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  <x:c r="CA9" s="1"/>
      <x:c r="CB9" s="1"/>
      <x:c r="CC9" s="1"/>
      <x:c r="CD9" s="1"/>
      <x:c r="CE9" s="1"/>
      <x:c r="CF9" s="1"/>
      <x:c r="CG9" s="1"/>
      <x:c r="CH9" s="1"/>
      <x:c r="CI9" s="1"/>
      <x:c r="CJ9" s="1"/>
      <x:c r="CK9" s="1"/>
      <x:c r="CL9" s="1"/>
      <x:c r="CM9" s="1"/>
      <x:c r="CN9" s="1"/>
      <x:c r="CO9" s="1"/>
      <x:c r="CP9" s="1"/>
      <x:c r="CQ9" s="1"/>
      <x:c r="CR9" s="1"/>
      <x:c r="CS9" s="1"/>
      <x:c r="CT9" s="1"/>
      <x:c r="CU9" s="1"/>
      <x:c r="CV9" s="1"/>
      <x:c r="CW9" s="1"/>
      <x:c r="CX9" s="1"/>
      <x:c r="CY9" s="1"/>
      <x:c r="CZ9" s="1"/>
      <x:c r="DA9" s="1"/>
      <x:c r="DB9" s="1"/>
      <x:c r="DC9" s="1"/>
      <x:c r="DD9" s="1"/>
    </x:row>
    <x:row r="10" ht="23" customHeight="1">
      <x:c r="A10" s="22" t="n">
        <x:f>EDATE('販売と制度比較'!$E$5,4)</x:f>
        <x:v>45413</x:v>
      </x:c>
      <x:c r="B10" s="30" t="str">
        <x:f>IF(ISBLANK(INDEX('月次販売入力'!B$7:B$102,MATCH($A10,'月次販売入力'!$A$7:$A$102,0))),"",INDEX('月次販売入力'!B$7:B$102,MATCH($A10,'月次販売入力'!$A$7:$A$102,0)))</x:f>
      </x:c>
      <x:c r="C10" s="30" t="str">
        <x:f>IF(ISBLANK(INDEX('月次販売入力'!C$7:C$102,MATCH($A10,'月次販売入力'!$A$7:$A$102,0))),"",INDEX('月次販売入力'!C$7:C$102,MATCH($A10,'月次販売入力'!$A$7:$A$102,0)))</x:f>
      </x:c>
      <x:c r="D10" s="30" t="str">
        <x:f>IF(ISBLANK(INDEX('月次販売入力'!D$7:D$102,MATCH($A10,'月次販売入力'!$A$7:$A$102,0))),"",INDEX('月次販売入力'!D$7:D$102,MATCH($A10,'月次販売入力'!$A$7:$A$102,0)))</x:f>
      </x:c>
      <x:c r="E10" s="30" t="str">
        <x:f>IF(ISBLANK(INDEX('月次販売入力'!E$7:E$102,MATCH($A10,'月次販売入力'!$A$7:$A$102,0))),"",INDEX('月次販売入力'!E$7:E$102,MATCH($A10,'月次販売入力'!$A$7:$A$102,0)))</x:f>
      </x:c>
      <x:c r="F10" s="30" t="str">
        <x:f>IF(ISBLANK(INDEX('月次販売入力'!F$7:F$102,MATCH($A10,'月次販売入力'!$A$7:$A$102,0))),"",INDEX('月次販売入力'!F$7:F$102,MATCH($A10,'月次販売入力'!$A$7:$A$102,0)))</x:f>
      </x:c>
      <x:c r="G10" s="30" t="str">
        <x:f>IF(ISBLANK(INDEX('月次販売入力'!G$7:G$102,MATCH($A10,'月次販売入力'!$A$7:$A$102,0))),"",INDEX('月次販売入力'!G$7:G$102,MATCH($A10,'月次販売入力'!$A$7:$A$102,0)))</x:f>
      </x:c>
      <x:c r="H10" s="30" t="str">
        <x:f>IF(ISBLANK(INDEX('月次販売入力'!H$7:H$102,MATCH($A10,'月次販売入力'!$A$7:$A$102,0))),"",INDEX('月次販売入力'!H$7:H$102,MATCH($A10,'月次販売入力'!$A$7:$A$102,0)))</x:f>
      </x:c>
      <x:c r="I10" s="30" t="str">
        <x:f>IF(ISBLANK(INDEX('月次販売入力'!I$7:I$102,MATCH($A10,'月次販売入力'!$A$7:$A$102,0))),"",INDEX('月次販売入力'!I$7:I$102,MATCH($A10,'月次販売入力'!$A$7:$A$102,0)))</x:f>
      </x:c>
      <x:c r="J10" s="30" t="str">
        <x:f>IF(ISBLANK(INDEX('月次販売入力'!J$7:J$102,MATCH($A10,'月次販売入力'!$A$7:$A$102,0))),"",INDEX('月次販売入力'!J$7:J$102,MATCH($A10,'月次販売入力'!$A$7:$A$102,0)))</x:f>
      </x:c>
      <x:c r="K10" s="30" t="str">
        <x:f>IF(ISBLANK(INDEX('月次販売入力'!K$7:K$102,MATCH($A10,'月次販売入力'!$A$7:$A$102,0))),"",INDEX('月次販売入力'!K$7:K$102,MATCH($A10,'月次販売入力'!$A$7:$A$102,0)))</x:f>
      </x:c>
      <x:c r="L10" s="30" t="str">
        <x:f>IF(ISBLANK(INDEX('月次販売入力'!L$7:L$102,MATCH($A10,'月次販売入力'!$A$7:$A$102,0))),"",INDEX('月次販売入力'!L$7:L$102,MATCH($A10,'月次販売入力'!$A$7:$A$102,0)))</x:f>
      </x:c>
      <x:c r="M10" s="30" t="str">
        <x:f>IF(ISBLANK(INDEX('月次販売入力'!M$7:M$102,MATCH($A10,'月次販売入力'!$A$7:$A$102,0))),"",INDEX('月次販売入力'!M$7:M$102,MATCH($A10,'月次販売入力'!$A$7:$A$102,0)))</x:f>
      </x:c>
      <x:c r="N10" s="30" t="str">
        <x:f>IF(ISBLANK(INDEX('月次販売入力'!N$7:N$102,MATCH($A10,'月次販売入力'!$A$7:$A$102,0))),"",INDEX('月次販売入力'!N$7:N$102,MATCH($A10,'月次販売入力'!$A$7:$A$102,0)))</x:f>
      </x:c>
      <x:c r="O10" s="30" t="str">
        <x:f>IF(ISBLANK(INDEX('月次販売入力'!O$7:O$102,MATCH($A10,'月次販売入力'!$A$7:$A$102,0))),"",INDEX('月次販売入力'!O$7:O$102,MATCH($A10,'月次販売入力'!$A$7:$A$102,0)))</x:f>
      </x:c>
      <x:c r="P10" s="30" t="str">
        <x:f>IF(ISBLANK(INDEX('月次販売入力'!P$7:P$102,MATCH($A10,'月次販売入力'!$A$7:$A$102,0))),"",INDEX('月次販売入力'!P$7:P$102,MATCH($A10,'月次販売入力'!$A$7:$A$102,0)))</x:f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</x:row>
    <x:row r="11" ht="23" customHeight="1">
      <x:c r="A11" s="22" t="n">
        <x:f>EDATE('販売と制度比較'!$E$5,5)</x:f>
        <x:v>45444</x:v>
      </x:c>
      <x:c r="B11" s="30" t="str">
        <x:f>IF(ISBLANK(INDEX('月次販売入力'!B$7:B$102,MATCH($A11,'月次販売入力'!$A$7:$A$102,0))),"",INDEX('月次販売入力'!B$7:B$102,MATCH($A11,'月次販売入力'!$A$7:$A$102,0)))</x:f>
      </x:c>
      <x:c r="C11" s="30" t="str">
        <x:f>IF(ISBLANK(INDEX('月次販売入力'!C$7:C$102,MATCH($A11,'月次販売入力'!$A$7:$A$102,0))),"",INDEX('月次販売入力'!C$7:C$102,MATCH($A11,'月次販売入力'!$A$7:$A$102,0)))</x:f>
      </x:c>
      <x:c r="D11" s="30" t="str">
        <x:f>IF(ISBLANK(INDEX('月次販売入力'!D$7:D$102,MATCH($A11,'月次販売入力'!$A$7:$A$102,0))),"",INDEX('月次販売入力'!D$7:D$102,MATCH($A11,'月次販売入力'!$A$7:$A$102,0)))</x:f>
      </x:c>
      <x:c r="E11" s="30" t="str">
        <x:f>IF(ISBLANK(INDEX('月次販売入力'!E$7:E$102,MATCH($A11,'月次販売入力'!$A$7:$A$102,0))),"",INDEX('月次販売入力'!E$7:E$102,MATCH($A11,'月次販売入力'!$A$7:$A$102,0)))</x:f>
      </x:c>
      <x:c r="F11" s="30" t="str">
        <x:f>IF(ISBLANK(INDEX('月次販売入力'!F$7:F$102,MATCH($A11,'月次販売入力'!$A$7:$A$102,0))),"",INDEX('月次販売入力'!F$7:F$102,MATCH($A11,'月次販売入力'!$A$7:$A$102,0)))</x:f>
      </x:c>
      <x:c r="G11" s="30" t="str">
        <x:f>IF(ISBLANK(INDEX('月次販売入力'!G$7:G$102,MATCH($A11,'月次販売入力'!$A$7:$A$102,0))),"",INDEX('月次販売入力'!G$7:G$102,MATCH($A11,'月次販売入力'!$A$7:$A$102,0)))</x:f>
      </x:c>
      <x:c r="H11" s="30" t="str">
        <x:f>IF(ISBLANK(INDEX('月次販売入力'!H$7:H$102,MATCH($A11,'月次販売入力'!$A$7:$A$102,0))),"",INDEX('月次販売入力'!H$7:H$102,MATCH($A11,'月次販売入力'!$A$7:$A$102,0)))</x:f>
      </x:c>
      <x:c r="I11" s="30" t="str">
        <x:f>IF(ISBLANK(INDEX('月次販売入力'!I$7:I$102,MATCH($A11,'月次販売入力'!$A$7:$A$102,0))),"",INDEX('月次販売入力'!I$7:I$102,MATCH($A11,'月次販売入力'!$A$7:$A$102,0)))</x:f>
      </x:c>
      <x:c r="J11" s="30" t="str">
        <x:f>IF(ISBLANK(INDEX('月次販売入力'!J$7:J$102,MATCH($A11,'月次販売入力'!$A$7:$A$102,0))),"",INDEX('月次販売入力'!J$7:J$102,MATCH($A11,'月次販売入力'!$A$7:$A$102,0)))</x:f>
      </x:c>
      <x:c r="K11" s="30" t="str">
        <x:f>IF(ISBLANK(INDEX('月次販売入力'!K$7:K$102,MATCH($A11,'月次販売入力'!$A$7:$A$102,0))),"",INDEX('月次販売入力'!K$7:K$102,MATCH($A11,'月次販売入力'!$A$7:$A$102,0)))</x:f>
      </x:c>
      <x:c r="L11" s="30" t="str">
        <x:f>IF(ISBLANK(INDEX('月次販売入力'!L$7:L$102,MATCH($A11,'月次販売入力'!$A$7:$A$102,0))),"",INDEX('月次販売入力'!L$7:L$102,MATCH($A11,'月次販売入力'!$A$7:$A$102,0)))</x:f>
      </x:c>
      <x:c r="M11" s="30" t="str">
        <x:f>IF(ISBLANK(INDEX('月次販売入力'!M$7:M$102,MATCH($A11,'月次販売入力'!$A$7:$A$102,0))),"",INDEX('月次販売入力'!M$7:M$102,MATCH($A11,'月次販売入力'!$A$7:$A$102,0)))</x:f>
      </x:c>
      <x:c r="N11" s="30" t="str">
        <x:f>IF(ISBLANK(INDEX('月次販売入力'!N$7:N$102,MATCH($A11,'月次販売入力'!$A$7:$A$102,0))),"",INDEX('月次販売入力'!N$7:N$102,MATCH($A11,'月次販売入力'!$A$7:$A$102,0)))</x:f>
      </x:c>
      <x:c r="O11" s="30" t="str">
        <x:f>IF(ISBLANK(INDEX('月次販売入力'!O$7:O$102,MATCH($A11,'月次販売入力'!$A$7:$A$102,0))),"",INDEX('月次販売入力'!O$7:O$102,MATCH($A11,'月次販売入力'!$A$7:$A$102,0)))</x:f>
      </x:c>
      <x:c r="P11" s="30" t="str">
        <x:f>IF(ISBLANK(INDEX('月次販売入力'!P$7:P$102,MATCH($A11,'月次販売入力'!$A$7:$A$102,0))),"",INDEX('月次販売入力'!P$7:P$102,MATCH($A11,'月次販売入力'!$A$7:$A$102,0)))</x:f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  <x:c r="CA11" s="1"/>
      <x:c r="CB11" s="1"/>
      <x:c r="CC11" s="1"/>
      <x:c r="CD11" s="1"/>
      <x:c r="CE11" s="1"/>
      <x:c r="CF11" s="1"/>
      <x:c r="CG11" s="1"/>
      <x:c r="CH11" s="1"/>
      <x:c r="CI11" s="1"/>
      <x:c r="CJ11" s="1"/>
      <x:c r="CK11" s="1"/>
      <x:c r="CL11" s="1"/>
      <x:c r="CM11" s="1"/>
      <x:c r="CN11" s="1"/>
      <x:c r="CO11" s="1"/>
      <x:c r="CP11" s="1"/>
      <x:c r="CQ11" s="1"/>
      <x:c r="CR11" s="1"/>
      <x:c r="CS11" s="1"/>
      <x:c r="CT11" s="1"/>
      <x:c r="CU11" s="1"/>
      <x:c r="CV11" s="1"/>
      <x:c r="CW11" s="1"/>
      <x:c r="CX11" s="1"/>
      <x:c r="CY11" s="1"/>
      <x:c r="CZ11" s="1"/>
      <x:c r="DA11" s="1"/>
      <x:c r="DB11" s="1"/>
      <x:c r="DC11" s="1"/>
      <x:c r="DD11" s="1"/>
    </x:row>
    <x:row r="12" ht="23" customHeight="1">
      <x:c r="A12" s="22" t="n">
        <x:f>EDATE('販売と制度比較'!$E$5,6)</x:f>
        <x:v>45474</x:v>
      </x:c>
      <x:c r="B12" s="30" t="str">
        <x:f>IF(ISBLANK(INDEX('月次販売入力'!B$7:B$102,MATCH($A12,'月次販売入力'!$A$7:$A$102,0))),"",INDEX('月次販売入力'!B$7:B$102,MATCH($A12,'月次販売入力'!$A$7:$A$102,0)))</x:f>
      </x:c>
      <x:c r="C12" s="30" t="str">
        <x:f>IF(ISBLANK(INDEX('月次販売入力'!C$7:C$102,MATCH($A12,'月次販売入力'!$A$7:$A$102,0))),"",INDEX('月次販売入力'!C$7:C$102,MATCH($A12,'月次販売入力'!$A$7:$A$102,0)))</x:f>
      </x:c>
      <x:c r="D12" s="30" t="str">
        <x:f>IF(ISBLANK(INDEX('月次販売入力'!D$7:D$102,MATCH($A12,'月次販売入力'!$A$7:$A$102,0))),"",INDEX('月次販売入力'!D$7:D$102,MATCH($A12,'月次販売入力'!$A$7:$A$102,0)))</x:f>
      </x:c>
      <x:c r="E12" s="30" t="str">
        <x:f>IF(ISBLANK(INDEX('月次販売入力'!E$7:E$102,MATCH($A12,'月次販売入力'!$A$7:$A$102,0))),"",INDEX('月次販売入力'!E$7:E$102,MATCH($A12,'月次販売入力'!$A$7:$A$102,0)))</x:f>
      </x:c>
      <x:c r="F12" s="30" t="str">
        <x:f>IF(ISBLANK(INDEX('月次販売入力'!F$7:F$102,MATCH($A12,'月次販売入力'!$A$7:$A$102,0))),"",INDEX('月次販売入力'!F$7:F$102,MATCH($A12,'月次販売入力'!$A$7:$A$102,0)))</x:f>
      </x:c>
      <x:c r="G12" s="30" t="str">
        <x:f>IF(ISBLANK(INDEX('月次販売入力'!G$7:G$102,MATCH($A12,'月次販売入力'!$A$7:$A$102,0))),"",INDEX('月次販売入力'!G$7:G$102,MATCH($A12,'月次販売入力'!$A$7:$A$102,0)))</x:f>
      </x:c>
      <x:c r="H12" s="30" t="str">
        <x:f>IF(ISBLANK(INDEX('月次販売入力'!H$7:H$102,MATCH($A12,'月次販売入力'!$A$7:$A$102,0))),"",INDEX('月次販売入力'!H$7:H$102,MATCH($A12,'月次販売入力'!$A$7:$A$102,0)))</x:f>
      </x:c>
      <x:c r="I12" s="30" t="str">
        <x:f>IF(ISBLANK(INDEX('月次販売入力'!I$7:I$102,MATCH($A12,'月次販売入力'!$A$7:$A$102,0))),"",INDEX('月次販売入力'!I$7:I$102,MATCH($A12,'月次販売入力'!$A$7:$A$102,0)))</x:f>
      </x:c>
      <x:c r="J12" s="30" t="str">
        <x:f>IF(ISBLANK(INDEX('月次販売入力'!J$7:J$102,MATCH($A12,'月次販売入力'!$A$7:$A$102,0))),"",INDEX('月次販売入力'!J$7:J$102,MATCH($A12,'月次販売入力'!$A$7:$A$102,0)))</x:f>
      </x:c>
      <x:c r="K12" s="30" t="str">
        <x:f>IF(ISBLANK(INDEX('月次販売入力'!K$7:K$102,MATCH($A12,'月次販売入力'!$A$7:$A$102,0))),"",INDEX('月次販売入力'!K$7:K$102,MATCH($A12,'月次販売入力'!$A$7:$A$102,0)))</x:f>
      </x:c>
      <x:c r="L12" s="30" t="str">
        <x:f>IF(ISBLANK(INDEX('月次販売入力'!L$7:L$102,MATCH($A12,'月次販売入力'!$A$7:$A$102,0))),"",INDEX('月次販売入力'!L$7:L$102,MATCH($A12,'月次販売入力'!$A$7:$A$102,0)))</x:f>
      </x:c>
      <x:c r="M12" s="30" t="str">
        <x:f>IF(ISBLANK(INDEX('月次販売入力'!M$7:M$102,MATCH($A12,'月次販売入力'!$A$7:$A$102,0))),"",INDEX('月次販売入力'!M$7:M$102,MATCH($A12,'月次販売入力'!$A$7:$A$102,0)))</x:f>
      </x:c>
      <x:c r="N12" s="30" t="str">
        <x:f>IF(ISBLANK(INDEX('月次販売入力'!N$7:N$102,MATCH($A12,'月次販売入力'!$A$7:$A$102,0))),"",INDEX('月次販売入力'!N$7:N$102,MATCH($A12,'月次販売入力'!$A$7:$A$102,0)))</x:f>
      </x:c>
      <x:c r="O12" s="30" t="str">
        <x:f>IF(ISBLANK(INDEX('月次販売入力'!O$7:O$102,MATCH($A12,'月次販売入力'!$A$7:$A$102,0))),"",INDEX('月次販売入力'!O$7:O$102,MATCH($A12,'月次販売入力'!$A$7:$A$102,0)))</x:f>
      </x:c>
      <x:c r="P12" s="30" t="str">
        <x:f>IF(ISBLANK(INDEX('月次販売入力'!P$7:P$102,MATCH($A12,'月次販売入力'!$A$7:$A$102,0))),"",INDEX('月次販売入力'!P$7:P$102,MATCH($A12,'月次販売入力'!$A$7:$A$102,0)))</x:f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  <x:c r="CA12" s="1"/>
      <x:c r="CB12" s="1"/>
      <x:c r="CC12" s="1"/>
      <x:c r="CD12" s="1"/>
      <x:c r="CE12" s="1"/>
      <x:c r="CF12" s="1"/>
      <x:c r="CG12" s="1"/>
      <x:c r="CH12" s="1"/>
      <x:c r="CI12" s="1"/>
      <x:c r="CJ12" s="1"/>
      <x:c r="CK12" s="1"/>
      <x:c r="CL12" s="1"/>
      <x:c r="CM12" s="1"/>
      <x:c r="CN12" s="1"/>
      <x:c r="CO12" s="1"/>
      <x:c r="CP12" s="1"/>
      <x:c r="CQ12" s="1"/>
      <x:c r="CR12" s="1"/>
      <x:c r="CS12" s="1"/>
      <x:c r="CT12" s="1"/>
      <x:c r="CU12" s="1"/>
      <x:c r="CV12" s="1"/>
      <x:c r="CW12" s="1"/>
      <x:c r="CX12" s="1"/>
      <x:c r="CY12" s="1"/>
      <x:c r="CZ12" s="1"/>
      <x:c r="DA12" s="1"/>
      <x:c r="DB12" s="1"/>
      <x:c r="DC12" s="1"/>
      <x:c r="DD12" s="1"/>
    </x:row>
    <x:row r="13" ht="23" customHeight="1">
      <x:c r="A13" s="22" t="n">
        <x:f>EDATE('販売と制度比較'!$E$5,7)</x:f>
        <x:v>45505</x:v>
      </x:c>
      <x:c r="B13" s="30" t="str">
        <x:f>IF(ISBLANK(INDEX('月次販売入力'!B$7:B$102,MATCH($A13,'月次販売入力'!$A$7:$A$102,0))),"",INDEX('月次販売入力'!B$7:B$102,MATCH($A13,'月次販売入力'!$A$7:$A$102,0)))</x:f>
      </x:c>
      <x:c r="C13" s="30" t="str">
        <x:f>IF(ISBLANK(INDEX('月次販売入力'!C$7:C$102,MATCH($A13,'月次販売入力'!$A$7:$A$102,0))),"",INDEX('月次販売入力'!C$7:C$102,MATCH($A13,'月次販売入力'!$A$7:$A$102,0)))</x:f>
      </x:c>
      <x:c r="D13" s="30" t="str">
        <x:f>IF(ISBLANK(INDEX('月次販売入力'!D$7:D$102,MATCH($A13,'月次販売入力'!$A$7:$A$102,0))),"",INDEX('月次販売入力'!D$7:D$102,MATCH($A13,'月次販売入力'!$A$7:$A$102,0)))</x:f>
      </x:c>
      <x:c r="E13" s="30" t="str">
        <x:f>IF(ISBLANK(INDEX('月次販売入力'!E$7:E$102,MATCH($A13,'月次販売入力'!$A$7:$A$102,0))),"",INDEX('月次販売入力'!E$7:E$102,MATCH($A13,'月次販売入力'!$A$7:$A$102,0)))</x:f>
      </x:c>
      <x:c r="F13" s="30" t="str">
        <x:f>IF(ISBLANK(INDEX('月次販売入力'!F$7:F$102,MATCH($A13,'月次販売入力'!$A$7:$A$102,0))),"",INDEX('月次販売入力'!F$7:F$102,MATCH($A13,'月次販売入力'!$A$7:$A$102,0)))</x:f>
      </x:c>
      <x:c r="G13" s="30" t="str">
        <x:f>IF(ISBLANK(INDEX('月次販売入力'!G$7:G$102,MATCH($A13,'月次販売入力'!$A$7:$A$102,0))),"",INDEX('月次販売入力'!G$7:G$102,MATCH($A13,'月次販売入力'!$A$7:$A$102,0)))</x:f>
      </x:c>
      <x:c r="H13" s="30" t="str">
        <x:f>IF(ISBLANK(INDEX('月次販売入力'!H$7:H$102,MATCH($A13,'月次販売入力'!$A$7:$A$102,0))),"",INDEX('月次販売入力'!H$7:H$102,MATCH($A13,'月次販売入力'!$A$7:$A$102,0)))</x:f>
      </x:c>
      <x:c r="I13" s="30" t="str">
        <x:f>IF(ISBLANK(INDEX('月次販売入力'!I$7:I$102,MATCH($A13,'月次販売入力'!$A$7:$A$102,0))),"",INDEX('月次販売入力'!I$7:I$102,MATCH($A13,'月次販売入力'!$A$7:$A$102,0)))</x:f>
      </x:c>
      <x:c r="J13" s="30" t="str">
        <x:f>IF(ISBLANK(INDEX('月次販売入力'!J$7:J$102,MATCH($A13,'月次販売入力'!$A$7:$A$102,0))),"",INDEX('月次販売入力'!J$7:J$102,MATCH($A13,'月次販売入力'!$A$7:$A$102,0)))</x:f>
      </x:c>
      <x:c r="K13" s="30" t="str">
        <x:f>IF(ISBLANK(INDEX('月次販売入力'!K$7:K$102,MATCH($A13,'月次販売入力'!$A$7:$A$102,0))),"",INDEX('月次販売入力'!K$7:K$102,MATCH($A13,'月次販売入力'!$A$7:$A$102,0)))</x:f>
      </x:c>
      <x:c r="L13" s="30" t="str">
        <x:f>IF(ISBLANK(INDEX('月次販売入力'!L$7:L$102,MATCH($A13,'月次販売入力'!$A$7:$A$102,0))),"",INDEX('月次販売入力'!L$7:L$102,MATCH($A13,'月次販売入力'!$A$7:$A$102,0)))</x:f>
      </x:c>
      <x:c r="M13" s="30" t="str">
        <x:f>IF(ISBLANK(INDEX('月次販売入力'!M$7:M$102,MATCH($A13,'月次販売入力'!$A$7:$A$102,0))),"",INDEX('月次販売入力'!M$7:M$102,MATCH($A13,'月次販売入力'!$A$7:$A$102,0)))</x:f>
      </x:c>
      <x:c r="N13" s="30" t="str">
        <x:f>IF(ISBLANK(INDEX('月次販売入力'!N$7:N$102,MATCH($A13,'月次販売入力'!$A$7:$A$102,0))),"",INDEX('月次販売入力'!N$7:N$102,MATCH($A13,'月次販売入力'!$A$7:$A$102,0)))</x:f>
      </x:c>
      <x:c r="O13" s="30" t="str">
        <x:f>IF(ISBLANK(INDEX('月次販売入力'!O$7:O$102,MATCH($A13,'月次販売入力'!$A$7:$A$102,0))),"",INDEX('月次販売入力'!O$7:O$102,MATCH($A13,'月次販売入力'!$A$7:$A$102,0)))</x:f>
      </x:c>
      <x:c r="P13" s="30" t="str">
        <x:f>IF(ISBLANK(INDEX('月次販売入力'!P$7:P$102,MATCH($A13,'月次販売入力'!$A$7:$A$102,0))),"",INDEX('月次販売入力'!P$7:P$102,MATCH($A13,'月次販売入力'!$A$7:$A$102,0)))</x:f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  <x:c r="CA13" s="1"/>
      <x:c r="CB13" s="1"/>
      <x:c r="CC13" s="1"/>
      <x:c r="CD13" s="1"/>
      <x:c r="CE13" s="1"/>
      <x:c r="CF13" s="1"/>
      <x:c r="CG13" s="1"/>
      <x:c r="CH13" s="1"/>
      <x:c r="CI13" s="1"/>
      <x:c r="CJ13" s="1"/>
      <x:c r="CK13" s="1"/>
      <x:c r="CL13" s="1"/>
      <x:c r="CM13" s="1"/>
      <x:c r="CN13" s="1"/>
      <x:c r="CO13" s="1"/>
      <x:c r="CP13" s="1"/>
      <x:c r="CQ13" s="1"/>
      <x:c r="CR13" s="1"/>
      <x:c r="CS13" s="1"/>
      <x:c r="CT13" s="1"/>
      <x:c r="CU13" s="1"/>
      <x:c r="CV13" s="1"/>
      <x:c r="CW13" s="1"/>
      <x:c r="CX13" s="1"/>
      <x:c r="CY13" s="1"/>
      <x:c r="CZ13" s="1"/>
      <x:c r="DA13" s="1"/>
      <x:c r="DB13" s="1"/>
      <x:c r="DC13" s="1"/>
      <x:c r="DD13" s="1"/>
    </x:row>
    <x:row r="14" ht="23" customHeight="1">
      <x:c r="A14" s="22" t="n">
        <x:f>EDATE('販売と制度比較'!$E$5,8)</x:f>
        <x:v>45536</x:v>
      </x:c>
      <x:c r="B14" s="30" t="str">
        <x:f>IF(ISBLANK(INDEX('月次販売入力'!B$7:B$102,MATCH($A14,'月次販売入力'!$A$7:$A$102,0))),"",INDEX('月次販売入力'!B$7:B$102,MATCH($A14,'月次販売入力'!$A$7:$A$102,0)))</x:f>
      </x:c>
      <x:c r="C14" s="30" t="str">
        <x:f>IF(ISBLANK(INDEX('月次販売入力'!C$7:C$102,MATCH($A14,'月次販売入力'!$A$7:$A$102,0))),"",INDEX('月次販売入力'!C$7:C$102,MATCH($A14,'月次販売入力'!$A$7:$A$102,0)))</x:f>
      </x:c>
      <x:c r="D14" s="30" t="str">
        <x:f>IF(ISBLANK(INDEX('月次販売入力'!D$7:D$102,MATCH($A14,'月次販売入力'!$A$7:$A$102,0))),"",INDEX('月次販売入力'!D$7:D$102,MATCH($A14,'月次販売入力'!$A$7:$A$102,0)))</x:f>
      </x:c>
      <x:c r="E14" s="30" t="str">
        <x:f>IF(ISBLANK(INDEX('月次販売入力'!E$7:E$102,MATCH($A14,'月次販売入力'!$A$7:$A$102,0))),"",INDEX('月次販売入力'!E$7:E$102,MATCH($A14,'月次販売入力'!$A$7:$A$102,0)))</x:f>
      </x:c>
      <x:c r="F14" s="30" t="str">
        <x:f>IF(ISBLANK(INDEX('月次販売入力'!F$7:F$102,MATCH($A14,'月次販売入力'!$A$7:$A$102,0))),"",INDEX('月次販売入力'!F$7:F$102,MATCH($A14,'月次販売入力'!$A$7:$A$102,0)))</x:f>
      </x:c>
      <x:c r="G14" s="30" t="str">
        <x:f>IF(ISBLANK(INDEX('月次販売入力'!G$7:G$102,MATCH($A14,'月次販売入力'!$A$7:$A$102,0))),"",INDEX('月次販売入力'!G$7:G$102,MATCH($A14,'月次販売入力'!$A$7:$A$102,0)))</x:f>
      </x:c>
      <x:c r="H14" s="30" t="str">
        <x:f>IF(ISBLANK(INDEX('月次販売入力'!H$7:H$102,MATCH($A14,'月次販売入力'!$A$7:$A$102,0))),"",INDEX('月次販売入力'!H$7:H$102,MATCH($A14,'月次販売入力'!$A$7:$A$102,0)))</x:f>
      </x:c>
      <x:c r="I14" s="30" t="str">
        <x:f>IF(ISBLANK(INDEX('月次販売入力'!I$7:I$102,MATCH($A14,'月次販売入力'!$A$7:$A$102,0))),"",INDEX('月次販売入力'!I$7:I$102,MATCH($A14,'月次販売入力'!$A$7:$A$102,0)))</x:f>
      </x:c>
      <x:c r="J14" s="30" t="str">
        <x:f>IF(ISBLANK(INDEX('月次販売入力'!J$7:J$102,MATCH($A14,'月次販売入力'!$A$7:$A$102,0))),"",INDEX('月次販売入力'!J$7:J$102,MATCH($A14,'月次販売入力'!$A$7:$A$102,0)))</x:f>
      </x:c>
      <x:c r="K14" s="30" t="str">
        <x:f>IF(ISBLANK(INDEX('月次販売入力'!K$7:K$102,MATCH($A14,'月次販売入力'!$A$7:$A$102,0))),"",INDEX('月次販売入力'!K$7:K$102,MATCH($A14,'月次販売入力'!$A$7:$A$102,0)))</x:f>
      </x:c>
      <x:c r="L14" s="30" t="str">
        <x:f>IF(ISBLANK(INDEX('月次販売入力'!L$7:L$102,MATCH($A14,'月次販売入力'!$A$7:$A$102,0))),"",INDEX('月次販売入力'!L$7:L$102,MATCH($A14,'月次販売入力'!$A$7:$A$102,0)))</x:f>
      </x:c>
      <x:c r="M14" s="30" t="str">
        <x:f>IF(ISBLANK(INDEX('月次販売入力'!M$7:M$102,MATCH($A14,'月次販売入力'!$A$7:$A$102,0))),"",INDEX('月次販売入力'!M$7:M$102,MATCH($A14,'月次販売入力'!$A$7:$A$102,0)))</x:f>
      </x:c>
      <x:c r="N14" s="30" t="str">
        <x:f>IF(ISBLANK(INDEX('月次販売入力'!N$7:N$102,MATCH($A14,'月次販売入力'!$A$7:$A$102,0))),"",INDEX('月次販売入力'!N$7:N$102,MATCH($A14,'月次販売入力'!$A$7:$A$102,0)))</x:f>
      </x:c>
      <x:c r="O14" s="30" t="str">
        <x:f>IF(ISBLANK(INDEX('月次販売入力'!O$7:O$102,MATCH($A14,'月次販売入力'!$A$7:$A$102,0))),"",INDEX('月次販売入力'!O$7:O$102,MATCH($A14,'月次販売入力'!$A$7:$A$102,0)))</x:f>
      </x:c>
      <x:c r="P14" s="30" t="str">
        <x:f>IF(ISBLANK(INDEX('月次販売入力'!P$7:P$102,MATCH($A14,'月次販売入力'!$A$7:$A$102,0))),"",INDEX('月次販売入力'!P$7:P$102,MATCH($A14,'月次販売入力'!$A$7:$A$102,0)))</x:f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</x:row>
    <x:row r="15" ht="23" customHeight="1">
      <x:c r="A15" s="22" t="n">
        <x:f>EDATE('販売と制度比較'!$E$5,9)</x:f>
        <x:v>45566</x:v>
      </x:c>
      <x:c r="B15" s="30" t="str">
        <x:f>IF(ISBLANK(INDEX('月次販売入力'!B$7:B$102,MATCH($A15,'月次販売入力'!$A$7:$A$102,0))),"",INDEX('月次販売入力'!B$7:B$102,MATCH($A15,'月次販売入力'!$A$7:$A$102,0)))</x:f>
      </x:c>
      <x:c r="C15" s="30" t="str">
        <x:f>IF(ISBLANK(INDEX('月次販売入力'!C$7:C$102,MATCH($A15,'月次販売入力'!$A$7:$A$102,0))),"",INDEX('月次販売入力'!C$7:C$102,MATCH($A15,'月次販売入力'!$A$7:$A$102,0)))</x:f>
      </x:c>
      <x:c r="D15" s="30" t="str">
        <x:f>IF(ISBLANK(INDEX('月次販売入力'!D$7:D$102,MATCH($A15,'月次販売入力'!$A$7:$A$102,0))),"",INDEX('月次販売入力'!D$7:D$102,MATCH($A15,'月次販売入力'!$A$7:$A$102,0)))</x:f>
      </x:c>
      <x:c r="E15" s="30" t="str">
        <x:f>IF(ISBLANK(INDEX('月次販売入力'!E$7:E$102,MATCH($A15,'月次販売入力'!$A$7:$A$102,0))),"",INDEX('月次販売入力'!E$7:E$102,MATCH($A15,'月次販売入力'!$A$7:$A$102,0)))</x:f>
      </x:c>
      <x:c r="F15" s="30" t="str">
        <x:f>IF(ISBLANK(INDEX('月次販売入力'!F$7:F$102,MATCH($A15,'月次販売入力'!$A$7:$A$102,0))),"",INDEX('月次販売入力'!F$7:F$102,MATCH($A15,'月次販売入力'!$A$7:$A$102,0)))</x:f>
      </x:c>
      <x:c r="G15" s="30" t="str">
        <x:f>IF(ISBLANK(INDEX('月次販売入力'!G$7:G$102,MATCH($A15,'月次販売入力'!$A$7:$A$102,0))),"",INDEX('月次販売入力'!G$7:G$102,MATCH($A15,'月次販売入力'!$A$7:$A$102,0)))</x:f>
      </x:c>
      <x:c r="H15" s="30" t="str">
        <x:f>IF(ISBLANK(INDEX('月次販売入力'!H$7:H$102,MATCH($A15,'月次販売入力'!$A$7:$A$102,0))),"",INDEX('月次販売入力'!H$7:H$102,MATCH($A15,'月次販売入力'!$A$7:$A$102,0)))</x:f>
      </x:c>
      <x:c r="I15" s="30" t="str">
        <x:f>IF(ISBLANK(INDEX('月次販売入力'!I$7:I$102,MATCH($A15,'月次販売入力'!$A$7:$A$102,0))),"",INDEX('月次販売入力'!I$7:I$102,MATCH($A15,'月次販売入力'!$A$7:$A$102,0)))</x:f>
      </x:c>
      <x:c r="J15" s="30" t="str">
        <x:f>IF(ISBLANK(INDEX('月次販売入力'!J$7:J$102,MATCH($A15,'月次販売入力'!$A$7:$A$102,0))),"",INDEX('月次販売入力'!J$7:J$102,MATCH($A15,'月次販売入力'!$A$7:$A$102,0)))</x:f>
      </x:c>
      <x:c r="K15" s="30" t="str">
        <x:f>IF(ISBLANK(INDEX('月次販売入力'!K$7:K$102,MATCH($A15,'月次販売入力'!$A$7:$A$102,0))),"",INDEX('月次販売入力'!K$7:K$102,MATCH($A15,'月次販売入力'!$A$7:$A$102,0)))</x:f>
      </x:c>
      <x:c r="L15" s="30" t="str">
        <x:f>IF(ISBLANK(INDEX('月次販売入力'!L$7:L$102,MATCH($A15,'月次販売入力'!$A$7:$A$102,0))),"",INDEX('月次販売入力'!L$7:L$102,MATCH($A15,'月次販売入力'!$A$7:$A$102,0)))</x:f>
      </x:c>
      <x:c r="M15" s="30" t="str">
        <x:f>IF(ISBLANK(INDEX('月次販売入力'!M$7:M$102,MATCH($A15,'月次販売入力'!$A$7:$A$102,0))),"",INDEX('月次販売入力'!M$7:M$102,MATCH($A15,'月次販売入力'!$A$7:$A$102,0)))</x:f>
      </x:c>
      <x:c r="N15" s="30" t="str">
        <x:f>IF(ISBLANK(INDEX('月次販売入力'!N$7:N$102,MATCH($A15,'月次販売入力'!$A$7:$A$102,0))),"",INDEX('月次販売入力'!N$7:N$102,MATCH($A15,'月次販売入力'!$A$7:$A$102,0)))</x:f>
      </x:c>
      <x:c r="O15" s="30" t="str">
        <x:f>IF(ISBLANK(INDEX('月次販売入力'!O$7:O$102,MATCH($A15,'月次販売入力'!$A$7:$A$102,0))),"",INDEX('月次販売入力'!O$7:O$102,MATCH($A15,'月次販売入力'!$A$7:$A$102,0)))</x:f>
      </x:c>
      <x:c r="P15" s="30" t="str">
        <x:f>IF(ISBLANK(INDEX('月次販売入力'!P$7:P$102,MATCH($A15,'月次販売入力'!$A$7:$A$102,0))),"",INDEX('月次販売入力'!P$7:P$102,MATCH($A15,'月次販売入力'!$A$7:$A$102,0)))</x:f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  <x:c r="CA15" s="1"/>
      <x:c r="CB15" s="1"/>
      <x:c r="CC15" s="1"/>
      <x:c r="CD15" s="1"/>
      <x:c r="CE15" s="1"/>
      <x:c r="CF15" s="1"/>
      <x:c r="CG15" s="1"/>
      <x:c r="CH15" s="1"/>
      <x:c r="CI15" s="1"/>
      <x:c r="CJ15" s="1"/>
      <x:c r="CK15" s="1"/>
      <x:c r="CL15" s="1"/>
      <x:c r="CM15" s="1"/>
      <x:c r="CN15" s="1"/>
      <x:c r="CO15" s="1"/>
      <x:c r="CP15" s="1"/>
      <x:c r="CQ15" s="1"/>
      <x:c r="CR15" s="1"/>
      <x:c r="CS15" s="1"/>
      <x:c r="CT15" s="1"/>
      <x:c r="CU15" s="1"/>
      <x:c r="CV15" s="1"/>
      <x:c r="CW15" s="1"/>
      <x:c r="CX15" s="1"/>
      <x:c r="CY15" s="1"/>
      <x:c r="CZ15" s="1"/>
      <x:c r="DA15" s="1"/>
      <x:c r="DB15" s="1"/>
      <x:c r="DC15" s="1"/>
      <x:c r="DD15" s="1"/>
    </x:row>
    <x:row r="16" ht="23" customHeight="1">
      <x:c r="A16" s="22" t="n">
        <x:f>EDATE('販売と制度比較'!$E$5,10)</x:f>
        <x:v>45597</x:v>
      </x:c>
      <x:c r="B16" s="30" t="str">
        <x:f>IF(ISBLANK(INDEX('月次販売入力'!B$7:B$102,MATCH($A16,'月次販売入力'!$A$7:$A$102,0))),"",INDEX('月次販売入力'!B$7:B$102,MATCH($A16,'月次販売入力'!$A$7:$A$102,0)))</x:f>
      </x:c>
      <x:c r="C16" s="30" t="str">
        <x:f>IF(ISBLANK(INDEX('月次販売入力'!C$7:C$102,MATCH($A16,'月次販売入力'!$A$7:$A$102,0))),"",INDEX('月次販売入力'!C$7:C$102,MATCH($A16,'月次販売入力'!$A$7:$A$102,0)))</x:f>
      </x:c>
      <x:c r="D16" s="30" t="str">
        <x:f>IF(ISBLANK(INDEX('月次販売入力'!D$7:D$102,MATCH($A16,'月次販売入力'!$A$7:$A$102,0))),"",INDEX('月次販売入力'!D$7:D$102,MATCH($A16,'月次販売入力'!$A$7:$A$102,0)))</x:f>
      </x:c>
      <x:c r="E16" s="30" t="str">
        <x:f>IF(ISBLANK(INDEX('月次販売入力'!E$7:E$102,MATCH($A16,'月次販売入力'!$A$7:$A$102,0))),"",INDEX('月次販売入力'!E$7:E$102,MATCH($A16,'月次販売入力'!$A$7:$A$102,0)))</x:f>
      </x:c>
      <x:c r="F16" s="30" t="str">
        <x:f>IF(ISBLANK(INDEX('月次販売入力'!F$7:F$102,MATCH($A16,'月次販売入力'!$A$7:$A$102,0))),"",INDEX('月次販売入力'!F$7:F$102,MATCH($A16,'月次販売入力'!$A$7:$A$102,0)))</x:f>
      </x:c>
      <x:c r="G16" s="30" t="str">
        <x:f>IF(ISBLANK(INDEX('月次販売入力'!G$7:G$102,MATCH($A16,'月次販売入力'!$A$7:$A$102,0))),"",INDEX('月次販売入力'!G$7:G$102,MATCH($A16,'月次販売入力'!$A$7:$A$102,0)))</x:f>
      </x:c>
      <x:c r="H16" s="30" t="str">
        <x:f>IF(ISBLANK(INDEX('月次販売入力'!H$7:H$102,MATCH($A16,'月次販売入力'!$A$7:$A$102,0))),"",INDEX('月次販売入力'!H$7:H$102,MATCH($A16,'月次販売入力'!$A$7:$A$102,0)))</x:f>
      </x:c>
      <x:c r="I16" s="30" t="str">
        <x:f>IF(ISBLANK(INDEX('月次販売入力'!I$7:I$102,MATCH($A16,'月次販売入力'!$A$7:$A$102,0))),"",INDEX('月次販売入力'!I$7:I$102,MATCH($A16,'月次販売入力'!$A$7:$A$102,0)))</x:f>
      </x:c>
      <x:c r="J16" s="30" t="str">
        <x:f>IF(ISBLANK(INDEX('月次販売入力'!J$7:J$102,MATCH($A16,'月次販売入力'!$A$7:$A$102,0))),"",INDEX('月次販売入力'!J$7:J$102,MATCH($A16,'月次販売入力'!$A$7:$A$102,0)))</x:f>
      </x:c>
      <x:c r="K16" s="30" t="str">
        <x:f>IF(ISBLANK(INDEX('月次販売入力'!K$7:K$102,MATCH($A16,'月次販売入力'!$A$7:$A$102,0))),"",INDEX('月次販売入力'!K$7:K$102,MATCH($A16,'月次販売入力'!$A$7:$A$102,0)))</x:f>
      </x:c>
      <x:c r="L16" s="30" t="str">
        <x:f>IF(ISBLANK(INDEX('月次販売入力'!L$7:L$102,MATCH($A16,'月次販売入力'!$A$7:$A$102,0))),"",INDEX('月次販売入力'!L$7:L$102,MATCH($A16,'月次販売入力'!$A$7:$A$102,0)))</x:f>
      </x:c>
      <x:c r="M16" s="30" t="str">
        <x:f>IF(ISBLANK(INDEX('月次販売入力'!M$7:M$102,MATCH($A16,'月次販売入力'!$A$7:$A$102,0))),"",INDEX('月次販売入力'!M$7:M$102,MATCH($A16,'月次販売入力'!$A$7:$A$102,0)))</x:f>
      </x:c>
      <x:c r="N16" s="30" t="str">
        <x:f>IF(ISBLANK(INDEX('月次販売入力'!N$7:N$102,MATCH($A16,'月次販売入力'!$A$7:$A$102,0))),"",INDEX('月次販売入力'!N$7:N$102,MATCH($A16,'月次販売入力'!$A$7:$A$102,0)))</x:f>
      </x:c>
      <x:c r="O16" s="30" t="str">
        <x:f>IF(ISBLANK(INDEX('月次販売入力'!O$7:O$102,MATCH($A16,'月次販売入力'!$A$7:$A$102,0))),"",INDEX('月次販売入力'!O$7:O$102,MATCH($A16,'月次販売入力'!$A$7:$A$102,0)))</x:f>
      </x:c>
      <x:c r="P16" s="30" t="str">
        <x:f>IF(ISBLANK(INDEX('月次販売入力'!P$7:P$102,MATCH($A16,'月次販売入力'!$A$7:$A$102,0))),"",INDEX('月次販売入力'!P$7:P$102,MATCH($A16,'月次販売入力'!$A$7:$A$102,0)))</x:f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  <x:c r="CA16" s="1"/>
      <x:c r="CB16" s="1"/>
      <x:c r="CC16" s="1"/>
      <x:c r="CD16" s="1"/>
      <x:c r="CE16" s="1"/>
      <x:c r="CF16" s="1"/>
      <x:c r="CG16" s="1"/>
      <x:c r="CH16" s="1"/>
      <x:c r="CI16" s="1"/>
      <x:c r="CJ16" s="1"/>
      <x:c r="CK16" s="1"/>
      <x:c r="CL16" s="1"/>
      <x:c r="CM16" s="1"/>
      <x:c r="CN16" s="1"/>
      <x:c r="CO16" s="1"/>
      <x:c r="CP16" s="1"/>
      <x:c r="CQ16" s="1"/>
      <x:c r="CR16" s="1"/>
      <x:c r="CS16" s="1"/>
      <x:c r="CT16" s="1"/>
      <x:c r="CU16" s="1"/>
      <x:c r="CV16" s="1"/>
      <x:c r="CW16" s="1"/>
      <x:c r="CX16" s="1"/>
      <x:c r="CY16" s="1"/>
      <x:c r="CZ16" s="1"/>
      <x:c r="DA16" s="1"/>
      <x:c r="DB16" s="1"/>
      <x:c r="DC16" s="1"/>
      <x:c r="DD16" s="1"/>
    </x:row>
    <x:row r="17" ht="23" customHeight="1">
      <x:c r="A17" s="22" t="n">
        <x:f>EDATE('販売と制度比較'!$E$5,11)</x:f>
        <x:v>45627</x:v>
      </x:c>
      <x:c r="B17" s="30" t="str">
        <x:f>IF(ISBLANK(INDEX('月次販売入力'!B$7:B$102,MATCH($A17,'月次販売入力'!$A$7:$A$102,0))),"",INDEX('月次販売入力'!B$7:B$102,MATCH($A17,'月次販売入力'!$A$7:$A$102,0)))</x:f>
      </x:c>
      <x:c r="C17" s="30" t="str">
        <x:f>IF(ISBLANK(INDEX('月次販売入力'!C$7:C$102,MATCH($A17,'月次販売入力'!$A$7:$A$102,0))),"",INDEX('月次販売入力'!C$7:C$102,MATCH($A17,'月次販売入力'!$A$7:$A$102,0)))</x:f>
      </x:c>
      <x:c r="D17" s="30" t="str">
        <x:f>IF(ISBLANK(INDEX('月次販売入力'!D$7:D$102,MATCH($A17,'月次販売入力'!$A$7:$A$102,0))),"",INDEX('月次販売入力'!D$7:D$102,MATCH($A17,'月次販売入力'!$A$7:$A$102,0)))</x:f>
      </x:c>
      <x:c r="E17" s="30" t="str">
        <x:f>IF(ISBLANK(INDEX('月次販売入力'!E$7:E$102,MATCH($A17,'月次販売入力'!$A$7:$A$102,0))),"",INDEX('月次販売入力'!E$7:E$102,MATCH($A17,'月次販売入力'!$A$7:$A$102,0)))</x:f>
      </x:c>
      <x:c r="F17" s="30" t="str">
        <x:f>IF(ISBLANK(INDEX('月次販売入力'!F$7:F$102,MATCH($A17,'月次販売入力'!$A$7:$A$102,0))),"",INDEX('月次販売入力'!F$7:F$102,MATCH($A17,'月次販売入力'!$A$7:$A$102,0)))</x:f>
      </x:c>
      <x:c r="G17" s="30" t="str">
        <x:f>IF(ISBLANK(INDEX('月次販売入力'!G$7:G$102,MATCH($A17,'月次販売入力'!$A$7:$A$102,0))),"",INDEX('月次販売入力'!G$7:G$102,MATCH($A17,'月次販売入力'!$A$7:$A$102,0)))</x:f>
      </x:c>
      <x:c r="H17" s="30" t="str">
        <x:f>IF(ISBLANK(INDEX('月次販売入力'!H$7:H$102,MATCH($A17,'月次販売入力'!$A$7:$A$102,0))),"",INDEX('月次販売入力'!H$7:H$102,MATCH($A17,'月次販売入力'!$A$7:$A$102,0)))</x:f>
      </x:c>
      <x:c r="I17" s="30" t="str">
        <x:f>IF(ISBLANK(INDEX('月次販売入力'!I$7:I$102,MATCH($A17,'月次販売入力'!$A$7:$A$102,0))),"",INDEX('月次販売入力'!I$7:I$102,MATCH($A17,'月次販売入力'!$A$7:$A$102,0)))</x:f>
      </x:c>
      <x:c r="J17" s="30" t="str">
        <x:f>IF(ISBLANK(INDEX('月次販売入力'!J$7:J$102,MATCH($A17,'月次販売入力'!$A$7:$A$102,0))),"",INDEX('月次販売入力'!J$7:J$102,MATCH($A17,'月次販売入力'!$A$7:$A$102,0)))</x:f>
      </x:c>
      <x:c r="K17" s="30" t="str">
        <x:f>IF(ISBLANK(INDEX('月次販売入力'!K$7:K$102,MATCH($A17,'月次販売入力'!$A$7:$A$102,0))),"",INDEX('月次販売入力'!K$7:K$102,MATCH($A17,'月次販売入力'!$A$7:$A$102,0)))</x:f>
      </x:c>
      <x:c r="L17" s="30" t="str">
        <x:f>IF(ISBLANK(INDEX('月次販売入力'!L$7:L$102,MATCH($A17,'月次販売入力'!$A$7:$A$102,0))),"",INDEX('月次販売入力'!L$7:L$102,MATCH($A17,'月次販売入力'!$A$7:$A$102,0)))</x:f>
      </x:c>
      <x:c r="M17" s="30" t="str">
        <x:f>IF(ISBLANK(INDEX('月次販売入力'!M$7:M$102,MATCH($A17,'月次販売入力'!$A$7:$A$102,0))),"",INDEX('月次販売入力'!M$7:M$102,MATCH($A17,'月次販売入力'!$A$7:$A$102,0)))</x:f>
      </x:c>
      <x:c r="N17" s="30" t="str">
        <x:f>IF(ISBLANK(INDEX('月次販売入力'!N$7:N$102,MATCH($A17,'月次販売入力'!$A$7:$A$102,0))),"",INDEX('月次販売入力'!N$7:N$102,MATCH($A17,'月次販売入力'!$A$7:$A$102,0)))</x:f>
      </x:c>
      <x:c r="O17" s="30" t="str">
        <x:f>IF(ISBLANK(INDEX('月次販売入力'!O$7:O$102,MATCH($A17,'月次販売入力'!$A$7:$A$102,0))),"",INDEX('月次販売入力'!O$7:O$102,MATCH($A17,'月次販売入力'!$A$7:$A$102,0)))</x:f>
      </x:c>
      <x:c r="P17" s="30" t="str">
        <x:f>IF(ISBLANK(INDEX('月次販売入力'!P$7:P$102,MATCH($A17,'月次販売入力'!$A$7:$A$102,0))),"",INDEX('月次販売入力'!P$7:P$102,MATCH($A17,'月次販売入力'!$A$7:$A$102,0)))</x:f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  <x:c r="CA17" s="1"/>
      <x:c r="CB17" s="1"/>
      <x:c r="CC17" s="1"/>
      <x:c r="CD17" s="1"/>
      <x:c r="CE17" s="1"/>
      <x:c r="CF17" s="1"/>
      <x:c r="CG17" s="1"/>
      <x:c r="CH17" s="1"/>
      <x:c r="CI17" s="1"/>
      <x:c r="CJ17" s="1"/>
      <x:c r="CK17" s="1"/>
      <x:c r="CL17" s="1"/>
      <x:c r="CM17" s="1"/>
      <x:c r="CN17" s="1"/>
      <x:c r="CO17" s="1"/>
      <x:c r="CP17" s="1"/>
      <x:c r="CQ17" s="1"/>
      <x:c r="CR17" s="1"/>
      <x:c r="CS17" s="1"/>
      <x:c r="CT17" s="1"/>
      <x:c r="CU17" s="1"/>
      <x:c r="CV17" s="1"/>
      <x:c r="CW17" s="1"/>
      <x:c r="CX17" s="1"/>
      <x:c r="CY17" s="1"/>
      <x:c r="CZ17" s="1"/>
      <x:c r="DA17" s="1"/>
      <x:c r="DB17" s="1"/>
      <x:c r="DC17" s="1"/>
      <x:c r="DD17" s="1"/>
    </x:row>
    <x:row r="18" ht="23" customHeight="1">
      <x:c r="A18" s="22" t="n">
        <x:f>EDATE('販売と制度比較'!$E$5,12)</x:f>
        <x:v>45658</x:v>
      </x:c>
      <x:c r="B18" s="30" t="str">
        <x:f>IF(ISBLANK(INDEX('月次販売入力'!B$7:B$102,MATCH($A18,'月次販売入力'!$A$7:$A$102,0))),"",INDEX('月次販売入力'!B$7:B$102,MATCH($A18,'月次販売入力'!$A$7:$A$102,0)))</x:f>
      </x:c>
      <x:c r="C18" s="30" t="str">
        <x:f>IF(ISBLANK(INDEX('月次販売入力'!C$7:C$102,MATCH($A18,'月次販売入力'!$A$7:$A$102,0))),"",INDEX('月次販売入力'!C$7:C$102,MATCH($A18,'月次販売入力'!$A$7:$A$102,0)))</x:f>
      </x:c>
      <x:c r="D18" s="30" t="str">
        <x:f>IF(ISBLANK(INDEX('月次販売入力'!D$7:D$102,MATCH($A18,'月次販売入力'!$A$7:$A$102,0))),"",INDEX('月次販売入力'!D$7:D$102,MATCH($A18,'月次販売入力'!$A$7:$A$102,0)))</x:f>
      </x:c>
      <x:c r="E18" s="30" t="str">
        <x:f>IF(ISBLANK(INDEX('月次販売入力'!E$7:E$102,MATCH($A18,'月次販売入力'!$A$7:$A$102,0))),"",INDEX('月次販売入力'!E$7:E$102,MATCH($A18,'月次販売入力'!$A$7:$A$102,0)))</x:f>
      </x:c>
      <x:c r="F18" s="30" t="str">
        <x:f>IF(ISBLANK(INDEX('月次販売入力'!F$7:F$102,MATCH($A18,'月次販売入力'!$A$7:$A$102,0))),"",INDEX('月次販売入力'!F$7:F$102,MATCH($A18,'月次販売入力'!$A$7:$A$102,0)))</x:f>
      </x:c>
      <x:c r="G18" s="30" t="str">
        <x:f>IF(ISBLANK(INDEX('月次販売入力'!G$7:G$102,MATCH($A18,'月次販売入力'!$A$7:$A$102,0))),"",INDEX('月次販売入力'!G$7:G$102,MATCH($A18,'月次販売入力'!$A$7:$A$102,0)))</x:f>
      </x:c>
      <x:c r="H18" s="30" t="str">
        <x:f>IF(ISBLANK(INDEX('月次販売入力'!H$7:H$102,MATCH($A18,'月次販売入力'!$A$7:$A$102,0))),"",INDEX('月次販売入力'!H$7:H$102,MATCH($A18,'月次販売入力'!$A$7:$A$102,0)))</x:f>
      </x:c>
      <x:c r="I18" s="30" t="str">
        <x:f>IF(ISBLANK(INDEX('月次販売入力'!I$7:I$102,MATCH($A18,'月次販売入力'!$A$7:$A$102,0))),"",INDEX('月次販売入力'!I$7:I$102,MATCH($A18,'月次販売入力'!$A$7:$A$102,0)))</x:f>
      </x:c>
      <x:c r="J18" s="30" t="str">
        <x:f>IF(ISBLANK(INDEX('月次販売入力'!J$7:J$102,MATCH($A18,'月次販売入力'!$A$7:$A$102,0))),"",INDEX('月次販売入力'!J$7:J$102,MATCH($A18,'月次販売入力'!$A$7:$A$102,0)))</x:f>
      </x:c>
      <x:c r="K18" s="30" t="str">
        <x:f>IF(ISBLANK(INDEX('月次販売入力'!K$7:K$102,MATCH($A18,'月次販売入力'!$A$7:$A$102,0))),"",INDEX('月次販売入力'!K$7:K$102,MATCH($A18,'月次販売入力'!$A$7:$A$102,0)))</x:f>
      </x:c>
      <x:c r="L18" s="30" t="str">
        <x:f>IF(ISBLANK(INDEX('月次販売入力'!L$7:L$102,MATCH($A18,'月次販売入力'!$A$7:$A$102,0))),"",INDEX('月次販売入力'!L$7:L$102,MATCH($A18,'月次販売入力'!$A$7:$A$102,0)))</x:f>
      </x:c>
      <x:c r="M18" s="30" t="str">
        <x:f>IF(ISBLANK(INDEX('月次販売入力'!M$7:M$102,MATCH($A18,'月次販売入力'!$A$7:$A$102,0))),"",INDEX('月次販売入力'!M$7:M$102,MATCH($A18,'月次販売入力'!$A$7:$A$102,0)))</x:f>
      </x:c>
      <x:c r="N18" s="30" t="str">
        <x:f>IF(ISBLANK(INDEX('月次販売入力'!N$7:N$102,MATCH($A18,'月次販売入力'!$A$7:$A$102,0))),"",INDEX('月次販売入力'!N$7:N$102,MATCH($A18,'月次販売入力'!$A$7:$A$102,0)))</x:f>
      </x:c>
      <x:c r="O18" s="30" t="str">
        <x:f>IF(ISBLANK(INDEX('月次販売入力'!O$7:O$102,MATCH($A18,'月次販売入力'!$A$7:$A$102,0))),"",INDEX('月次販売入力'!O$7:O$102,MATCH($A18,'月次販売入力'!$A$7:$A$102,0)))</x:f>
      </x:c>
      <x:c r="P18" s="30" t="str">
        <x:f>IF(ISBLANK(INDEX('月次販売入力'!P$7:P$102,MATCH($A18,'月次販売入力'!$A$7:$A$102,0))),"",INDEX('月次販売入力'!P$7:P$102,MATCH($A18,'月次販売入力'!$A$7:$A$102,0)))</x:f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</x:row>
    <x:row r="19" ht="23" customHeight="1">
      <x:c r="A19" s="22" t="n">
        <x:f>EDATE('販売と制度比較'!$E$5,13)</x:f>
        <x:v>45689</x:v>
      </x:c>
      <x:c r="B19" s="30" t="str">
        <x:f>IF(ISBLANK(INDEX('月次販売入力'!B$7:B$102,MATCH($A19,'月次販売入力'!$A$7:$A$102,0))),"",INDEX('月次販売入力'!B$7:B$102,MATCH($A19,'月次販売入力'!$A$7:$A$102,0)))</x:f>
      </x:c>
      <x:c r="C19" s="30" t="str">
        <x:f>IF(ISBLANK(INDEX('月次販売入力'!C$7:C$102,MATCH($A19,'月次販売入力'!$A$7:$A$102,0))),"",INDEX('月次販売入力'!C$7:C$102,MATCH($A19,'月次販売入力'!$A$7:$A$102,0)))</x:f>
      </x:c>
      <x:c r="D19" s="30" t="str">
        <x:f>IF(ISBLANK(INDEX('月次販売入力'!D$7:D$102,MATCH($A19,'月次販売入力'!$A$7:$A$102,0))),"",INDEX('月次販売入力'!D$7:D$102,MATCH($A19,'月次販売入力'!$A$7:$A$102,0)))</x:f>
      </x:c>
      <x:c r="E19" s="30" t="str">
        <x:f>IF(ISBLANK(INDEX('月次販売入力'!E$7:E$102,MATCH($A19,'月次販売入力'!$A$7:$A$102,0))),"",INDEX('月次販売入力'!E$7:E$102,MATCH($A19,'月次販売入力'!$A$7:$A$102,0)))</x:f>
      </x:c>
      <x:c r="F19" s="30" t="str">
        <x:f>IF(ISBLANK(INDEX('月次販売入力'!F$7:F$102,MATCH($A19,'月次販売入力'!$A$7:$A$102,0))),"",INDEX('月次販売入力'!F$7:F$102,MATCH($A19,'月次販売入力'!$A$7:$A$102,0)))</x:f>
      </x:c>
      <x:c r="G19" s="30" t="str">
        <x:f>IF(ISBLANK(INDEX('月次販売入力'!G$7:G$102,MATCH($A19,'月次販売入力'!$A$7:$A$102,0))),"",INDEX('月次販売入力'!G$7:G$102,MATCH($A19,'月次販売入力'!$A$7:$A$102,0)))</x:f>
      </x:c>
      <x:c r="H19" s="30" t="str">
        <x:f>IF(ISBLANK(INDEX('月次販売入力'!H$7:H$102,MATCH($A19,'月次販売入力'!$A$7:$A$102,0))),"",INDEX('月次販売入力'!H$7:H$102,MATCH($A19,'月次販売入力'!$A$7:$A$102,0)))</x:f>
      </x:c>
      <x:c r="I19" s="30" t="str">
        <x:f>IF(ISBLANK(INDEX('月次販売入力'!I$7:I$102,MATCH($A19,'月次販売入力'!$A$7:$A$102,0))),"",INDEX('月次販売入力'!I$7:I$102,MATCH($A19,'月次販売入力'!$A$7:$A$102,0)))</x:f>
      </x:c>
      <x:c r="J19" s="30" t="str">
        <x:f>IF(ISBLANK(INDEX('月次販売入力'!J$7:J$102,MATCH($A19,'月次販売入力'!$A$7:$A$102,0))),"",INDEX('月次販売入力'!J$7:J$102,MATCH($A19,'月次販売入力'!$A$7:$A$102,0)))</x:f>
      </x:c>
      <x:c r="K19" s="30" t="str">
        <x:f>IF(ISBLANK(INDEX('月次販売入力'!K$7:K$102,MATCH($A19,'月次販売入力'!$A$7:$A$102,0))),"",INDEX('月次販売入力'!K$7:K$102,MATCH($A19,'月次販売入力'!$A$7:$A$102,0)))</x:f>
      </x:c>
      <x:c r="L19" s="30" t="str">
        <x:f>IF(ISBLANK(INDEX('月次販売入力'!L$7:L$102,MATCH($A19,'月次販売入力'!$A$7:$A$102,0))),"",INDEX('月次販売入力'!L$7:L$102,MATCH($A19,'月次販売入力'!$A$7:$A$102,0)))</x:f>
      </x:c>
      <x:c r="M19" s="30" t="str">
        <x:f>IF(ISBLANK(INDEX('月次販売入力'!M$7:M$102,MATCH($A19,'月次販売入力'!$A$7:$A$102,0))),"",INDEX('月次販売入力'!M$7:M$102,MATCH($A19,'月次販売入力'!$A$7:$A$102,0)))</x:f>
      </x:c>
      <x:c r="N19" s="30" t="str">
        <x:f>IF(ISBLANK(INDEX('月次販売入力'!N$7:N$102,MATCH($A19,'月次販売入力'!$A$7:$A$102,0))),"",INDEX('月次販売入力'!N$7:N$102,MATCH($A19,'月次販売入力'!$A$7:$A$102,0)))</x:f>
      </x:c>
      <x:c r="O19" s="30" t="str">
        <x:f>IF(ISBLANK(INDEX('月次販売入力'!O$7:O$102,MATCH($A19,'月次販売入力'!$A$7:$A$102,0))),"",INDEX('月次販売入力'!O$7:O$102,MATCH($A19,'月次販売入力'!$A$7:$A$102,0)))</x:f>
      </x:c>
      <x:c r="P19" s="30" t="str">
        <x:f>IF(ISBLANK(INDEX('月次販売入力'!P$7:P$102,MATCH($A19,'月次販売入力'!$A$7:$A$102,0))),"",INDEX('月次販売入力'!P$7:P$102,MATCH($A19,'月次販売入力'!$A$7:$A$102,0)))</x:f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  <x:c r="CA19" s="1"/>
      <x:c r="CB19" s="1"/>
      <x:c r="CC19" s="1"/>
      <x:c r="CD19" s="1"/>
      <x:c r="CE19" s="1"/>
      <x:c r="CF19" s="1"/>
      <x:c r="CG19" s="1"/>
      <x:c r="CH19" s="1"/>
      <x:c r="CI19" s="1"/>
      <x:c r="CJ19" s="1"/>
      <x:c r="CK19" s="1"/>
      <x:c r="CL19" s="1"/>
      <x:c r="CM19" s="1"/>
      <x:c r="CN19" s="1"/>
      <x:c r="CO19" s="1"/>
      <x:c r="CP19" s="1"/>
      <x:c r="CQ19" s="1"/>
      <x:c r="CR19" s="1"/>
      <x:c r="CS19" s="1"/>
      <x:c r="CT19" s="1"/>
      <x:c r="CU19" s="1"/>
      <x:c r="CV19" s="1"/>
      <x:c r="CW19" s="1"/>
      <x:c r="CX19" s="1"/>
      <x:c r="CY19" s="1"/>
      <x:c r="CZ19" s="1"/>
      <x:c r="DA19" s="1"/>
      <x:c r="DB19" s="1"/>
      <x:c r="DC19" s="1"/>
      <x:c r="DD19" s="1"/>
    </x:row>
    <x:row r="20" ht="23" customHeight="1">
      <x:c r="A20" s="22" t="n">
        <x:f>EDATE('販売と制度比較'!$E$5,14)</x:f>
        <x:v>45717</x:v>
      </x:c>
      <x:c r="B20" s="30" t="str">
        <x:f>IF(ISBLANK(INDEX('月次販売入力'!B$7:B$102,MATCH($A20,'月次販売入力'!$A$7:$A$102,0))),"",INDEX('月次販売入力'!B$7:B$102,MATCH($A20,'月次販売入力'!$A$7:$A$102,0)))</x:f>
      </x:c>
      <x:c r="C20" s="30" t="str">
        <x:f>IF(ISBLANK(INDEX('月次販売入力'!C$7:C$102,MATCH($A20,'月次販売入力'!$A$7:$A$102,0))),"",INDEX('月次販売入力'!C$7:C$102,MATCH($A20,'月次販売入力'!$A$7:$A$102,0)))</x:f>
      </x:c>
      <x:c r="D20" s="30" t="str">
        <x:f>IF(ISBLANK(INDEX('月次販売入力'!D$7:D$102,MATCH($A20,'月次販売入力'!$A$7:$A$102,0))),"",INDEX('月次販売入力'!D$7:D$102,MATCH($A20,'月次販売入力'!$A$7:$A$102,0)))</x:f>
      </x:c>
      <x:c r="E20" s="30" t="str">
        <x:f>IF(ISBLANK(INDEX('月次販売入力'!E$7:E$102,MATCH($A20,'月次販売入力'!$A$7:$A$102,0))),"",INDEX('月次販売入力'!E$7:E$102,MATCH($A20,'月次販売入力'!$A$7:$A$102,0)))</x:f>
      </x:c>
      <x:c r="F20" s="30" t="str">
        <x:f>IF(ISBLANK(INDEX('月次販売入力'!F$7:F$102,MATCH($A20,'月次販売入力'!$A$7:$A$102,0))),"",INDEX('月次販売入力'!F$7:F$102,MATCH($A20,'月次販売入力'!$A$7:$A$102,0)))</x:f>
      </x:c>
      <x:c r="G20" s="30" t="str">
        <x:f>IF(ISBLANK(INDEX('月次販売入力'!G$7:G$102,MATCH($A20,'月次販売入力'!$A$7:$A$102,0))),"",INDEX('月次販売入力'!G$7:G$102,MATCH($A20,'月次販売入力'!$A$7:$A$102,0)))</x:f>
      </x:c>
      <x:c r="H20" s="30" t="str">
        <x:f>IF(ISBLANK(INDEX('月次販売入力'!H$7:H$102,MATCH($A20,'月次販売入力'!$A$7:$A$102,0))),"",INDEX('月次販売入力'!H$7:H$102,MATCH($A20,'月次販売入力'!$A$7:$A$102,0)))</x:f>
      </x:c>
      <x:c r="I20" s="30" t="str">
        <x:f>IF(ISBLANK(INDEX('月次販売入力'!I$7:I$102,MATCH($A20,'月次販売入力'!$A$7:$A$102,0))),"",INDEX('月次販売入力'!I$7:I$102,MATCH($A20,'月次販売入力'!$A$7:$A$102,0)))</x:f>
      </x:c>
      <x:c r="J20" s="30" t="str">
        <x:f>IF(ISBLANK(INDEX('月次販売入力'!J$7:J$102,MATCH($A20,'月次販売入力'!$A$7:$A$102,0))),"",INDEX('月次販売入力'!J$7:J$102,MATCH($A20,'月次販売入力'!$A$7:$A$102,0)))</x:f>
      </x:c>
      <x:c r="K20" s="30" t="str">
        <x:f>IF(ISBLANK(INDEX('月次販売入力'!K$7:K$102,MATCH($A20,'月次販売入力'!$A$7:$A$102,0))),"",INDEX('月次販売入力'!K$7:K$102,MATCH($A20,'月次販売入力'!$A$7:$A$102,0)))</x:f>
      </x:c>
      <x:c r="L20" s="30" t="str">
        <x:f>IF(ISBLANK(INDEX('月次販売入力'!L$7:L$102,MATCH($A20,'月次販売入力'!$A$7:$A$102,0))),"",INDEX('月次販売入力'!L$7:L$102,MATCH($A20,'月次販売入力'!$A$7:$A$102,0)))</x:f>
      </x:c>
      <x:c r="M20" s="30" t="str">
        <x:f>IF(ISBLANK(INDEX('月次販売入力'!M$7:M$102,MATCH($A20,'月次販売入力'!$A$7:$A$102,0))),"",INDEX('月次販売入力'!M$7:M$102,MATCH($A20,'月次販売入力'!$A$7:$A$102,0)))</x:f>
      </x:c>
      <x:c r="N20" s="30" t="str">
        <x:f>IF(ISBLANK(INDEX('月次販売入力'!N$7:N$102,MATCH($A20,'月次販売入力'!$A$7:$A$102,0))),"",INDEX('月次販売入力'!N$7:N$102,MATCH($A20,'月次販売入力'!$A$7:$A$102,0)))</x:f>
      </x:c>
      <x:c r="O20" s="30" t="str">
        <x:f>IF(ISBLANK(INDEX('月次販売入力'!O$7:O$102,MATCH($A20,'月次販売入力'!$A$7:$A$102,0))),"",INDEX('月次販売入力'!O$7:O$102,MATCH($A20,'月次販売入力'!$A$7:$A$102,0)))</x:f>
      </x:c>
      <x:c r="P20" s="30" t="str">
        <x:f>IF(ISBLANK(INDEX('月次販売入力'!P$7:P$102,MATCH($A20,'月次販売入力'!$A$7:$A$102,0))),"",INDEX('月次販売入力'!P$7:P$102,MATCH($A20,'月次販売入力'!$A$7:$A$102,0)))</x:f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</x:row>
    <x:row r="21" ht="23" customHeight="1">
      <x:c r="A21" s="22" t="n">
        <x:f>EDATE('販売と制度比較'!$E$5,15)</x:f>
        <x:v>45748</x:v>
      </x:c>
      <x:c r="B21" s="30" t="str">
        <x:f>IF(ISBLANK(INDEX('月次販売入力'!B$7:B$102,MATCH($A21,'月次販売入力'!$A$7:$A$102,0))),"",INDEX('月次販売入力'!B$7:B$102,MATCH($A21,'月次販売入力'!$A$7:$A$102,0)))</x:f>
      </x:c>
      <x:c r="C21" s="30" t="str">
        <x:f>IF(ISBLANK(INDEX('月次販売入力'!C$7:C$102,MATCH($A21,'月次販売入力'!$A$7:$A$102,0))),"",INDEX('月次販売入力'!C$7:C$102,MATCH($A21,'月次販売入力'!$A$7:$A$102,0)))</x:f>
      </x:c>
      <x:c r="D21" s="30" t="str">
        <x:f>IF(ISBLANK(INDEX('月次販売入力'!D$7:D$102,MATCH($A21,'月次販売入力'!$A$7:$A$102,0))),"",INDEX('月次販売入力'!D$7:D$102,MATCH($A21,'月次販売入力'!$A$7:$A$102,0)))</x:f>
      </x:c>
      <x:c r="E21" s="30" t="str">
        <x:f>IF(ISBLANK(INDEX('月次販売入力'!E$7:E$102,MATCH($A21,'月次販売入力'!$A$7:$A$102,0))),"",INDEX('月次販売入力'!E$7:E$102,MATCH($A21,'月次販売入力'!$A$7:$A$102,0)))</x:f>
      </x:c>
      <x:c r="F21" s="30" t="str">
        <x:f>IF(ISBLANK(INDEX('月次販売入力'!F$7:F$102,MATCH($A21,'月次販売入力'!$A$7:$A$102,0))),"",INDEX('月次販売入力'!F$7:F$102,MATCH($A21,'月次販売入力'!$A$7:$A$102,0)))</x:f>
      </x:c>
      <x:c r="G21" s="30" t="str">
        <x:f>IF(ISBLANK(INDEX('月次販売入力'!G$7:G$102,MATCH($A21,'月次販売入力'!$A$7:$A$102,0))),"",INDEX('月次販売入力'!G$7:G$102,MATCH($A21,'月次販売入力'!$A$7:$A$102,0)))</x:f>
      </x:c>
      <x:c r="H21" s="30" t="str">
        <x:f>IF(ISBLANK(INDEX('月次販売入力'!H$7:H$102,MATCH($A21,'月次販売入力'!$A$7:$A$102,0))),"",INDEX('月次販売入力'!H$7:H$102,MATCH($A21,'月次販売入力'!$A$7:$A$102,0)))</x:f>
      </x:c>
      <x:c r="I21" s="30" t="str">
        <x:f>IF(ISBLANK(INDEX('月次販売入力'!I$7:I$102,MATCH($A21,'月次販売入力'!$A$7:$A$102,0))),"",INDEX('月次販売入力'!I$7:I$102,MATCH($A21,'月次販売入力'!$A$7:$A$102,0)))</x:f>
      </x:c>
      <x:c r="J21" s="30" t="str">
        <x:f>IF(ISBLANK(INDEX('月次販売入力'!J$7:J$102,MATCH($A21,'月次販売入力'!$A$7:$A$102,0))),"",INDEX('月次販売入力'!J$7:J$102,MATCH($A21,'月次販売入力'!$A$7:$A$102,0)))</x:f>
      </x:c>
      <x:c r="K21" s="30" t="str">
        <x:f>IF(ISBLANK(INDEX('月次販売入力'!K$7:K$102,MATCH($A21,'月次販売入力'!$A$7:$A$102,0))),"",INDEX('月次販売入力'!K$7:K$102,MATCH($A21,'月次販売入力'!$A$7:$A$102,0)))</x:f>
      </x:c>
      <x:c r="L21" s="30" t="str">
        <x:f>IF(ISBLANK(INDEX('月次販売入力'!L$7:L$102,MATCH($A21,'月次販売入力'!$A$7:$A$102,0))),"",INDEX('月次販売入力'!L$7:L$102,MATCH($A21,'月次販売入力'!$A$7:$A$102,0)))</x:f>
      </x:c>
      <x:c r="M21" s="30" t="str">
        <x:f>IF(ISBLANK(INDEX('月次販売入力'!M$7:M$102,MATCH($A21,'月次販売入力'!$A$7:$A$102,0))),"",INDEX('月次販売入力'!M$7:M$102,MATCH($A21,'月次販売入力'!$A$7:$A$102,0)))</x:f>
      </x:c>
      <x:c r="N21" s="30" t="str">
        <x:f>IF(ISBLANK(INDEX('月次販売入力'!N$7:N$102,MATCH($A21,'月次販売入力'!$A$7:$A$102,0))),"",INDEX('月次販売入力'!N$7:N$102,MATCH($A21,'月次販売入力'!$A$7:$A$102,0)))</x:f>
      </x:c>
      <x:c r="O21" s="30" t="str">
        <x:f>IF(ISBLANK(INDEX('月次販売入力'!O$7:O$102,MATCH($A21,'月次販売入力'!$A$7:$A$102,0))),"",INDEX('月次販売入力'!O$7:O$102,MATCH($A21,'月次販売入力'!$A$7:$A$102,0)))</x:f>
      </x:c>
      <x:c r="P21" s="30" t="str">
        <x:f>IF(ISBLANK(INDEX('月次販売入力'!P$7:P$102,MATCH($A21,'月次販売入力'!$A$7:$A$102,0))),"",INDEX('月次販売入力'!P$7:P$102,MATCH($A21,'月次販売入力'!$A$7:$A$102,0)))</x:f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</x:row>
    <x:row r="22" ht="23" customHeight="1">
      <x:c r="A22" s="22" t="n">
        <x:f>EDATE('販売と制度比較'!$E$5,16)</x:f>
        <x:v>45778</x:v>
      </x:c>
      <x:c r="B22" s="30" t="str">
        <x:f>IF(ISBLANK(INDEX('月次販売入力'!B$7:B$102,MATCH($A22,'月次販売入力'!$A$7:$A$102,0))),"",INDEX('月次販売入力'!B$7:B$102,MATCH($A22,'月次販売入力'!$A$7:$A$102,0)))</x:f>
      </x:c>
      <x:c r="C22" s="30" t="str">
        <x:f>IF(ISBLANK(INDEX('月次販売入力'!C$7:C$102,MATCH($A22,'月次販売入力'!$A$7:$A$102,0))),"",INDEX('月次販売入力'!C$7:C$102,MATCH($A22,'月次販売入力'!$A$7:$A$102,0)))</x:f>
      </x:c>
      <x:c r="D22" s="30" t="str">
        <x:f>IF(ISBLANK(INDEX('月次販売入力'!D$7:D$102,MATCH($A22,'月次販売入力'!$A$7:$A$102,0))),"",INDEX('月次販売入力'!D$7:D$102,MATCH($A22,'月次販売入力'!$A$7:$A$102,0)))</x:f>
      </x:c>
      <x:c r="E22" s="30" t="str">
        <x:f>IF(ISBLANK(INDEX('月次販売入力'!E$7:E$102,MATCH($A22,'月次販売入力'!$A$7:$A$102,0))),"",INDEX('月次販売入力'!E$7:E$102,MATCH($A22,'月次販売入力'!$A$7:$A$102,0)))</x:f>
      </x:c>
      <x:c r="F22" s="30" t="str">
        <x:f>IF(ISBLANK(INDEX('月次販売入力'!F$7:F$102,MATCH($A22,'月次販売入力'!$A$7:$A$102,0))),"",INDEX('月次販売入力'!F$7:F$102,MATCH($A22,'月次販売入力'!$A$7:$A$102,0)))</x:f>
      </x:c>
      <x:c r="G22" s="30" t="str">
        <x:f>IF(ISBLANK(INDEX('月次販売入力'!G$7:G$102,MATCH($A22,'月次販売入力'!$A$7:$A$102,0))),"",INDEX('月次販売入力'!G$7:G$102,MATCH($A22,'月次販売入力'!$A$7:$A$102,0)))</x:f>
      </x:c>
      <x:c r="H22" s="30" t="str">
        <x:f>IF(ISBLANK(INDEX('月次販売入力'!H$7:H$102,MATCH($A22,'月次販売入力'!$A$7:$A$102,0))),"",INDEX('月次販売入力'!H$7:H$102,MATCH($A22,'月次販売入力'!$A$7:$A$102,0)))</x:f>
      </x:c>
      <x:c r="I22" s="30" t="str">
        <x:f>IF(ISBLANK(INDEX('月次販売入力'!I$7:I$102,MATCH($A22,'月次販売入力'!$A$7:$A$102,0))),"",INDEX('月次販売入力'!I$7:I$102,MATCH($A22,'月次販売入力'!$A$7:$A$102,0)))</x:f>
      </x:c>
      <x:c r="J22" s="30" t="str">
        <x:f>IF(ISBLANK(INDEX('月次販売入力'!J$7:J$102,MATCH($A22,'月次販売入力'!$A$7:$A$102,0))),"",INDEX('月次販売入力'!J$7:J$102,MATCH($A22,'月次販売入力'!$A$7:$A$102,0)))</x:f>
      </x:c>
      <x:c r="K22" s="30" t="str">
        <x:f>IF(ISBLANK(INDEX('月次販売入力'!K$7:K$102,MATCH($A22,'月次販売入力'!$A$7:$A$102,0))),"",INDEX('月次販売入力'!K$7:K$102,MATCH($A22,'月次販売入力'!$A$7:$A$102,0)))</x:f>
      </x:c>
      <x:c r="L22" s="30" t="str">
        <x:f>IF(ISBLANK(INDEX('月次販売入力'!L$7:L$102,MATCH($A22,'月次販売入力'!$A$7:$A$102,0))),"",INDEX('月次販売入力'!L$7:L$102,MATCH($A22,'月次販売入力'!$A$7:$A$102,0)))</x:f>
      </x:c>
      <x:c r="M22" s="30" t="str">
        <x:f>IF(ISBLANK(INDEX('月次販売入力'!M$7:M$102,MATCH($A22,'月次販売入力'!$A$7:$A$102,0))),"",INDEX('月次販売入力'!M$7:M$102,MATCH($A22,'月次販売入力'!$A$7:$A$102,0)))</x:f>
      </x:c>
      <x:c r="N22" s="30" t="str">
        <x:f>IF(ISBLANK(INDEX('月次販売入力'!N$7:N$102,MATCH($A22,'月次販売入力'!$A$7:$A$102,0))),"",INDEX('月次販売入力'!N$7:N$102,MATCH($A22,'月次販売入力'!$A$7:$A$102,0)))</x:f>
      </x:c>
      <x:c r="O22" s="30" t="str">
        <x:f>IF(ISBLANK(INDEX('月次販売入力'!O$7:O$102,MATCH($A22,'月次販売入力'!$A$7:$A$102,0))),"",INDEX('月次販売入力'!O$7:O$102,MATCH($A22,'月次販売入力'!$A$7:$A$102,0)))</x:f>
      </x:c>
      <x:c r="P22" s="30" t="str">
        <x:f>IF(ISBLANK(INDEX('月次販売入力'!P$7:P$102,MATCH($A22,'月次販売入力'!$A$7:$A$102,0))),"",INDEX('月次販売入力'!P$7:P$102,MATCH($A22,'月次販売入力'!$A$7:$A$102,0)))</x:f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</x:row>
    <x:row r="23" ht="23" customHeight="1">
      <x:c r="A23" s="22" t="n">
        <x:f>EDATE('販売と制度比較'!$E$5,17)</x:f>
        <x:v>45809</x:v>
      </x:c>
      <x:c r="B23" s="30" t="str">
        <x:f>IF(ISBLANK(INDEX('月次販売入力'!B$7:B$102,MATCH($A23,'月次販売入力'!$A$7:$A$102,0))),"",INDEX('月次販売入力'!B$7:B$102,MATCH($A23,'月次販売入力'!$A$7:$A$102,0)))</x:f>
      </x:c>
      <x:c r="C23" s="30" t="str">
        <x:f>IF(ISBLANK(INDEX('月次販売入力'!C$7:C$102,MATCH($A23,'月次販売入力'!$A$7:$A$102,0))),"",INDEX('月次販売入力'!C$7:C$102,MATCH($A23,'月次販売入力'!$A$7:$A$102,0)))</x:f>
      </x:c>
      <x:c r="D23" s="30" t="str">
        <x:f>IF(ISBLANK(INDEX('月次販売入力'!D$7:D$102,MATCH($A23,'月次販売入力'!$A$7:$A$102,0))),"",INDEX('月次販売入力'!D$7:D$102,MATCH($A23,'月次販売入力'!$A$7:$A$102,0)))</x:f>
      </x:c>
      <x:c r="E23" s="30" t="str">
        <x:f>IF(ISBLANK(INDEX('月次販売入力'!E$7:E$102,MATCH($A23,'月次販売入力'!$A$7:$A$102,0))),"",INDEX('月次販売入力'!E$7:E$102,MATCH($A23,'月次販売入力'!$A$7:$A$102,0)))</x:f>
      </x:c>
      <x:c r="F23" s="30" t="str">
        <x:f>IF(ISBLANK(INDEX('月次販売入力'!F$7:F$102,MATCH($A23,'月次販売入力'!$A$7:$A$102,0))),"",INDEX('月次販売入力'!F$7:F$102,MATCH($A23,'月次販売入力'!$A$7:$A$102,0)))</x:f>
      </x:c>
      <x:c r="G23" s="30" t="str">
        <x:f>IF(ISBLANK(INDEX('月次販売入力'!G$7:G$102,MATCH($A23,'月次販売入力'!$A$7:$A$102,0))),"",INDEX('月次販売入力'!G$7:G$102,MATCH($A23,'月次販売入力'!$A$7:$A$102,0)))</x:f>
      </x:c>
      <x:c r="H23" s="30" t="str">
        <x:f>IF(ISBLANK(INDEX('月次販売入力'!H$7:H$102,MATCH($A23,'月次販売入力'!$A$7:$A$102,0))),"",INDEX('月次販売入力'!H$7:H$102,MATCH($A23,'月次販売入力'!$A$7:$A$102,0)))</x:f>
      </x:c>
      <x:c r="I23" s="30" t="str">
        <x:f>IF(ISBLANK(INDEX('月次販売入力'!I$7:I$102,MATCH($A23,'月次販売入力'!$A$7:$A$102,0))),"",INDEX('月次販売入力'!I$7:I$102,MATCH($A23,'月次販売入力'!$A$7:$A$102,0)))</x:f>
      </x:c>
      <x:c r="J23" s="30" t="str">
        <x:f>IF(ISBLANK(INDEX('月次販売入力'!J$7:J$102,MATCH($A23,'月次販売入力'!$A$7:$A$102,0))),"",INDEX('月次販売入力'!J$7:J$102,MATCH($A23,'月次販売入力'!$A$7:$A$102,0)))</x:f>
      </x:c>
      <x:c r="K23" s="30" t="str">
        <x:f>IF(ISBLANK(INDEX('月次販売入力'!K$7:K$102,MATCH($A23,'月次販売入力'!$A$7:$A$102,0))),"",INDEX('月次販売入力'!K$7:K$102,MATCH($A23,'月次販売入力'!$A$7:$A$102,0)))</x:f>
      </x:c>
      <x:c r="L23" s="30" t="str">
        <x:f>IF(ISBLANK(INDEX('月次販売入力'!L$7:L$102,MATCH($A23,'月次販売入力'!$A$7:$A$102,0))),"",INDEX('月次販売入力'!L$7:L$102,MATCH($A23,'月次販売入力'!$A$7:$A$102,0)))</x:f>
      </x:c>
      <x:c r="M23" s="30" t="str">
        <x:f>IF(ISBLANK(INDEX('月次販売入力'!M$7:M$102,MATCH($A23,'月次販売入力'!$A$7:$A$102,0))),"",INDEX('月次販売入力'!M$7:M$102,MATCH($A23,'月次販売入力'!$A$7:$A$102,0)))</x:f>
      </x:c>
      <x:c r="N23" s="30" t="str">
        <x:f>IF(ISBLANK(INDEX('月次販売入力'!N$7:N$102,MATCH($A23,'月次販売入力'!$A$7:$A$102,0))),"",INDEX('月次販売入力'!N$7:N$102,MATCH($A23,'月次販売入力'!$A$7:$A$102,0)))</x:f>
      </x:c>
      <x:c r="O23" s="30" t="str">
        <x:f>IF(ISBLANK(INDEX('月次販売入力'!O$7:O$102,MATCH($A23,'月次販売入力'!$A$7:$A$102,0))),"",INDEX('月次販売入力'!O$7:O$102,MATCH($A23,'月次販売入力'!$A$7:$A$102,0)))</x:f>
      </x:c>
      <x:c r="P23" s="30" t="str">
        <x:f>IF(ISBLANK(INDEX('月次販売入力'!P$7:P$102,MATCH($A23,'月次販売入力'!$A$7:$A$102,0))),"",INDEX('月次販売入力'!P$7:P$102,MATCH($A23,'月次販売入力'!$A$7:$A$102,0)))</x:f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</x:row>
    <x:row r="24" ht="23" customHeight="1">
      <x:c r="A24" s="22" t="n">
        <x:f>EDATE('販売と制度比較'!$E$5,18)</x:f>
        <x:v>45839</x:v>
      </x:c>
      <x:c r="B24" s="30" t="str">
        <x:f>IF(ISBLANK(INDEX('月次販売入力'!B$7:B$102,MATCH($A24,'月次販売入力'!$A$7:$A$102,0))),"",INDEX('月次販売入力'!B$7:B$102,MATCH($A24,'月次販売入力'!$A$7:$A$102,0)))</x:f>
      </x:c>
      <x:c r="C24" s="30" t="str">
        <x:f>IF(ISBLANK(INDEX('月次販売入力'!C$7:C$102,MATCH($A24,'月次販売入力'!$A$7:$A$102,0))),"",INDEX('月次販売入力'!C$7:C$102,MATCH($A24,'月次販売入力'!$A$7:$A$102,0)))</x:f>
      </x:c>
      <x:c r="D24" s="30" t="str">
        <x:f>IF(ISBLANK(INDEX('月次販売入力'!D$7:D$102,MATCH($A24,'月次販売入力'!$A$7:$A$102,0))),"",INDEX('月次販売入力'!D$7:D$102,MATCH($A24,'月次販売入力'!$A$7:$A$102,0)))</x:f>
      </x:c>
      <x:c r="E24" s="30" t="str">
        <x:f>IF(ISBLANK(INDEX('月次販売入力'!E$7:E$102,MATCH($A24,'月次販売入力'!$A$7:$A$102,0))),"",INDEX('月次販売入力'!E$7:E$102,MATCH($A24,'月次販売入力'!$A$7:$A$102,0)))</x:f>
      </x:c>
      <x:c r="F24" s="30" t="str">
        <x:f>IF(ISBLANK(INDEX('月次販売入力'!F$7:F$102,MATCH($A24,'月次販売入力'!$A$7:$A$102,0))),"",INDEX('月次販売入力'!F$7:F$102,MATCH($A24,'月次販売入力'!$A$7:$A$102,0)))</x:f>
      </x:c>
      <x:c r="G24" s="30" t="str">
        <x:f>IF(ISBLANK(INDEX('月次販売入力'!G$7:G$102,MATCH($A24,'月次販売入力'!$A$7:$A$102,0))),"",INDEX('月次販売入力'!G$7:G$102,MATCH($A24,'月次販売入力'!$A$7:$A$102,0)))</x:f>
      </x:c>
      <x:c r="H24" s="30" t="str">
        <x:f>IF(ISBLANK(INDEX('月次販売入力'!H$7:H$102,MATCH($A24,'月次販売入力'!$A$7:$A$102,0))),"",INDEX('月次販売入力'!H$7:H$102,MATCH($A24,'月次販売入力'!$A$7:$A$102,0)))</x:f>
      </x:c>
      <x:c r="I24" s="30" t="str">
        <x:f>IF(ISBLANK(INDEX('月次販売入力'!I$7:I$102,MATCH($A24,'月次販売入力'!$A$7:$A$102,0))),"",INDEX('月次販売入力'!I$7:I$102,MATCH($A24,'月次販売入力'!$A$7:$A$102,0)))</x:f>
      </x:c>
      <x:c r="J24" s="30" t="str">
        <x:f>IF(ISBLANK(INDEX('月次販売入力'!J$7:J$102,MATCH($A24,'月次販売入力'!$A$7:$A$102,0))),"",INDEX('月次販売入力'!J$7:J$102,MATCH($A24,'月次販売入力'!$A$7:$A$102,0)))</x:f>
      </x:c>
      <x:c r="K24" s="30" t="str">
        <x:f>IF(ISBLANK(INDEX('月次販売入力'!K$7:K$102,MATCH($A24,'月次販売入力'!$A$7:$A$102,0))),"",INDEX('月次販売入力'!K$7:K$102,MATCH($A24,'月次販売入力'!$A$7:$A$102,0)))</x:f>
      </x:c>
      <x:c r="L24" s="30" t="str">
        <x:f>IF(ISBLANK(INDEX('月次販売入力'!L$7:L$102,MATCH($A24,'月次販売入力'!$A$7:$A$102,0))),"",INDEX('月次販売入力'!L$7:L$102,MATCH($A24,'月次販売入力'!$A$7:$A$102,0)))</x:f>
      </x:c>
      <x:c r="M24" s="30" t="str">
        <x:f>IF(ISBLANK(INDEX('月次販売入力'!M$7:M$102,MATCH($A24,'月次販売入力'!$A$7:$A$102,0))),"",INDEX('月次販売入力'!M$7:M$102,MATCH($A24,'月次販売入力'!$A$7:$A$102,0)))</x:f>
      </x:c>
      <x:c r="N24" s="30" t="str">
        <x:f>IF(ISBLANK(INDEX('月次販売入力'!N$7:N$102,MATCH($A24,'月次販売入力'!$A$7:$A$102,0))),"",INDEX('月次販売入力'!N$7:N$102,MATCH($A24,'月次販売入力'!$A$7:$A$102,0)))</x:f>
      </x:c>
      <x:c r="O24" s="30" t="str">
        <x:f>IF(ISBLANK(INDEX('月次販売入力'!O$7:O$102,MATCH($A24,'月次販売入力'!$A$7:$A$102,0))),"",INDEX('月次販売入力'!O$7:O$102,MATCH($A24,'月次販売入力'!$A$7:$A$102,0)))</x:f>
      </x:c>
      <x:c r="P24" s="30" t="str">
        <x:f>IF(ISBLANK(INDEX('月次販売入力'!P$7:P$102,MATCH($A24,'月次販売入力'!$A$7:$A$102,0))),"",INDEX('月次販売入力'!P$7:P$102,MATCH($A24,'月次販売入力'!$A$7:$A$102,0)))</x:f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</x:row>
    <x:row r="25" ht="23" customHeight="1">
      <x:c r="A25" s="22" t="n">
        <x:f>EDATE('販売と制度比較'!$E$5,19)</x:f>
        <x:v>45870</x:v>
      </x:c>
      <x:c r="B25" s="30" t="str">
        <x:f>IF(ISBLANK(INDEX('月次販売入力'!B$7:B$102,MATCH($A25,'月次販売入力'!$A$7:$A$102,0))),"",INDEX('月次販売入力'!B$7:B$102,MATCH($A25,'月次販売入力'!$A$7:$A$102,0)))</x:f>
      </x:c>
      <x:c r="C25" s="30" t="str">
        <x:f>IF(ISBLANK(INDEX('月次販売入力'!C$7:C$102,MATCH($A25,'月次販売入力'!$A$7:$A$102,0))),"",INDEX('月次販売入力'!C$7:C$102,MATCH($A25,'月次販売入力'!$A$7:$A$102,0)))</x:f>
      </x:c>
      <x:c r="D25" s="30" t="str">
        <x:f>IF(ISBLANK(INDEX('月次販売入力'!D$7:D$102,MATCH($A25,'月次販売入力'!$A$7:$A$102,0))),"",INDEX('月次販売入力'!D$7:D$102,MATCH($A25,'月次販売入力'!$A$7:$A$102,0)))</x:f>
      </x:c>
      <x:c r="E25" s="30" t="str">
        <x:f>IF(ISBLANK(INDEX('月次販売入力'!E$7:E$102,MATCH($A25,'月次販売入力'!$A$7:$A$102,0))),"",INDEX('月次販売入力'!E$7:E$102,MATCH($A25,'月次販売入力'!$A$7:$A$102,0)))</x:f>
      </x:c>
      <x:c r="F25" s="30" t="str">
        <x:f>IF(ISBLANK(INDEX('月次販売入力'!F$7:F$102,MATCH($A25,'月次販売入力'!$A$7:$A$102,0))),"",INDEX('月次販売入力'!F$7:F$102,MATCH($A25,'月次販売入力'!$A$7:$A$102,0)))</x:f>
      </x:c>
      <x:c r="G25" s="30" t="str">
        <x:f>IF(ISBLANK(INDEX('月次販売入力'!G$7:G$102,MATCH($A25,'月次販売入力'!$A$7:$A$102,0))),"",INDEX('月次販売入力'!G$7:G$102,MATCH($A25,'月次販売入力'!$A$7:$A$102,0)))</x:f>
      </x:c>
      <x:c r="H25" s="30" t="str">
        <x:f>IF(ISBLANK(INDEX('月次販売入力'!H$7:H$102,MATCH($A25,'月次販売入力'!$A$7:$A$102,0))),"",INDEX('月次販売入力'!H$7:H$102,MATCH($A25,'月次販売入力'!$A$7:$A$102,0)))</x:f>
      </x:c>
      <x:c r="I25" s="30" t="str">
        <x:f>IF(ISBLANK(INDEX('月次販売入力'!I$7:I$102,MATCH($A25,'月次販売入力'!$A$7:$A$102,0))),"",INDEX('月次販売入力'!I$7:I$102,MATCH($A25,'月次販売入力'!$A$7:$A$102,0)))</x:f>
      </x:c>
      <x:c r="J25" s="30" t="str">
        <x:f>IF(ISBLANK(INDEX('月次販売入力'!J$7:J$102,MATCH($A25,'月次販売入力'!$A$7:$A$102,0))),"",INDEX('月次販売入力'!J$7:J$102,MATCH($A25,'月次販売入力'!$A$7:$A$102,0)))</x:f>
      </x:c>
      <x:c r="K25" s="30" t="str">
        <x:f>IF(ISBLANK(INDEX('月次販売入力'!K$7:K$102,MATCH($A25,'月次販売入力'!$A$7:$A$102,0))),"",INDEX('月次販売入力'!K$7:K$102,MATCH($A25,'月次販売入力'!$A$7:$A$102,0)))</x:f>
      </x:c>
      <x:c r="L25" s="30" t="str">
        <x:f>IF(ISBLANK(INDEX('月次販売入力'!L$7:L$102,MATCH($A25,'月次販売入力'!$A$7:$A$102,0))),"",INDEX('月次販売入力'!L$7:L$102,MATCH($A25,'月次販売入力'!$A$7:$A$102,0)))</x:f>
      </x:c>
      <x:c r="M25" s="30" t="str">
        <x:f>IF(ISBLANK(INDEX('月次販売入力'!M$7:M$102,MATCH($A25,'月次販売入力'!$A$7:$A$102,0))),"",INDEX('月次販売入力'!M$7:M$102,MATCH($A25,'月次販売入力'!$A$7:$A$102,0)))</x:f>
      </x:c>
      <x:c r="N25" s="30" t="str">
        <x:f>IF(ISBLANK(INDEX('月次販売入力'!N$7:N$102,MATCH($A25,'月次販売入力'!$A$7:$A$102,0))),"",INDEX('月次販売入力'!N$7:N$102,MATCH($A25,'月次販売入力'!$A$7:$A$102,0)))</x:f>
      </x:c>
      <x:c r="O25" s="30" t="str">
        <x:f>IF(ISBLANK(INDEX('月次販売入力'!O$7:O$102,MATCH($A25,'月次販売入力'!$A$7:$A$102,0))),"",INDEX('月次販売入力'!O$7:O$102,MATCH($A25,'月次販売入力'!$A$7:$A$102,0)))</x:f>
      </x:c>
      <x:c r="P25" s="30" t="str">
        <x:f>IF(ISBLANK(INDEX('月次販売入力'!P$7:P$102,MATCH($A25,'月次販売入力'!$A$7:$A$102,0))),"",INDEX('月次販売入力'!P$7:P$102,MATCH($A25,'月次販売入力'!$A$7:$A$102,0)))</x:f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  <x:c r="CA25" s="1"/>
      <x:c r="CB25" s="1"/>
      <x:c r="CC25" s="1"/>
      <x:c r="CD25" s="1"/>
      <x:c r="CE25" s="1"/>
      <x:c r="CF25" s="1"/>
      <x:c r="CG25" s="1"/>
      <x:c r="CH25" s="1"/>
      <x:c r="CI25" s="1"/>
      <x:c r="CJ25" s="1"/>
      <x:c r="CK25" s="1"/>
      <x:c r="CL25" s="1"/>
      <x:c r="CM25" s="1"/>
      <x:c r="CN25" s="1"/>
      <x:c r="CO25" s="1"/>
      <x:c r="CP25" s="1"/>
      <x:c r="CQ25" s="1"/>
      <x:c r="CR25" s="1"/>
      <x:c r="CS25" s="1"/>
      <x:c r="CT25" s="1"/>
      <x:c r="CU25" s="1"/>
      <x:c r="CV25" s="1"/>
      <x:c r="CW25" s="1"/>
      <x:c r="CX25" s="1"/>
      <x:c r="CY25" s="1"/>
      <x:c r="CZ25" s="1"/>
      <x:c r="DA25" s="1"/>
      <x:c r="DB25" s="1"/>
      <x:c r="DC25" s="1"/>
      <x:c r="DD25" s="1"/>
    </x:row>
    <x:row r="26" ht="23" customHeight="1">
      <x:c r="A26" s="22" t="n">
        <x:f>EDATE('販売と制度比較'!$E$5,20)</x:f>
        <x:v>45901</x:v>
      </x:c>
      <x:c r="B26" s="30" t="str">
        <x:f>IF(ISBLANK(INDEX('月次販売入力'!B$7:B$102,MATCH($A26,'月次販売入力'!$A$7:$A$102,0))),"",INDEX('月次販売入力'!B$7:B$102,MATCH($A26,'月次販売入力'!$A$7:$A$102,0)))</x:f>
      </x:c>
      <x:c r="C26" s="30" t="str">
        <x:f>IF(ISBLANK(INDEX('月次販売入力'!C$7:C$102,MATCH($A26,'月次販売入力'!$A$7:$A$102,0))),"",INDEX('月次販売入力'!C$7:C$102,MATCH($A26,'月次販売入力'!$A$7:$A$102,0)))</x:f>
      </x:c>
      <x:c r="D26" s="30" t="str">
        <x:f>IF(ISBLANK(INDEX('月次販売入力'!D$7:D$102,MATCH($A26,'月次販売入力'!$A$7:$A$102,0))),"",INDEX('月次販売入力'!D$7:D$102,MATCH($A26,'月次販売入力'!$A$7:$A$102,0)))</x:f>
      </x:c>
      <x:c r="E26" s="30" t="str">
        <x:f>IF(ISBLANK(INDEX('月次販売入力'!E$7:E$102,MATCH($A26,'月次販売入力'!$A$7:$A$102,0))),"",INDEX('月次販売入力'!E$7:E$102,MATCH($A26,'月次販売入力'!$A$7:$A$102,0)))</x:f>
      </x:c>
      <x:c r="F26" s="30" t="str">
        <x:f>IF(ISBLANK(INDEX('月次販売入力'!F$7:F$102,MATCH($A26,'月次販売入力'!$A$7:$A$102,0))),"",INDEX('月次販売入力'!F$7:F$102,MATCH($A26,'月次販売入力'!$A$7:$A$102,0)))</x:f>
      </x:c>
      <x:c r="G26" s="30" t="str">
        <x:f>IF(ISBLANK(INDEX('月次販売入力'!G$7:G$102,MATCH($A26,'月次販売入力'!$A$7:$A$102,0))),"",INDEX('月次販売入力'!G$7:G$102,MATCH($A26,'月次販売入力'!$A$7:$A$102,0)))</x:f>
      </x:c>
      <x:c r="H26" s="30" t="str">
        <x:f>IF(ISBLANK(INDEX('月次販売入力'!H$7:H$102,MATCH($A26,'月次販売入力'!$A$7:$A$102,0))),"",INDEX('月次販売入力'!H$7:H$102,MATCH($A26,'月次販売入力'!$A$7:$A$102,0)))</x:f>
      </x:c>
      <x:c r="I26" s="30" t="str">
        <x:f>IF(ISBLANK(INDEX('月次販売入力'!I$7:I$102,MATCH($A26,'月次販売入力'!$A$7:$A$102,0))),"",INDEX('月次販売入力'!I$7:I$102,MATCH($A26,'月次販売入力'!$A$7:$A$102,0)))</x:f>
      </x:c>
      <x:c r="J26" s="30" t="str">
        <x:f>IF(ISBLANK(INDEX('月次販売入力'!J$7:J$102,MATCH($A26,'月次販売入力'!$A$7:$A$102,0))),"",INDEX('月次販売入力'!J$7:J$102,MATCH($A26,'月次販売入力'!$A$7:$A$102,0)))</x:f>
      </x:c>
      <x:c r="K26" s="30" t="str">
        <x:f>IF(ISBLANK(INDEX('月次販売入力'!K$7:K$102,MATCH($A26,'月次販売入力'!$A$7:$A$102,0))),"",INDEX('月次販売入力'!K$7:K$102,MATCH($A26,'月次販売入力'!$A$7:$A$102,0)))</x:f>
      </x:c>
      <x:c r="L26" s="30" t="str">
        <x:f>IF(ISBLANK(INDEX('月次販売入力'!L$7:L$102,MATCH($A26,'月次販売入力'!$A$7:$A$102,0))),"",INDEX('月次販売入力'!L$7:L$102,MATCH($A26,'月次販売入力'!$A$7:$A$102,0)))</x:f>
      </x:c>
      <x:c r="M26" s="30" t="str">
        <x:f>IF(ISBLANK(INDEX('月次販売入力'!M$7:M$102,MATCH($A26,'月次販売入力'!$A$7:$A$102,0))),"",INDEX('月次販売入力'!M$7:M$102,MATCH($A26,'月次販売入力'!$A$7:$A$102,0)))</x:f>
      </x:c>
      <x:c r="N26" s="30" t="str">
        <x:f>IF(ISBLANK(INDEX('月次販売入力'!N$7:N$102,MATCH($A26,'月次販売入力'!$A$7:$A$102,0))),"",INDEX('月次販売入力'!N$7:N$102,MATCH($A26,'月次販売入力'!$A$7:$A$102,0)))</x:f>
      </x:c>
      <x:c r="O26" s="30" t="str">
        <x:f>IF(ISBLANK(INDEX('月次販売入力'!O$7:O$102,MATCH($A26,'月次販売入力'!$A$7:$A$102,0))),"",INDEX('月次販売入力'!O$7:O$102,MATCH($A26,'月次販売入力'!$A$7:$A$102,0)))</x:f>
      </x:c>
      <x:c r="P26" s="30" t="str">
        <x:f>IF(ISBLANK(INDEX('月次販売入力'!P$7:P$102,MATCH($A26,'月次販売入力'!$A$7:$A$102,0))),"",INDEX('月次販売入力'!P$7:P$102,MATCH($A26,'月次販売入力'!$A$7:$A$102,0)))</x:f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</x:row>
    <x:row r="27" ht="23" customHeight="1">
      <x:c r="A27" s="22" t="n">
        <x:f>EDATE('販売と制度比較'!$E$5,21)</x:f>
        <x:v>45931</x:v>
      </x:c>
      <x:c r="B27" s="30" t="str">
        <x:f>IF(ISBLANK(INDEX('月次販売入力'!B$7:B$102,MATCH($A27,'月次販売入力'!$A$7:$A$102,0))),"",INDEX('月次販売入力'!B$7:B$102,MATCH($A27,'月次販売入力'!$A$7:$A$102,0)))</x:f>
      </x:c>
      <x:c r="C27" s="30" t="str">
        <x:f>IF(ISBLANK(INDEX('月次販売入力'!C$7:C$102,MATCH($A27,'月次販売入力'!$A$7:$A$102,0))),"",INDEX('月次販売入力'!C$7:C$102,MATCH($A27,'月次販売入力'!$A$7:$A$102,0)))</x:f>
      </x:c>
      <x:c r="D27" s="30" t="str">
        <x:f>IF(ISBLANK(INDEX('月次販売入力'!D$7:D$102,MATCH($A27,'月次販売入力'!$A$7:$A$102,0))),"",INDEX('月次販売入力'!D$7:D$102,MATCH($A27,'月次販売入力'!$A$7:$A$102,0)))</x:f>
      </x:c>
      <x:c r="E27" s="30" t="str">
        <x:f>IF(ISBLANK(INDEX('月次販売入力'!E$7:E$102,MATCH($A27,'月次販売入力'!$A$7:$A$102,0))),"",INDEX('月次販売入力'!E$7:E$102,MATCH($A27,'月次販売入力'!$A$7:$A$102,0)))</x:f>
      </x:c>
      <x:c r="F27" s="30" t="str">
        <x:f>IF(ISBLANK(INDEX('月次販売入力'!F$7:F$102,MATCH($A27,'月次販売入力'!$A$7:$A$102,0))),"",INDEX('月次販売入力'!F$7:F$102,MATCH($A27,'月次販売入力'!$A$7:$A$102,0)))</x:f>
      </x:c>
      <x:c r="G27" s="30" t="str">
        <x:f>IF(ISBLANK(INDEX('月次販売入力'!G$7:G$102,MATCH($A27,'月次販売入力'!$A$7:$A$102,0))),"",INDEX('月次販売入力'!G$7:G$102,MATCH($A27,'月次販売入力'!$A$7:$A$102,0)))</x:f>
      </x:c>
      <x:c r="H27" s="30" t="str">
        <x:f>IF(ISBLANK(INDEX('月次販売入力'!H$7:H$102,MATCH($A27,'月次販売入力'!$A$7:$A$102,0))),"",INDEX('月次販売入力'!H$7:H$102,MATCH($A27,'月次販売入力'!$A$7:$A$102,0)))</x:f>
      </x:c>
      <x:c r="I27" s="30" t="str">
        <x:f>IF(ISBLANK(INDEX('月次販売入力'!I$7:I$102,MATCH($A27,'月次販売入力'!$A$7:$A$102,0))),"",INDEX('月次販売入力'!I$7:I$102,MATCH($A27,'月次販売入力'!$A$7:$A$102,0)))</x:f>
      </x:c>
      <x:c r="J27" s="30" t="str">
        <x:f>IF(ISBLANK(INDEX('月次販売入力'!J$7:J$102,MATCH($A27,'月次販売入力'!$A$7:$A$102,0))),"",INDEX('月次販売入力'!J$7:J$102,MATCH($A27,'月次販売入力'!$A$7:$A$102,0)))</x:f>
      </x:c>
      <x:c r="K27" s="30" t="str">
        <x:f>IF(ISBLANK(INDEX('月次販売入力'!K$7:K$102,MATCH($A27,'月次販売入力'!$A$7:$A$102,0))),"",INDEX('月次販売入力'!K$7:K$102,MATCH($A27,'月次販売入力'!$A$7:$A$102,0)))</x:f>
      </x:c>
      <x:c r="L27" s="30" t="str">
        <x:f>IF(ISBLANK(INDEX('月次販売入力'!L$7:L$102,MATCH($A27,'月次販売入力'!$A$7:$A$102,0))),"",INDEX('月次販売入力'!L$7:L$102,MATCH($A27,'月次販売入力'!$A$7:$A$102,0)))</x:f>
      </x:c>
      <x:c r="M27" s="30" t="str">
        <x:f>IF(ISBLANK(INDEX('月次販売入力'!M$7:M$102,MATCH($A27,'月次販売入力'!$A$7:$A$102,0))),"",INDEX('月次販売入力'!M$7:M$102,MATCH($A27,'月次販売入力'!$A$7:$A$102,0)))</x:f>
      </x:c>
      <x:c r="N27" s="30" t="str">
        <x:f>IF(ISBLANK(INDEX('月次販売入力'!N$7:N$102,MATCH($A27,'月次販売入力'!$A$7:$A$102,0))),"",INDEX('月次販売入力'!N$7:N$102,MATCH($A27,'月次販売入力'!$A$7:$A$102,0)))</x:f>
      </x:c>
      <x:c r="O27" s="30" t="str">
        <x:f>IF(ISBLANK(INDEX('月次販売入力'!O$7:O$102,MATCH($A27,'月次販売入力'!$A$7:$A$102,0))),"",INDEX('月次販売入力'!O$7:O$102,MATCH($A27,'月次販売入力'!$A$7:$A$102,0)))</x:f>
      </x:c>
      <x:c r="P27" s="30" t="str">
        <x:f>IF(ISBLANK(INDEX('月次販売入力'!P$7:P$102,MATCH($A27,'月次販売入力'!$A$7:$A$102,0))),"",INDEX('月次販売入力'!P$7:P$102,MATCH($A27,'月次販売入力'!$A$7:$A$102,0)))</x:f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</x:row>
    <x:row r="28" ht="23" customHeight="1">
      <x:c r="A28" s="22" t="n">
        <x:f>EDATE('販売と制度比較'!$E$5,22)</x:f>
        <x:v>45962</x:v>
      </x:c>
      <x:c r="B28" s="30" t="str">
        <x:f>IF(ISBLANK(INDEX('月次販売入力'!B$7:B$102,MATCH($A28,'月次販売入力'!$A$7:$A$102,0))),"",INDEX('月次販売入力'!B$7:B$102,MATCH($A28,'月次販売入力'!$A$7:$A$102,0)))</x:f>
      </x:c>
      <x:c r="C28" s="30" t="str">
        <x:f>IF(ISBLANK(INDEX('月次販売入力'!C$7:C$102,MATCH($A28,'月次販売入力'!$A$7:$A$102,0))),"",INDEX('月次販売入力'!C$7:C$102,MATCH($A28,'月次販売入力'!$A$7:$A$102,0)))</x:f>
      </x:c>
      <x:c r="D28" s="30" t="str">
        <x:f>IF(ISBLANK(INDEX('月次販売入力'!D$7:D$102,MATCH($A28,'月次販売入力'!$A$7:$A$102,0))),"",INDEX('月次販売入力'!D$7:D$102,MATCH($A28,'月次販売入力'!$A$7:$A$102,0)))</x:f>
      </x:c>
      <x:c r="E28" s="30" t="str">
        <x:f>IF(ISBLANK(INDEX('月次販売入力'!E$7:E$102,MATCH($A28,'月次販売入力'!$A$7:$A$102,0))),"",INDEX('月次販売入力'!E$7:E$102,MATCH($A28,'月次販売入力'!$A$7:$A$102,0)))</x:f>
      </x:c>
      <x:c r="F28" s="30" t="str">
        <x:f>IF(ISBLANK(INDEX('月次販売入力'!F$7:F$102,MATCH($A28,'月次販売入力'!$A$7:$A$102,0))),"",INDEX('月次販売入力'!F$7:F$102,MATCH($A28,'月次販売入力'!$A$7:$A$102,0)))</x:f>
      </x:c>
      <x:c r="G28" s="30" t="str">
        <x:f>IF(ISBLANK(INDEX('月次販売入力'!G$7:G$102,MATCH($A28,'月次販売入力'!$A$7:$A$102,0))),"",INDEX('月次販売入力'!G$7:G$102,MATCH($A28,'月次販売入力'!$A$7:$A$102,0)))</x:f>
      </x:c>
      <x:c r="H28" s="30" t="str">
        <x:f>IF(ISBLANK(INDEX('月次販売入力'!H$7:H$102,MATCH($A28,'月次販売入力'!$A$7:$A$102,0))),"",INDEX('月次販売入力'!H$7:H$102,MATCH($A28,'月次販売入力'!$A$7:$A$102,0)))</x:f>
      </x:c>
      <x:c r="I28" s="30" t="str">
        <x:f>IF(ISBLANK(INDEX('月次販売入力'!I$7:I$102,MATCH($A28,'月次販売入力'!$A$7:$A$102,0))),"",INDEX('月次販売入力'!I$7:I$102,MATCH($A28,'月次販売入力'!$A$7:$A$102,0)))</x:f>
      </x:c>
      <x:c r="J28" s="30" t="str">
        <x:f>IF(ISBLANK(INDEX('月次販売入力'!J$7:J$102,MATCH($A28,'月次販売入力'!$A$7:$A$102,0))),"",INDEX('月次販売入力'!J$7:J$102,MATCH($A28,'月次販売入力'!$A$7:$A$102,0)))</x:f>
      </x:c>
      <x:c r="K28" s="30" t="str">
        <x:f>IF(ISBLANK(INDEX('月次販売入力'!K$7:K$102,MATCH($A28,'月次販売入力'!$A$7:$A$102,0))),"",INDEX('月次販売入力'!K$7:K$102,MATCH($A28,'月次販売入力'!$A$7:$A$102,0)))</x:f>
      </x:c>
      <x:c r="L28" s="30" t="str">
        <x:f>IF(ISBLANK(INDEX('月次販売入力'!L$7:L$102,MATCH($A28,'月次販売入力'!$A$7:$A$102,0))),"",INDEX('月次販売入力'!L$7:L$102,MATCH($A28,'月次販売入力'!$A$7:$A$102,0)))</x:f>
      </x:c>
      <x:c r="M28" s="30" t="str">
        <x:f>IF(ISBLANK(INDEX('月次販売入力'!M$7:M$102,MATCH($A28,'月次販売入力'!$A$7:$A$102,0))),"",INDEX('月次販売入力'!M$7:M$102,MATCH($A28,'月次販売入力'!$A$7:$A$102,0)))</x:f>
      </x:c>
      <x:c r="N28" s="30" t="str">
        <x:f>IF(ISBLANK(INDEX('月次販売入力'!N$7:N$102,MATCH($A28,'月次販売入力'!$A$7:$A$102,0))),"",INDEX('月次販売入力'!N$7:N$102,MATCH($A28,'月次販売入力'!$A$7:$A$102,0)))</x:f>
      </x:c>
      <x:c r="O28" s="30" t="str">
        <x:f>IF(ISBLANK(INDEX('月次販売入力'!O$7:O$102,MATCH($A28,'月次販売入力'!$A$7:$A$102,0))),"",INDEX('月次販売入力'!O$7:O$102,MATCH($A28,'月次販売入力'!$A$7:$A$102,0)))</x:f>
      </x:c>
      <x:c r="P28" s="30" t="str">
        <x:f>IF(ISBLANK(INDEX('月次販売入力'!P$7:P$102,MATCH($A28,'月次販売入力'!$A$7:$A$102,0))),"",INDEX('月次販売入力'!P$7:P$102,MATCH($A28,'月次販売入力'!$A$7:$A$102,0)))</x:f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</x:row>
    <x:row r="29" ht="23" customHeight="1">
      <x:c r="A29" s="22" t="n">
        <x:f>EDATE('販売と制度比較'!$E$5,23)</x:f>
        <x:v>45992</x:v>
      </x:c>
      <x:c r="B29" s="30" t="str">
        <x:f>IF(ISBLANK(INDEX('月次販売入力'!B$7:B$102,MATCH($A29,'月次販売入力'!$A$7:$A$102,0))),"",INDEX('月次販売入力'!B$7:B$102,MATCH($A29,'月次販売入力'!$A$7:$A$102,0)))</x:f>
      </x:c>
      <x:c r="C29" s="30" t="str">
        <x:f>IF(ISBLANK(INDEX('月次販売入力'!C$7:C$102,MATCH($A29,'月次販売入力'!$A$7:$A$102,0))),"",INDEX('月次販売入力'!C$7:C$102,MATCH($A29,'月次販売入力'!$A$7:$A$102,0)))</x:f>
      </x:c>
      <x:c r="D29" s="30" t="str">
        <x:f>IF(ISBLANK(INDEX('月次販売入力'!D$7:D$102,MATCH($A29,'月次販売入力'!$A$7:$A$102,0))),"",INDEX('月次販売入力'!D$7:D$102,MATCH($A29,'月次販売入力'!$A$7:$A$102,0)))</x:f>
      </x:c>
      <x:c r="E29" s="30" t="str">
        <x:f>IF(ISBLANK(INDEX('月次販売入力'!E$7:E$102,MATCH($A29,'月次販売入力'!$A$7:$A$102,0))),"",INDEX('月次販売入力'!E$7:E$102,MATCH($A29,'月次販売入力'!$A$7:$A$102,0)))</x:f>
      </x:c>
      <x:c r="F29" s="30" t="str">
        <x:f>IF(ISBLANK(INDEX('月次販売入力'!F$7:F$102,MATCH($A29,'月次販売入力'!$A$7:$A$102,0))),"",INDEX('月次販売入力'!F$7:F$102,MATCH($A29,'月次販売入力'!$A$7:$A$102,0)))</x:f>
      </x:c>
      <x:c r="G29" s="30" t="str">
        <x:f>IF(ISBLANK(INDEX('月次販売入力'!G$7:G$102,MATCH($A29,'月次販売入力'!$A$7:$A$102,0))),"",INDEX('月次販売入力'!G$7:G$102,MATCH($A29,'月次販売入力'!$A$7:$A$102,0)))</x:f>
      </x:c>
      <x:c r="H29" s="30" t="str">
        <x:f>IF(ISBLANK(INDEX('月次販売入力'!H$7:H$102,MATCH($A29,'月次販売入力'!$A$7:$A$102,0))),"",INDEX('月次販売入力'!H$7:H$102,MATCH($A29,'月次販売入力'!$A$7:$A$102,0)))</x:f>
      </x:c>
      <x:c r="I29" s="30" t="str">
        <x:f>IF(ISBLANK(INDEX('月次販売入力'!I$7:I$102,MATCH($A29,'月次販売入力'!$A$7:$A$102,0))),"",INDEX('月次販売入力'!I$7:I$102,MATCH($A29,'月次販売入力'!$A$7:$A$102,0)))</x:f>
      </x:c>
      <x:c r="J29" s="30" t="str">
        <x:f>IF(ISBLANK(INDEX('月次販売入力'!J$7:J$102,MATCH($A29,'月次販売入力'!$A$7:$A$102,0))),"",INDEX('月次販売入力'!J$7:J$102,MATCH($A29,'月次販売入力'!$A$7:$A$102,0)))</x:f>
      </x:c>
      <x:c r="K29" s="30" t="str">
        <x:f>IF(ISBLANK(INDEX('月次販売入力'!K$7:K$102,MATCH($A29,'月次販売入力'!$A$7:$A$102,0))),"",INDEX('月次販売入力'!K$7:K$102,MATCH($A29,'月次販売入力'!$A$7:$A$102,0)))</x:f>
      </x:c>
      <x:c r="L29" s="30" t="str">
        <x:f>IF(ISBLANK(INDEX('月次販売入力'!L$7:L$102,MATCH($A29,'月次販売入力'!$A$7:$A$102,0))),"",INDEX('月次販売入力'!L$7:L$102,MATCH($A29,'月次販売入力'!$A$7:$A$102,0)))</x:f>
      </x:c>
      <x:c r="M29" s="30" t="str">
        <x:f>IF(ISBLANK(INDEX('月次販売入力'!M$7:M$102,MATCH($A29,'月次販売入力'!$A$7:$A$102,0))),"",INDEX('月次販売入力'!M$7:M$102,MATCH($A29,'月次販売入力'!$A$7:$A$102,0)))</x:f>
      </x:c>
      <x:c r="N29" s="30" t="str">
        <x:f>IF(ISBLANK(INDEX('月次販売入力'!N$7:N$102,MATCH($A29,'月次販売入力'!$A$7:$A$102,0))),"",INDEX('月次販売入力'!N$7:N$102,MATCH($A29,'月次販売入力'!$A$7:$A$102,0)))</x:f>
      </x:c>
      <x:c r="O29" s="30" t="str">
        <x:f>IF(ISBLANK(INDEX('月次販売入力'!O$7:O$102,MATCH($A29,'月次販売入力'!$A$7:$A$102,0))),"",INDEX('月次販売入力'!O$7:O$102,MATCH($A29,'月次販売入力'!$A$7:$A$102,0)))</x:f>
      </x:c>
      <x:c r="P29" s="30" t="str">
        <x:f>IF(ISBLANK(INDEX('月次販売入力'!P$7:P$102,MATCH($A29,'月次販売入力'!$A$7:$A$102,0))),"",INDEX('月次販売入力'!P$7:P$102,MATCH($A29,'月次販売入力'!$A$7:$A$102,0)))</x:f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  <x:c r="CA29" s="1"/>
      <x:c r="CB29" s="1"/>
      <x:c r="CC29" s="1"/>
      <x:c r="CD29" s="1"/>
      <x:c r="CE29" s="1"/>
      <x:c r="CF29" s="1"/>
      <x:c r="CG29" s="1"/>
      <x:c r="CH29" s="1"/>
      <x:c r="CI29" s="1"/>
      <x:c r="CJ29" s="1"/>
      <x:c r="CK29" s="1"/>
      <x:c r="CL29" s="1"/>
      <x:c r="CM29" s="1"/>
      <x:c r="CN29" s="1"/>
      <x:c r="CO29" s="1"/>
      <x:c r="CP29" s="1"/>
      <x:c r="CQ29" s="1"/>
      <x:c r="CR29" s="1"/>
      <x:c r="CS29" s="1"/>
      <x:c r="CT29" s="1"/>
      <x:c r="CU29" s="1"/>
      <x:c r="CV29" s="1"/>
      <x:c r="CW29" s="1"/>
      <x:c r="CX29" s="1"/>
      <x:c r="CY29" s="1"/>
      <x:c r="CZ29" s="1"/>
      <x:c r="DA29" s="1"/>
      <x:c r="DB29" s="1"/>
      <x:c r="DC29" s="1"/>
      <x:c r="DD29" s="1"/>
    </x:row>
    <x:row r="30" ht="23" customHeight="1">
      <x:c r="A30" s="22" t="n">
        <x:f>EDATE('販売と制度比較'!$E$5,24)</x:f>
        <x:v>46023</x:v>
      </x:c>
      <x:c r="B30" s="30" t="str">
        <x:f>IF(ISBLANK(INDEX('月次販売入力'!B$7:B$102,MATCH($A30,'月次販売入力'!$A$7:$A$102,0))),"",INDEX('月次販売入力'!B$7:B$102,MATCH($A30,'月次販売入力'!$A$7:$A$102,0)))</x:f>
      </x:c>
      <x:c r="C30" s="30" t="str">
        <x:f>IF(ISBLANK(INDEX('月次販売入力'!C$7:C$102,MATCH($A30,'月次販売入力'!$A$7:$A$102,0))),"",INDEX('月次販売入力'!C$7:C$102,MATCH($A30,'月次販売入力'!$A$7:$A$102,0)))</x:f>
      </x:c>
      <x:c r="D30" s="30" t="str">
        <x:f>IF(ISBLANK(INDEX('月次販売入力'!D$7:D$102,MATCH($A30,'月次販売入力'!$A$7:$A$102,0))),"",INDEX('月次販売入力'!D$7:D$102,MATCH($A30,'月次販売入力'!$A$7:$A$102,0)))</x:f>
      </x:c>
      <x:c r="E30" s="30" t="str">
        <x:f>IF(ISBLANK(INDEX('月次販売入力'!E$7:E$102,MATCH($A30,'月次販売入力'!$A$7:$A$102,0))),"",INDEX('月次販売入力'!E$7:E$102,MATCH($A30,'月次販売入力'!$A$7:$A$102,0)))</x:f>
      </x:c>
      <x:c r="F30" s="30" t="str">
        <x:f>IF(ISBLANK(INDEX('月次販売入力'!F$7:F$102,MATCH($A30,'月次販売入力'!$A$7:$A$102,0))),"",INDEX('月次販売入力'!F$7:F$102,MATCH($A30,'月次販売入力'!$A$7:$A$102,0)))</x:f>
      </x:c>
      <x:c r="G30" s="30" t="str">
        <x:f>IF(ISBLANK(INDEX('月次販売入力'!G$7:G$102,MATCH($A30,'月次販売入力'!$A$7:$A$102,0))),"",INDEX('月次販売入力'!G$7:G$102,MATCH($A30,'月次販売入力'!$A$7:$A$102,0)))</x:f>
      </x:c>
      <x:c r="H30" s="30" t="str">
        <x:f>IF(ISBLANK(INDEX('月次販売入力'!H$7:H$102,MATCH($A30,'月次販売入力'!$A$7:$A$102,0))),"",INDEX('月次販売入力'!H$7:H$102,MATCH($A30,'月次販売入力'!$A$7:$A$102,0)))</x:f>
      </x:c>
      <x:c r="I30" s="30" t="str">
        <x:f>IF(ISBLANK(INDEX('月次販売入力'!I$7:I$102,MATCH($A30,'月次販売入力'!$A$7:$A$102,0))),"",INDEX('月次販売入力'!I$7:I$102,MATCH($A30,'月次販売入力'!$A$7:$A$102,0)))</x:f>
      </x:c>
      <x:c r="J30" s="30" t="str">
        <x:f>IF(ISBLANK(INDEX('月次販売入力'!J$7:J$102,MATCH($A30,'月次販売入力'!$A$7:$A$102,0))),"",INDEX('月次販売入力'!J$7:J$102,MATCH($A30,'月次販売入力'!$A$7:$A$102,0)))</x:f>
      </x:c>
      <x:c r="K30" s="30" t="str">
        <x:f>IF(ISBLANK(INDEX('月次販売入力'!K$7:K$102,MATCH($A30,'月次販売入力'!$A$7:$A$102,0))),"",INDEX('月次販売入力'!K$7:K$102,MATCH($A30,'月次販売入力'!$A$7:$A$102,0)))</x:f>
      </x:c>
      <x:c r="L30" s="30" t="str">
        <x:f>IF(ISBLANK(INDEX('月次販売入力'!L$7:L$102,MATCH($A30,'月次販売入力'!$A$7:$A$102,0))),"",INDEX('月次販売入力'!L$7:L$102,MATCH($A30,'月次販売入力'!$A$7:$A$102,0)))</x:f>
      </x:c>
      <x:c r="M30" s="30" t="str">
        <x:f>IF(ISBLANK(INDEX('月次販売入力'!M$7:M$102,MATCH($A30,'月次販売入力'!$A$7:$A$102,0))),"",INDEX('月次販売入力'!M$7:M$102,MATCH($A30,'月次販売入力'!$A$7:$A$102,0)))</x:f>
      </x:c>
      <x:c r="N30" s="30" t="str">
        <x:f>IF(ISBLANK(INDEX('月次販売入力'!N$7:N$102,MATCH($A30,'月次販売入力'!$A$7:$A$102,0))),"",INDEX('月次販売入力'!N$7:N$102,MATCH($A30,'月次販売入力'!$A$7:$A$102,0)))</x:f>
      </x:c>
      <x:c r="O30" s="30" t="str">
        <x:f>IF(ISBLANK(INDEX('月次販売入力'!O$7:O$102,MATCH($A30,'月次販売入力'!$A$7:$A$102,0))),"",INDEX('月次販売入力'!O$7:O$102,MATCH($A30,'月次販売入力'!$A$7:$A$102,0)))</x:f>
      </x:c>
      <x:c r="P30" s="30" t="str">
        <x:f>IF(ISBLANK(INDEX('月次販売入力'!P$7:P$102,MATCH($A30,'月次販売入力'!$A$7:$A$102,0))),"",INDEX('月次販売入力'!P$7:P$102,MATCH($A30,'月次販売入力'!$A$7:$A$102,0)))</x:f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</x:row>
    <x:row r="31" ht="23" customHeight="1">
      <x:c r="A31" s="22" t="n">
        <x:f>EDATE('販売と制度比較'!$E$5,25)</x:f>
        <x:v>46054</x:v>
      </x:c>
      <x:c r="B31" s="30" t="str">
        <x:f>IF(ISBLANK(INDEX('月次販売入力'!B$7:B$102,MATCH($A31,'月次販売入力'!$A$7:$A$102,0))),"",INDEX('月次販売入力'!B$7:B$102,MATCH($A31,'月次販売入力'!$A$7:$A$102,0)))</x:f>
      </x:c>
      <x:c r="C31" s="30" t="str">
        <x:f>IF(ISBLANK(INDEX('月次販売入力'!C$7:C$102,MATCH($A31,'月次販売入力'!$A$7:$A$102,0))),"",INDEX('月次販売入力'!C$7:C$102,MATCH($A31,'月次販売入力'!$A$7:$A$102,0)))</x:f>
      </x:c>
      <x:c r="D31" s="30" t="str">
        <x:f>IF(ISBLANK(INDEX('月次販売入力'!D$7:D$102,MATCH($A31,'月次販売入力'!$A$7:$A$102,0))),"",INDEX('月次販売入力'!D$7:D$102,MATCH($A31,'月次販売入力'!$A$7:$A$102,0)))</x:f>
      </x:c>
      <x:c r="E31" s="30" t="str">
        <x:f>IF(ISBLANK(INDEX('月次販売入力'!E$7:E$102,MATCH($A31,'月次販売入力'!$A$7:$A$102,0))),"",INDEX('月次販売入力'!E$7:E$102,MATCH($A31,'月次販売入力'!$A$7:$A$102,0)))</x:f>
      </x:c>
      <x:c r="F31" s="30" t="str">
        <x:f>IF(ISBLANK(INDEX('月次販売入力'!F$7:F$102,MATCH($A31,'月次販売入力'!$A$7:$A$102,0))),"",INDEX('月次販売入力'!F$7:F$102,MATCH($A31,'月次販売入力'!$A$7:$A$102,0)))</x:f>
      </x:c>
      <x:c r="G31" s="30" t="str">
        <x:f>IF(ISBLANK(INDEX('月次販売入力'!G$7:G$102,MATCH($A31,'月次販売入力'!$A$7:$A$102,0))),"",INDEX('月次販売入力'!G$7:G$102,MATCH($A31,'月次販売入力'!$A$7:$A$102,0)))</x:f>
      </x:c>
      <x:c r="H31" s="30" t="str">
        <x:f>IF(ISBLANK(INDEX('月次販売入力'!H$7:H$102,MATCH($A31,'月次販売入力'!$A$7:$A$102,0))),"",INDEX('月次販売入力'!H$7:H$102,MATCH($A31,'月次販売入力'!$A$7:$A$102,0)))</x:f>
      </x:c>
      <x:c r="I31" s="30" t="str">
        <x:f>IF(ISBLANK(INDEX('月次販売入力'!I$7:I$102,MATCH($A31,'月次販売入力'!$A$7:$A$102,0))),"",INDEX('月次販売入力'!I$7:I$102,MATCH($A31,'月次販売入力'!$A$7:$A$102,0)))</x:f>
      </x:c>
      <x:c r="J31" s="30" t="str">
        <x:f>IF(ISBLANK(INDEX('月次販売入力'!J$7:J$102,MATCH($A31,'月次販売入力'!$A$7:$A$102,0))),"",INDEX('月次販売入力'!J$7:J$102,MATCH($A31,'月次販売入力'!$A$7:$A$102,0)))</x:f>
      </x:c>
      <x:c r="K31" s="30" t="str">
        <x:f>IF(ISBLANK(INDEX('月次販売入力'!K$7:K$102,MATCH($A31,'月次販売入力'!$A$7:$A$102,0))),"",INDEX('月次販売入力'!K$7:K$102,MATCH($A31,'月次販売入力'!$A$7:$A$102,0)))</x:f>
      </x:c>
      <x:c r="L31" s="30" t="str">
        <x:f>IF(ISBLANK(INDEX('月次販売入力'!L$7:L$102,MATCH($A31,'月次販売入力'!$A$7:$A$102,0))),"",INDEX('月次販売入力'!L$7:L$102,MATCH($A31,'月次販売入力'!$A$7:$A$102,0)))</x:f>
      </x:c>
      <x:c r="M31" s="30" t="str">
        <x:f>IF(ISBLANK(INDEX('月次販売入力'!M$7:M$102,MATCH($A31,'月次販売入力'!$A$7:$A$102,0))),"",INDEX('月次販売入力'!M$7:M$102,MATCH($A31,'月次販売入力'!$A$7:$A$102,0)))</x:f>
      </x:c>
      <x:c r="N31" s="30" t="str">
        <x:f>IF(ISBLANK(INDEX('月次販売入力'!N$7:N$102,MATCH($A31,'月次販売入力'!$A$7:$A$102,0))),"",INDEX('月次販売入力'!N$7:N$102,MATCH($A31,'月次販売入力'!$A$7:$A$102,0)))</x:f>
      </x:c>
      <x:c r="O31" s="30" t="str">
        <x:f>IF(ISBLANK(INDEX('月次販売入力'!O$7:O$102,MATCH($A31,'月次販売入力'!$A$7:$A$102,0))),"",INDEX('月次販売入力'!O$7:O$102,MATCH($A31,'月次販売入力'!$A$7:$A$102,0)))</x:f>
      </x:c>
      <x:c r="P31" s="30" t="str">
        <x:f>IF(ISBLANK(INDEX('月次販売入力'!P$7:P$102,MATCH($A31,'月次販売入力'!$A$7:$A$102,0))),"",INDEX('月次販売入力'!P$7:P$102,MATCH($A31,'月次販売入力'!$A$7:$A$102,0)))</x:f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  <x:c r="CA31" s="1"/>
      <x:c r="CB31" s="1"/>
      <x:c r="CC31" s="1"/>
      <x:c r="CD31" s="1"/>
      <x:c r="CE31" s="1"/>
      <x:c r="CF31" s="1"/>
      <x:c r="CG31" s="1"/>
      <x:c r="CH31" s="1"/>
      <x:c r="CI31" s="1"/>
      <x:c r="CJ31" s="1"/>
      <x:c r="CK31" s="1"/>
      <x:c r="CL31" s="1"/>
      <x:c r="CM31" s="1"/>
      <x:c r="CN31" s="1"/>
      <x:c r="CO31" s="1"/>
      <x:c r="CP31" s="1"/>
      <x:c r="CQ31" s="1"/>
      <x:c r="CR31" s="1"/>
      <x:c r="CS31" s="1"/>
      <x:c r="CT31" s="1"/>
      <x:c r="CU31" s="1"/>
      <x:c r="CV31" s="1"/>
      <x:c r="CW31" s="1"/>
      <x:c r="CX31" s="1"/>
      <x:c r="CY31" s="1"/>
      <x:c r="CZ31" s="1"/>
      <x:c r="DA31" s="1"/>
      <x:c r="DB31" s="1"/>
      <x:c r="DC31" s="1"/>
      <x:c r="DD31" s="1"/>
    </x:row>
    <x:row r="32" ht="23" customHeight="1">
      <x:c r="A32" s="22" t="n">
        <x:f>EDATE('販売と制度比較'!$E$5,26)</x:f>
        <x:v>46082</x:v>
      </x:c>
      <x:c r="B32" s="30" t="str">
        <x:f>IF(ISBLANK(INDEX('月次販売入力'!B$7:B$102,MATCH($A32,'月次販売入力'!$A$7:$A$102,0))),"",INDEX('月次販売入力'!B$7:B$102,MATCH($A32,'月次販売入力'!$A$7:$A$102,0)))</x:f>
      </x:c>
      <x:c r="C32" s="30" t="str">
        <x:f>IF(ISBLANK(INDEX('月次販売入力'!C$7:C$102,MATCH($A32,'月次販売入力'!$A$7:$A$102,0))),"",INDEX('月次販売入力'!C$7:C$102,MATCH($A32,'月次販売入力'!$A$7:$A$102,0)))</x:f>
      </x:c>
      <x:c r="D32" s="30" t="str">
        <x:f>IF(ISBLANK(INDEX('月次販売入力'!D$7:D$102,MATCH($A32,'月次販売入力'!$A$7:$A$102,0))),"",INDEX('月次販売入力'!D$7:D$102,MATCH($A32,'月次販売入力'!$A$7:$A$102,0)))</x:f>
      </x:c>
      <x:c r="E32" s="30" t="str">
        <x:f>IF(ISBLANK(INDEX('月次販売入力'!E$7:E$102,MATCH($A32,'月次販売入力'!$A$7:$A$102,0))),"",INDEX('月次販売入力'!E$7:E$102,MATCH($A32,'月次販売入力'!$A$7:$A$102,0)))</x:f>
      </x:c>
      <x:c r="F32" s="30" t="str">
        <x:f>IF(ISBLANK(INDEX('月次販売入力'!F$7:F$102,MATCH($A32,'月次販売入力'!$A$7:$A$102,0))),"",INDEX('月次販売入力'!F$7:F$102,MATCH($A32,'月次販売入力'!$A$7:$A$102,0)))</x:f>
      </x:c>
      <x:c r="G32" s="30" t="str">
        <x:f>IF(ISBLANK(INDEX('月次販売入力'!G$7:G$102,MATCH($A32,'月次販売入力'!$A$7:$A$102,0))),"",INDEX('月次販売入力'!G$7:G$102,MATCH($A32,'月次販売入力'!$A$7:$A$102,0)))</x:f>
      </x:c>
      <x:c r="H32" s="30" t="str">
        <x:f>IF(ISBLANK(INDEX('月次販売入力'!H$7:H$102,MATCH($A32,'月次販売入力'!$A$7:$A$102,0))),"",INDEX('月次販売入力'!H$7:H$102,MATCH($A32,'月次販売入力'!$A$7:$A$102,0)))</x:f>
      </x:c>
      <x:c r="I32" s="30" t="str">
        <x:f>IF(ISBLANK(INDEX('月次販売入力'!I$7:I$102,MATCH($A32,'月次販売入力'!$A$7:$A$102,0))),"",INDEX('月次販売入力'!I$7:I$102,MATCH($A32,'月次販売入力'!$A$7:$A$102,0)))</x:f>
      </x:c>
      <x:c r="J32" s="30" t="str">
        <x:f>IF(ISBLANK(INDEX('月次販売入力'!J$7:J$102,MATCH($A32,'月次販売入力'!$A$7:$A$102,0))),"",INDEX('月次販売入力'!J$7:J$102,MATCH($A32,'月次販売入力'!$A$7:$A$102,0)))</x:f>
      </x:c>
      <x:c r="K32" s="30" t="str">
        <x:f>IF(ISBLANK(INDEX('月次販売入力'!K$7:K$102,MATCH($A32,'月次販売入力'!$A$7:$A$102,0))),"",INDEX('月次販売入力'!K$7:K$102,MATCH($A32,'月次販売入力'!$A$7:$A$102,0)))</x:f>
      </x:c>
      <x:c r="L32" s="30" t="str">
        <x:f>IF(ISBLANK(INDEX('月次販売入力'!L$7:L$102,MATCH($A32,'月次販売入力'!$A$7:$A$102,0))),"",INDEX('月次販売入力'!L$7:L$102,MATCH($A32,'月次販売入力'!$A$7:$A$102,0)))</x:f>
      </x:c>
      <x:c r="M32" s="30" t="str">
        <x:f>IF(ISBLANK(INDEX('月次販売入力'!M$7:M$102,MATCH($A32,'月次販売入力'!$A$7:$A$102,0))),"",INDEX('月次販売入力'!M$7:M$102,MATCH($A32,'月次販売入力'!$A$7:$A$102,0)))</x:f>
      </x:c>
      <x:c r="N32" s="30" t="str">
        <x:f>IF(ISBLANK(INDEX('月次販売入力'!N$7:N$102,MATCH($A32,'月次販売入力'!$A$7:$A$102,0))),"",INDEX('月次販売入力'!N$7:N$102,MATCH($A32,'月次販売入力'!$A$7:$A$102,0)))</x:f>
      </x:c>
      <x:c r="O32" s="30" t="str">
        <x:f>IF(ISBLANK(INDEX('月次販売入力'!O$7:O$102,MATCH($A32,'月次販売入力'!$A$7:$A$102,0))),"",INDEX('月次販売入力'!O$7:O$102,MATCH($A32,'月次販売入力'!$A$7:$A$102,0)))</x:f>
      </x:c>
      <x:c r="P32" s="30" t="str">
        <x:f>IF(ISBLANK(INDEX('月次販売入力'!P$7:P$102,MATCH($A32,'月次販売入力'!$A$7:$A$102,0))),"",INDEX('月次販売入力'!P$7:P$102,MATCH($A32,'月次販売入力'!$A$7:$A$102,0)))</x:f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</x:row>
    <x:row r="33" ht="23" customHeight="1">
      <x:c r="A33" s="22" t="n">
        <x:f>EDATE('販売と制度比較'!$E$5,27)</x:f>
        <x:v>46113</x:v>
      </x:c>
      <x:c r="B33" s="30" t="str">
        <x:f>IF(ISBLANK(INDEX('月次販売入力'!B$7:B$102,MATCH($A33,'月次販売入力'!$A$7:$A$102,0))),"",INDEX('月次販売入力'!B$7:B$102,MATCH($A33,'月次販売入力'!$A$7:$A$102,0)))</x:f>
      </x:c>
      <x:c r="C33" s="30" t="str">
        <x:f>IF(ISBLANK(INDEX('月次販売入力'!C$7:C$102,MATCH($A33,'月次販売入力'!$A$7:$A$102,0))),"",INDEX('月次販売入力'!C$7:C$102,MATCH($A33,'月次販売入力'!$A$7:$A$102,0)))</x:f>
      </x:c>
      <x:c r="D33" s="30" t="str">
        <x:f>IF(ISBLANK(INDEX('月次販売入力'!D$7:D$102,MATCH($A33,'月次販売入力'!$A$7:$A$102,0))),"",INDEX('月次販売入力'!D$7:D$102,MATCH($A33,'月次販売入力'!$A$7:$A$102,0)))</x:f>
      </x:c>
      <x:c r="E33" s="30" t="str">
        <x:f>IF(ISBLANK(INDEX('月次販売入力'!E$7:E$102,MATCH($A33,'月次販売入力'!$A$7:$A$102,0))),"",INDEX('月次販売入力'!E$7:E$102,MATCH($A33,'月次販売入力'!$A$7:$A$102,0)))</x:f>
      </x:c>
      <x:c r="F33" s="30" t="str">
        <x:f>IF(ISBLANK(INDEX('月次販売入力'!F$7:F$102,MATCH($A33,'月次販売入力'!$A$7:$A$102,0))),"",INDEX('月次販売入力'!F$7:F$102,MATCH($A33,'月次販売入力'!$A$7:$A$102,0)))</x:f>
      </x:c>
      <x:c r="G33" s="30" t="str">
        <x:f>IF(ISBLANK(INDEX('月次販売入力'!G$7:G$102,MATCH($A33,'月次販売入力'!$A$7:$A$102,0))),"",INDEX('月次販売入力'!G$7:G$102,MATCH($A33,'月次販売入力'!$A$7:$A$102,0)))</x:f>
      </x:c>
      <x:c r="H33" s="30" t="str">
        <x:f>IF(ISBLANK(INDEX('月次販売入力'!H$7:H$102,MATCH($A33,'月次販売入力'!$A$7:$A$102,0))),"",INDEX('月次販売入力'!H$7:H$102,MATCH($A33,'月次販売入力'!$A$7:$A$102,0)))</x:f>
      </x:c>
      <x:c r="I33" s="30" t="str">
        <x:f>IF(ISBLANK(INDEX('月次販売入力'!I$7:I$102,MATCH($A33,'月次販売入力'!$A$7:$A$102,0))),"",INDEX('月次販売入力'!I$7:I$102,MATCH($A33,'月次販売入力'!$A$7:$A$102,0)))</x:f>
      </x:c>
      <x:c r="J33" s="30" t="str">
        <x:f>IF(ISBLANK(INDEX('月次販売入力'!J$7:J$102,MATCH($A33,'月次販売入力'!$A$7:$A$102,0))),"",INDEX('月次販売入力'!J$7:J$102,MATCH($A33,'月次販売入力'!$A$7:$A$102,0)))</x:f>
      </x:c>
      <x:c r="K33" s="30" t="str">
        <x:f>IF(ISBLANK(INDEX('月次販売入力'!K$7:K$102,MATCH($A33,'月次販売入力'!$A$7:$A$102,0))),"",INDEX('月次販売入力'!K$7:K$102,MATCH($A33,'月次販売入力'!$A$7:$A$102,0)))</x:f>
      </x:c>
      <x:c r="L33" s="30" t="str">
        <x:f>IF(ISBLANK(INDEX('月次販売入力'!L$7:L$102,MATCH($A33,'月次販売入力'!$A$7:$A$102,0))),"",INDEX('月次販売入力'!L$7:L$102,MATCH($A33,'月次販売入力'!$A$7:$A$102,0)))</x:f>
      </x:c>
      <x:c r="M33" s="30" t="str">
        <x:f>IF(ISBLANK(INDEX('月次販売入力'!M$7:M$102,MATCH($A33,'月次販売入力'!$A$7:$A$102,0))),"",INDEX('月次販売入力'!M$7:M$102,MATCH($A33,'月次販売入力'!$A$7:$A$102,0)))</x:f>
      </x:c>
      <x:c r="N33" s="30" t="str">
        <x:f>IF(ISBLANK(INDEX('月次販売入力'!N$7:N$102,MATCH($A33,'月次販売入力'!$A$7:$A$102,0))),"",INDEX('月次販売入力'!N$7:N$102,MATCH($A33,'月次販売入力'!$A$7:$A$102,0)))</x:f>
      </x:c>
      <x:c r="O33" s="30" t="str">
        <x:f>IF(ISBLANK(INDEX('月次販売入力'!O$7:O$102,MATCH($A33,'月次販売入力'!$A$7:$A$102,0))),"",INDEX('月次販売入力'!O$7:O$102,MATCH($A33,'月次販売入力'!$A$7:$A$102,0)))</x:f>
      </x:c>
      <x:c r="P33" s="30" t="str">
        <x:f>IF(ISBLANK(INDEX('月次販売入力'!P$7:P$102,MATCH($A33,'月次販売入力'!$A$7:$A$102,0))),"",INDEX('月次販売入力'!P$7:P$102,MATCH($A33,'月次販売入力'!$A$7:$A$102,0)))</x:f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</x:row>
    <x:row r="34" ht="23" customHeight="1">
      <x:c r="A34" s="22" t="n">
        <x:f>EDATE('販売と制度比較'!$E$5,28)</x:f>
        <x:v>46143</x:v>
      </x:c>
      <x:c r="B34" s="30" t="str">
        <x:f>IF(ISBLANK(INDEX('月次販売入力'!B$7:B$102,MATCH($A34,'月次販売入力'!$A$7:$A$102,0))),"",INDEX('月次販売入力'!B$7:B$102,MATCH($A34,'月次販売入力'!$A$7:$A$102,0)))</x:f>
      </x:c>
      <x:c r="C34" s="30" t="str">
        <x:f>IF(ISBLANK(INDEX('月次販売入力'!C$7:C$102,MATCH($A34,'月次販売入力'!$A$7:$A$102,0))),"",INDEX('月次販売入力'!C$7:C$102,MATCH($A34,'月次販売入力'!$A$7:$A$102,0)))</x:f>
      </x:c>
      <x:c r="D34" s="30" t="str">
        <x:f>IF(ISBLANK(INDEX('月次販売入力'!D$7:D$102,MATCH($A34,'月次販売入力'!$A$7:$A$102,0))),"",INDEX('月次販売入力'!D$7:D$102,MATCH($A34,'月次販売入力'!$A$7:$A$102,0)))</x:f>
      </x:c>
      <x:c r="E34" s="30" t="str">
        <x:f>IF(ISBLANK(INDEX('月次販売入力'!E$7:E$102,MATCH($A34,'月次販売入力'!$A$7:$A$102,0))),"",INDEX('月次販売入力'!E$7:E$102,MATCH($A34,'月次販売入力'!$A$7:$A$102,0)))</x:f>
      </x:c>
      <x:c r="F34" s="30" t="str">
        <x:f>IF(ISBLANK(INDEX('月次販売入力'!F$7:F$102,MATCH($A34,'月次販売入力'!$A$7:$A$102,0))),"",INDEX('月次販売入力'!F$7:F$102,MATCH($A34,'月次販売入力'!$A$7:$A$102,0)))</x:f>
      </x:c>
      <x:c r="G34" s="30" t="str">
        <x:f>IF(ISBLANK(INDEX('月次販売入力'!G$7:G$102,MATCH($A34,'月次販売入力'!$A$7:$A$102,0))),"",INDEX('月次販売入力'!G$7:G$102,MATCH($A34,'月次販売入力'!$A$7:$A$102,0)))</x:f>
      </x:c>
      <x:c r="H34" s="30" t="str">
        <x:f>IF(ISBLANK(INDEX('月次販売入力'!H$7:H$102,MATCH($A34,'月次販売入力'!$A$7:$A$102,0))),"",INDEX('月次販売入力'!H$7:H$102,MATCH($A34,'月次販売入力'!$A$7:$A$102,0)))</x:f>
      </x:c>
      <x:c r="I34" s="30" t="str">
        <x:f>IF(ISBLANK(INDEX('月次販売入力'!I$7:I$102,MATCH($A34,'月次販売入力'!$A$7:$A$102,0))),"",INDEX('月次販売入力'!I$7:I$102,MATCH($A34,'月次販売入力'!$A$7:$A$102,0)))</x:f>
      </x:c>
      <x:c r="J34" s="30" t="str">
        <x:f>IF(ISBLANK(INDEX('月次販売入力'!J$7:J$102,MATCH($A34,'月次販売入力'!$A$7:$A$102,0))),"",INDEX('月次販売入力'!J$7:J$102,MATCH($A34,'月次販売入力'!$A$7:$A$102,0)))</x:f>
      </x:c>
      <x:c r="K34" s="30" t="str">
        <x:f>IF(ISBLANK(INDEX('月次販売入力'!K$7:K$102,MATCH($A34,'月次販売入力'!$A$7:$A$102,0))),"",INDEX('月次販売入力'!K$7:K$102,MATCH($A34,'月次販売入力'!$A$7:$A$102,0)))</x:f>
      </x:c>
      <x:c r="L34" s="30" t="str">
        <x:f>IF(ISBLANK(INDEX('月次販売入力'!L$7:L$102,MATCH($A34,'月次販売入力'!$A$7:$A$102,0))),"",INDEX('月次販売入力'!L$7:L$102,MATCH($A34,'月次販売入力'!$A$7:$A$102,0)))</x:f>
      </x:c>
      <x:c r="M34" s="30" t="str">
        <x:f>IF(ISBLANK(INDEX('月次販売入力'!M$7:M$102,MATCH($A34,'月次販売入力'!$A$7:$A$102,0))),"",INDEX('月次販売入力'!M$7:M$102,MATCH($A34,'月次販売入力'!$A$7:$A$102,0)))</x:f>
      </x:c>
      <x:c r="N34" s="30" t="str">
        <x:f>IF(ISBLANK(INDEX('月次販売入力'!N$7:N$102,MATCH($A34,'月次販売入力'!$A$7:$A$102,0))),"",INDEX('月次販売入力'!N$7:N$102,MATCH($A34,'月次販売入力'!$A$7:$A$102,0)))</x:f>
      </x:c>
      <x:c r="O34" s="30" t="str">
        <x:f>IF(ISBLANK(INDEX('月次販売入力'!O$7:O$102,MATCH($A34,'月次販売入力'!$A$7:$A$102,0))),"",INDEX('月次販売入力'!O$7:O$102,MATCH($A34,'月次販売入力'!$A$7:$A$102,0)))</x:f>
      </x:c>
      <x:c r="P34" s="30" t="str">
        <x:f>IF(ISBLANK(INDEX('月次販売入力'!P$7:P$102,MATCH($A34,'月次販売入力'!$A$7:$A$102,0))),"",INDEX('月次販売入力'!P$7:P$102,MATCH($A34,'月次販売入力'!$A$7:$A$102,0)))</x:f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</x:row>
    <x:row r="35" ht="23" customHeight="1">
      <x:c r="A35" s="22" t="n">
        <x:f>EDATE('販売と制度比較'!$E$5,29)</x:f>
        <x:v>46174</x:v>
      </x:c>
      <x:c r="B35" s="30" t="str">
        <x:f>IF(ISBLANK(INDEX('月次販売入力'!B$7:B$102,MATCH($A35,'月次販売入力'!$A$7:$A$102,0))),"",INDEX('月次販売入力'!B$7:B$102,MATCH($A35,'月次販売入力'!$A$7:$A$102,0)))</x:f>
      </x:c>
      <x:c r="C35" s="30" t="str">
        <x:f>IF(ISBLANK(INDEX('月次販売入力'!C$7:C$102,MATCH($A35,'月次販売入力'!$A$7:$A$102,0))),"",INDEX('月次販売入力'!C$7:C$102,MATCH($A35,'月次販売入力'!$A$7:$A$102,0)))</x:f>
      </x:c>
      <x:c r="D35" s="30" t="str">
        <x:f>IF(ISBLANK(INDEX('月次販売入力'!D$7:D$102,MATCH($A35,'月次販売入力'!$A$7:$A$102,0))),"",INDEX('月次販売入力'!D$7:D$102,MATCH($A35,'月次販売入力'!$A$7:$A$102,0)))</x:f>
      </x:c>
      <x:c r="E35" s="30" t="str">
        <x:f>IF(ISBLANK(INDEX('月次販売入力'!E$7:E$102,MATCH($A35,'月次販売入力'!$A$7:$A$102,0))),"",INDEX('月次販売入力'!E$7:E$102,MATCH($A35,'月次販売入力'!$A$7:$A$102,0)))</x:f>
      </x:c>
      <x:c r="F35" s="30" t="str">
        <x:f>IF(ISBLANK(INDEX('月次販売入力'!F$7:F$102,MATCH($A35,'月次販売入力'!$A$7:$A$102,0))),"",INDEX('月次販売入力'!F$7:F$102,MATCH($A35,'月次販売入力'!$A$7:$A$102,0)))</x:f>
      </x:c>
      <x:c r="G35" s="30" t="str">
        <x:f>IF(ISBLANK(INDEX('月次販売入力'!G$7:G$102,MATCH($A35,'月次販売入力'!$A$7:$A$102,0))),"",INDEX('月次販売入力'!G$7:G$102,MATCH($A35,'月次販売入力'!$A$7:$A$102,0)))</x:f>
      </x:c>
      <x:c r="H35" s="30" t="str">
        <x:f>IF(ISBLANK(INDEX('月次販売入力'!H$7:H$102,MATCH($A35,'月次販売入力'!$A$7:$A$102,0))),"",INDEX('月次販売入力'!H$7:H$102,MATCH($A35,'月次販売入力'!$A$7:$A$102,0)))</x:f>
      </x:c>
      <x:c r="I35" s="30" t="str">
        <x:f>IF(ISBLANK(INDEX('月次販売入力'!I$7:I$102,MATCH($A35,'月次販売入力'!$A$7:$A$102,0))),"",INDEX('月次販売入力'!I$7:I$102,MATCH($A35,'月次販売入力'!$A$7:$A$102,0)))</x:f>
      </x:c>
      <x:c r="J35" s="30" t="str">
        <x:f>IF(ISBLANK(INDEX('月次販売入力'!J$7:J$102,MATCH($A35,'月次販売入力'!$A$7:$A$102,0))),"",INDEX('月次販売入力'!J$7:J$102,MATCH($A35,'月次販売入力'!$A$7:$A$102,0)))</x:f>
      </x:c>
      <x:c r="K35" s="30" t="str">
        <x:f>IF(ISBLANK(INDEX('月次販売入力'!K$7:K$102,MATCH($A35,'月次販売入力'!$A$7:$A$102,0))),"",INDEX('月次販売入力'!K$7:K$102,MATCH($A35,'月次販売入力'!$A$7:$A$102,0)))</x:f>
      </x:c>
      <x:c r="L35" s="30" t="str">
        <x:f>IF(ISBLANK(INDEX('月次販売入力'!L$7:L$102,MATCH($A35,'月次販売入力'!$A$7:$A$102,0))),"",INDEX('月次販売入力'!L$7:L$102,MATCH($A35,'月次販売入力'!$A$7:$A$102,0)))</x:f>
      </x:c>
      <x:c r="M35" s="30" t="str">
        <x:f>IF(ISBLANK(INDEX('月次販売入力'!M$7:M$102,MATCH($A35,'月次販売入力'!$A$7:$A$102,0))),"",INDEX('月次販売入力'!M$7:M$102,MATCH($A35,'月次販売入力'!$A$7:$A$102,0)))</x:f>
      </x:c>
      <x:c r="N35" s="30" t="str">
        <x:f>IF(ISBLANK(INDEX('月次販売入力'!N$7:N$102,MATCH($A35,'月次販売入力'!$A$7:$A$102,0))),"",INDEX('月次販売入力'!N$7:N$102,MATCH($A35,'月次販売入力'!$A$7:$A$102,0)))</x:f>
      </x:c>
      <x:c r="O35" s="30" t="str">
        <x:f>IF(ISBLANK(INDEX('月次販売入力'!O$7:O$102,MATCH($A35,'月次販売入力'!$A$7:$A$102,0))),"",INDEX('月次販売入力'!O$7:O$102,MATCH($A35,'月次販売入力'!$A$7:$A$102,0)))</x:f>
      </x:c>
      <x:c r="P35" s="30" t="str">
        <x:f>IF(ISBLANK(INDEX('月次販売入力'!P$7:P$102,MATCH($A35,'月次販売入力'!$A$7:$A$102,0))),"",INDEX('月次販売入力'!P$7:P$102,MATCH($A35,'月次販売入力'!$A$7:$A$102,0)))</x:f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  <x:c r="CA35" s="1"/>
      <x:c r="CB35" s="1"/>
      <x:c r="CC35" s="1"/>
      <x:c r="CD35" s="1"/>
      <x:c r="CE35" s="1"/>
      <x:c r="CF35" s="1"/>
      <x:c r="CG35" s="1"/>
      <x:c r="CH35" s="1"/>
      <x:c r="CI35" s="1"/>
      <x:c r="CJ35" s="1"/>
      <x:c r="CK35" s="1"/>
      <x:c r="CL35" s="1"/>
      <x:c r="CM35" s="1"/>
      <x:c r="CN35" s="1"/>
      <x:c r="CO35" s="1"/>
      <x:c r="CP35" s="1"/>
      <x:c r="CQ35" s="1"/>
      <x:c r="CR35" s="1"/>
      <x:c r="CS35" s="1"/>
      <x:c r="CT35" s="1"/>
      <x:c r="CU35" s="1"/>
      <x:c r="CV35" s="1"/>
      <x:c r="CW35" s="1"/>
      <x:c r="CX35" s="1"/>
      <x:c r="CY35" s="1"/>
      <x:c r="CZ35" s="1"/>
      <x:c r="DA35" s="1"/>
      <x:c r="DB35" s="1"/>
      <x:c r="DC35" s="1"/>
      <x:c r="DD35" s="1"/>
    </x:row>
    <x:row r="36" ht="23" customHeight="1">
      <x:c r="A36" s="22" t="n">
        <x:f>EDATE('販売と制度比較'!$E$5,30)</x:f>
        <x:v>46204</x:v>
      </x:c>
      <x:c r="B36" s="30" t="str">
        <x:f>IF(ISBLANK(INDEX('月次販売入力'!B$7:B$102,MATCH($A36,'月次販売入力'!$A$7:$A$102,0))),"",INDEX('月次販売入力'!B$7:B$102,MATCH($A36,'月次販売入力'!$A$7:$A$102,0)))</x:f>
      </x:c>
      <x:c r="C36" s="30" t="str">
        <x:f>IF(ISBLANK(INDEX('月次販売入力'!C$7:C$102,MATCH($A36,'月次販売入力'!$A$7:$A$102,0))),"",INDEX('月次販売入力'!C$7:C$102,MATCH($A36,'月次販売入力'!$A$7:$A$102,0)))</x:f>
      </x:c>
      <x:c r="D36" s="30" t="str">
        <x:f>IF(ISBLANK(INDEX('月次販売入力'!D$7:D$102,MATCH($A36,'月次販売入力'!$A$7:$A$102,0))),"",INDEX('月次販売入力'!D$7:D$102,MATCH($A36,'月次販売入力'!$A$7:$A$102,0)))</x:f>
      </x:c>
      <x:c r="E36" s="30" t="str">
        <x:f>IF(ISBLANK(INDEX('月次販売入力'!E$7:E$102,MATCH($A36,'月次販売入力'!$A$7:$A$102,0))),"",INDEX('月次販売入力'!E$7:E$102,MATCH($A36,'月次販売入力'!$A$7:$A$102,0)))</x:f>
      </x:c>
      <x:c r="F36" s="30" t="str">
        <x:f>IF(ISBLANK(INDEX('月次販売入力'!F$7:F$102,MATCH($A36,'月次販売入力'!$A$7:$A$102,0))),"",INDEX('月次販売入力'!F$7:F$102,MATCH($A36,'月次販売入力'!$A$7:$A$102,0)))</x:f>
      </x:c>
      <x:c r="G36" s="30" t="str">
        <x:f>IF(ISBLANK(INDEX('月次販売入力'!G$7:G$102,MATCH($A36,'月次販売入力'!$A$7:$A$102,0))),"",INDEX('月次販売入力'!G$7:G$102,MATCH($A36,'月次販売入力'!$A$7:$A$102,0)))</x:f>
      </x:c>
      <x:c r="H36" s="30" t="str">
        <x:f>IF(ISBLANK(INDEX('月次販売入力'!H$7:H$102,MATCH($A36,'月次販売入力'!$A$7:$A$102,0))),"",INDEX('月次販売入力'!H$7:H$102,MATCH($A36,'月次販売入力'!$A$7:$A$102,0)))</x:f>
      </x:c>
      <x:c r="I36" s="30" t="str">
        <x:f>IF(ISBLANK(INDEX('月次販売入力'!I$7:I$102,MATCH($A36,'月次販売入力'!$A$7:$A$102,0))),"",INDEX('月次販売入力'!I$7:I$102,MATCH($A36,'月次販売入力'!$A$7:$A$102,0)))</x:f>
      </x:c>
      <x:c r="J36" s="30" t="str">
        <x:f>IF(ISBLANK(INDEX('月次販売入力'!J$7:J$102,MATCH($A36,'月次販売入力'!$A$7:$A$102,0))),"",INDEX('月次販売入力'!J$7:J$102,MATCH($A36,'月次販売入力'!$A$7:$A$102,0)))</x:f>
      </x:c>
      <x:c r="K36" s="30" t="str">
        <x:f>IF(ISBLANK(INDEX('月次販売入力'!K$7:K$102,MATCH($A36,'月次販売入力'!$A$7:$A$102,0))),"",INDEX('月次販売入力'!K$7:K$102,MATCH($A36,'月次販売入力'!$A$7:$A$102,0)))</x:f>
      </x:c>
      <x:c r="L36" s="30" t="str">
        <x:f>IF(ISBLANK(INDEX('月次販売入力'!L$7:L$102,MATCH($A36,'月次販売入力'!$A$7:$A$102,0))),"",INDEX('月次販売入力'!L$7:L$102,MATCH($A36,'月次販売入力'!$A$7:$A$102,0)))</x:f>
      </x:c>
      <x:c r="M36" s="30" t="str">
        <x:f>IF(ISBLANK(INDEX('月次販売入力'!M$7:M$102,MATCH($A36,'月次販売入力'!$A$7:$A$102,0))),"",INDEX('月次販売入力'!M$7:M$102,MATCH($A36,'月次販売入力'!$A$7:$A$102,0)))</x:f>
      </x:c>
      <x:c r="N36" s="30" t="str">
        <x:f>IF(ISBLANK(INDEX('月次販売入力'!N$7:N$102,MATCH($A36,'月次販売入力'!$A$7:$A$102,0))),"",INDEX('月次販売入力'!N$7:N$102,MATCH($A36,'月次販売入力'!$A$7:$A$102,0)))</x:f>
      </x:c>
      <x:c r="O36" s="30" t="str">
        <x:f>IF(ISBLANK(INDEX('月次販売入力'!O$7:O$102,MATCH($A36,'月次販売入力'!$A$7:$A$102,0))),"",INDEX('月次販売入力'!O$7:O$102,MATCH($A36,'月次販売入力'!$A$7:$A$102,0)))</x:f>
      </x:c>
      <x:c r="P36" s="30" t="str">
        <x:f>IF(ISBLANK(INDEX('月次販売入力'!P$7:P$102,MATCH($A36,'月次販売入力'!$A$7:$A$102,0))),"",INDEX('月次販売入力'!P$7:P$102,MATCH($A36,'月次販売入力'!$A$7:$A$102,0)))</x:f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</x:row>
    <x:row r="37" ht="23" customHeight="1">
      <x:c r="A37" s="22" t="n">
        <x:f>EDATE('販売と制度比較'!$E$5,31)</x:f>
        <x:v>46235</x:v>
      </x:c>
      <x:c r="B37" s="30" t="str">
        <x:f>IF(ISBLANK(INDEX('月次販売入力'!B$7:B$102,MATCH($A37,'月次販売入力'!$A$7:$A$102,0))),"",INDEX('月次販売入力'!B$7:B$102,MATCH($A37,'月次販売入力'!$A$7:$A$102,0)))</x:f>
      </x:c>
      <x:c r="C37" s="30" t="str">
        <x:f>IF(ISBLANK(INDEX('月次販売入力'!C$7:C$102,MATCH($A37,'月次販売入力'!$A$7:$A$102,0))),"",INDEX('月次販売入力'!C$7:C$102,MATCH($A37,'月次販売入力'!$A$7:$A$102,0)))</x:f>
      </x:c>
      <x:c r="D37" s="30" t="str">
        <x:f>IF(ISBLANK(INDEX('月次販売入力'!D$7:D$102,MATCH($A37,'月次販売入力'!$A$7:$A$102,0))),"",INDEX('月次販売入力'!D$7:D$102,MATCH($A37,'月次販売入力'!$A$7:$A$102,0)))</x:f>
      </x:c>
      <x:c r="E37" s="30" t="str">
        <x:f>IF(ISBLANK(INDEX('月次販売入力'!E$7:E$102,MATCH($A37,'月次販売入力'!$A$7:$A$102,0))),"",INDEX('月次販売入力'!E$7:E$102,MATCH($A37,'月次販売入力'!$A$7:$A$102,0)))</x:f>
      </x:c>
      <x:c r="F37" s="30" t="str">
        <x:f>IF(ISBLANK(INDEX('月次販売入力'!F$7:F$102,MATCH($A37,'月次販売入力'!$A$7:$A$102,0))),"",INDEX('月次販売入力'!F$7:F$102,MATCH($A37,'月次販売入力'!$A$7:$A$102,0)))</x:f>
      </x:c>
      <x:c r="G37" s="30" t="str">
        <x:f>IF(ISBLANK(INDEX('月次販売入力'!G$7:G$102,MATCH($A37,'月次販売入力'!$A$7:$A$102,0))),"",INDEX('月次販売入力'!G$7:G$102,MATCH($A37,'月次販売入力'!$A$7:$A$102,0)))</x:f>
      </x:c>
      <x:c r="H37" s="30" t="str">
        <x:f>IF(ISBLANK(INDEX('月次販売入力'!H$7:H$102,MATCH($A37,'月次販売入力'!$A$7:$A$102,0))),"",INDEX('月次販売入力'!H$7:H$102,MATCH($A37,'月次販売入力'!$A$7:$A$102,0)))</x:f>
      </x:c>
      <x:c r="I37" s="30" t="str">
        <x:f>IF(ISBLANK(INDEX('月次販売入力'!I$7:I$102,MATCH($A37,'月次販売入力'!$A$7:$A$102,0))),"",INDEX('月次販売入力'!I$7:I$102,MATCH($A37,'月次販売入力'!$A$7:$A$102,0)))</x:f>
      </x:c>
      <x:c r="J37" s="30" t="str">
        <x:f>IF(ISBLANK(INDEX('月次販売入力'!J$7:J$102,MATCH($A37,'月次販売入力'!$A$7:$A$102,0))),"",INDEX('月次販売入力'!J$7:J$102,MATCH($A37,'月次販売入力'!$A$7:$A$102,0)))</x:f>
      </x:c>
      <x:c r="K37" s="30" t="str">
        <x:f>IF(ISBLANK(INDEX('月次販売入力'!K$7:K$102,MATCH($A37,'月次販売入力'!$A$7:$A$102,0))),"",INDEX('月次販売入力'!K$7:K$102,MATCH($A37,'月次販売入力'!$A$7:$A$102,0)))</x:f>
      </x:c>
      <x:c r="L37" s="30" t="str">
        <x:f>IF(ISBLANK(INDEX('月次販売入力'!L$7:L$102,MATCH($A37,'月次販売入力'!$A$7:$A$102,0))),"",INDEX('月次販売入力'!L$7:L$102,MATCH($A37,'月次販売入力'!$A$7:$A$102,0)))</x:f>
      </x:c>
      <x:c r="M37" s="30" t="str">
        <x:f>IF(ISBLANK(INDEX('月次販売入力'!M$7:M$102,MATCH($A37,'月次販売入力'!$A$7:$A$102,0))),"",INDEX('月次販売入力'!M$7:M$102,MATCH($A37,'月次販売入力'!$A$7:$A$102,0)))</x:f>
      </x:c>
      <x:c r="N37" s="30" t="str">
        <x:f>IF(ISBLANK(INDEX('月次販売入力'!N$7:N$102,MATCH($A37,'月次販売入力'!$A$7:$A$102,0))),"",INDEX('月次販売入力'!N$7:N$102,MATCH($A37,'月次販売入力'!$A$7:$A$102,0)))</x:f>
      </x:c>
      <x:c r="O37" s="30" t="str">
        <x:f>IF(ISBLANK(INDEX('月次販売入力'!O$7:O$102,MATCH($A37,'月次販売入力'!$A$7:$A$102,0))),"",INDEX('月次販売入力'!O$7:O$102,MATCH($A37,'月次販売入力'!$A$7:$A$102,0)))</x:f>
      </x:c>
      <x:c r="P37" s="30" t="str">
        <x:f>IF(ISBLANK(INDEX('月次販売入力'!P$7:P$102,MATCH($A37,'月次販売入力'!$A$7:$A$102,0))),"",INDEX('月次販売入力'!P$7:P$102,MATCH($A37,'月次販売入力'!$A$7:$A$102,0)))</x:f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</x:row>
    <x:row r="38" ht="23" customHeight="1">
      <x:c r="A38" s="22" t="n">
        <x:f>EDATE('販売と制度比較'!$E$5,32)</x:f>
        <x:v>46266</x:v>
      </x:c>
      <x:c r="B38" s="30" t="str">
        <x:f>IF(ISBLANK(INDEX('月次販売入力'!B$7:B$102,MATCH($A38,'月次販売入力'!$A$7:$A$102,0))),"",INDEX('月次販売入力'!B$7:B$102,MATCH($A38,'月次販売入力'!$A$7:$A$102,0)))</x:f>
      </x:c>
      <x:c r="C38" s="30" t="str">
        <x:f>IF(ISBLANK(INDEX('月次販売入力'!C$7:C$102,MATCH($A38,'月次販売入力'!$A$7:$A$102,0))),"",INDEX('月次販売入力'!C$7:C$102,MATCH($A38,'月次販売入力'!$A$7:$A$102,0)))</x:f>
      </x:c>
      <x:c r="D38" s="30" t="str">
        <x:f>IF(ISBLANK(INDEX('月次販売入力'!D$7:D$102,MATCH($A38,'月次販売入力'!$A$7:$A$102,0))),"",INDEX('月次販売入力'!D$7:D$102,MATCH($A38,'月次販売入力'!$A$7:$A$102,0)))</x:f>
      </x:c>
      <x:c r="E38" s="30" t="str">
        <x:f>IF(ISBLANK(INDEX('月次販売入力'!E$7:E$102,MATCH($A38,'月次販売入力'!$A$7:$A$102,0))),"",INDEX('月次販売入力'!E$7:E$102,MATCH($A38,'月次販売入力'!$A$7:$A$102,0)))</x:f>
      </x:c>
      <x:c r="F38" s="30" t="str">
        <x:f>IF(ISBLANK(INDEX('月次販売入力'!F$7:F$102,MATCH($A38,'月次販売入力'!$A$7:$A$102,0))),"",INDEX('月次販売入力'!F$7:F$102,MATCH($A38,'月次販売入力'!$A$7:$A$102,0)))</x:f>
      </x:c>
      <x:c r="G38" s="30" t="str">
        <x:f>IF(ISBLANK(INDEX('月次販売入力'!G$7:G$102,MATCH($A38,'月次販売入力'!$A$7:$A$102,0))),"",INDEX('月次販売入力'!G$7:G$102,MATCH($A38,'月次販売入力'!$A$7:$A$102,0)))</x:f>
      </x:c>
      <x:c r="H38" s="30" t="str">
        <x:f>IF(ISBLANK(INDEX('月次販売入力'!H$7:H$102,MATCH($A38,'月次販売入力'!$A$7:$A$102,0))),"",INDEX('月次販売入力'!H$7:H$102,MATCH($A38,'月次販売入力'!$A$7:$A$102,0)))</x:f>
      </x:c>
      <x:c r="I38" s="30" t="str">
        <x:f>IF(ISBLANK(INDEX('月次販売入力'!I$7:I$102,MATCH($A38,'月次販売入力'!$A$7:$A$102,0))),"",INDEX('月次販売入力'!I$7:I$102,MATCH($A38,'月次販売入力'!$A$7:$A$102,0)))</x:f>
      </x:c>
      <x:c r="J38" s="30" t="str">
        <x:f>IF(ISBLANK(INDEX('月次販売入力'!J$7:J$102,MATCH($A38,'月次販売入力'!$A$7:$A$102,0))),"",INDEX('月次販売入力'!J$7:J$102,MATCH($A38,'月次販売入力'!$A$7:$A$102,0)))</x:f>
      </x:c>
      <x:c r="K38" s="30" t="str">
        <x:f>IF(ISBLANK(INDEX('月次販売入力'!K$7:K$102,MATCH($A38,'月次販売入力'!$A$7:$A$102,0))),"",INDEX('月次販売入力'!K$7:K$102,MATCH($A38,'月次販売入力'!$A$7:$A$102,0)))</x:f>
      </x:c>
      <x:c r="L38" s="30" t="str">
        <x:f>IF(ISBLANK(INDEX('月次販売入力'!L$7:L$102,MATCH($A38,'月次販売入力'!$A$7:$A$102,0))),"",INDEX('月次販売入力'!L$7:L$102,MATCH($A38,'月次販売入力'!$A$7:$A$102,0)))</x:f>
      </x:c>
      <x:c r="M38" s="30" t="str">
        <x:f>IF(ISBLANK(INDEX('月次販売入力'!M$7:M$102,MATCH($A38,'月次販売入力'!$A$7:$A$102,0))),"",INDEX('月次販売入力'!M$7:M$102,MATCH($A38,'月次販売入力'!$A$7:$A$102,0)))</x:f>
      </x:c>
      <x:c r="N38" s="30" t="str">
        <x:f>IF(ISBLANK(INDEX('月次販売入力'!N$7:N$102,MATCH($A38,'月次販売入力'!$A$7:$A$102,0))),"",INDEX('月次販売入力'!N$7:N$102,MATCH($A38,'月次販売入力'!$A$7:$A$102,0)))</x:f>
      </x:c>
      <x:c r="O38" s="30" t="str">
        <x:f>IF(ISBLANK(INDEX('月次販売入力'!O$7:O$102,MATCH($A38,'月次販売入力'!$A$7:$A$102,0))),"",INDEX('月次販売入力'!O$7:O$102,MATCH($A38,'月次販売入力'!$A$7:$A$102,0)))</x:f>
      </x:c>
      <x:c r="P38" s="30" t="str">
        <x:f>IF(ISBLANK(INDEX('月次販売入力'!P$7:P$102,MATCH($A38,'月次販売入力'!$A$7:$A$102,0))),"",INDEX('月次販売入力'!P$7:P$102,MATCH($A38,'月次販売入力'!$A$7:$A$102,0)))</x:f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</x:row>
    <x:row r="39" ht="23" customHeight="1">
      <x:c r="A39" s="22" t="n">
        <x:f>EDATE('販売と制度比較'!$E$5,33)</x:f>
        <x:v>46296</x:v>
      </x:c>
      <x:c r="B39" s="30" t="str">
        <x:f>IF(ISBLANK(INDEX('月次販売入力'!B$7:B$102,MATCH($A39,'月次販売入力'!$A$7:$A$102,0))),"",INDEX('月次販売入力'!B$7:B$102,MATCH($A39,'月次販売入力'!$A$7:$A$102,0)))</x:f>
      </x:c>
      <x:c r="C39" s="30" t="str">
        <x:f>IF(ISBLANK(INDEX('月次販売入力'!C$7:C$102,MATCH($A39,'月次販売入力'!$A$7:$A$102,0))),"",INDEX('月次販売入力'!C$7:C$102,MATCH($A39,'月次販売入力'!$A$7:$A$102,0)))</x:f>
      </x:c>
      <x:c r="D39" s="30" t="str">
        <x:f>IF(ISBLANK(INDEX('月次販売入力'!D$7:D$102,MATCH($A39,'月次販売入力'!$A$7:$A$102,0))),"",INDEX('月次販売入力'!D$7:D$102,MATCH($A39,'月次販売入力'!$A$7:$A$102,0)))</x:f>
      </x:c>
      <x:c r="E39" s="30" t="str">
        <x:f>IF(ISBLANK(INDEX('月次販売入力'!E$7:E$102,MATCH($A39,'月次販売入力'!$A$7:$A$102,0))),"",INDEX('月次販売入力'!E$7:E$102,MATCH($A39,'月次販売入力'!$A$7:$A$102,0)))</x:f>
      </x:c>
      <x:c r="F39" s="30" t="str">
        <x:f>IF(ISBLANK(INDEX('月次販売入力'!F$7:F$102,MATCH($A39,'月次販売入力'!$A$7:$A$102,0))),"",INDEX('月次販売入力'!F$7:F$102,MATCH($A39,'月次販売入力'!$A$7:$A$102,0)))</x:f>
      </x:c>
      <x:c r="G39" s="30" t="str">
        <x:f>IF(ISBLANK(INDEX('月次販売入力'!G$7:G$102,MATCH($A39,'月次販売入力'!$A$7:$A$102,0))),"",INDEX('月次販売入力'!G$7:G$102,MATCH($A39,'月次販売入力'!$A$7:$A$102,0)))</x:f>
      </x:c>
      <x:c r="H39" s="30" t="str">
        <x:f>IF(ISBLANK(INDEX('月次販売入力'!H$7:H$102,MATCH($A39,'月次販売入力'!$A$7:$A$102,0))),"",INDEX('月次販売入力'!H$7:H$102,MATCH($A39,'月次販売入力'!$A$7:$A$102,0)))</x:f>
      </x:c>
      <x:c r="I39" s="30" t="str">
        <x:f>IF(ISBLANK(INDEX('月次販売入力'!I$7:I$102,MATCH($A39,'月次販売入力'!$A$7:$A$102,0))),"",INDEX('月次販売入力'!I$7:I$102,MATCH($A39,'月次販売入力'!$A$7:$A$102,0)))</x:f>
      </x:c>
      <x:c r="J39" s="30" t="str">
        <x:f>IF(ISBLANK(INDEX('月次販売入力'!J$7:J$102,MATCH($A39,'月次販売入力'!$A$7:$A$102,0))),"",INDEX('月次販売入力'!J$7:J$102,MATCH($A39,'月次販売入力'!$A$7:$A$102,0)))</x:f>
      </x:c>
      <x:c r="K39" s="30" t="str">
        <x:f>IF(ISBLANK(INDEX('月次販売入力'!K$7:K$102,MATCH($A39,'月次販売入力'!$A$7:$A$102,0))),"",INDEX('月次販売入力'!K$7:K$102,MATCH($A39,'月次販売入力'!$A$7:$A$102,0)))</x:f>
      </x:c>
      <x:c r="L39" s="30" t="str">
        <x:f>IF(ISBLANK(INDEX('月次販売入力'!L$7:L$102,MATCH($A39,'月次販売入力'!$A$7:$A$102,0))),"",INDEX('月次販売入力'!L$7:L$102,MATCH($A39,'月次販売入力'!$A$7:$A$102,0)))</x:f>
      </x:c>
      <x:c r="M39" s="30" t="str">
        <x:f>IF(ISBLANK(INDEX('月次販売入力'!M$7:M$102,MATCH($A39,'月次販売入力'!$A$7:$A$102,0))),"",INDEX('月次販売入力'!M$7:M$102,MATCH($A39,'月次販売入力'!$A$7:$A$102,0)))</x:f>
      </x:c>
      <x:c r="N39" s="30" t="str">
        <x:f>IF(ISBLANK(INDEX('月次販売入力'!N$7:N$102,MATCH($A39,'月次販売入力'!$A$7:$A$102,0))),"",INDEX('月次販売入力'!N$7:N$102,MATCH($A39,'月次販売入力'!$A$7:$A$102,0)))</x:f>
      </x:c>
      <x:c r="O39" s="30" t="str">
        <x:f>IF(ISBLANK(INDEX('月次販売入力'!O$7:O$102,MATCH($A39,'月次販売入力'!$A$7:$A$102,0))),"",INDEX('月次販売入力'!O$7:O$102,MATCH($A39,'月次販売入力'!$A$7:$A$102,0)))</x:f>
      </x:c>
      <x:c r="P39" s="30" t="str">
        <x:f>IF(ISBLANK(INDEX('月次販売入力'!P$7:P$102,MATCH($A39,'月次販売入力'!$A$7:$A$102,0))),"",INDEX('月次販売入力'!P$7:P$102,MATCH($A39,'月次販売入力'!$A$7:$A$102,0)))</x:f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</x:row>
    <x:row r="40" ht="23" customHeight="1">
      <x:c r="A40" s="22" t="n">
        <x:f>EDATE('販売と制度比較'!$E$5,34)</x:f>
        <x:v>46327</x:v>
      </x:c>
      <x:c r="B40" s="30" t="str">
        <x:f>IF(ISBLANK(INDEX('月次販売入力'!B$7:B$102,MATCH($A40,'月次販売入力'!$A$7:$A$102,0))),"",INDEX('月次販売入力'!B$7:B$102,MATCH($A40,'月次販売入力'!$A$7:$A$102,0)))</x:f>
      </x:c>
      <x:c r="C40" s="30" t="str">
        <x:f>IF(ISBLANK(INDEX('月次販売入力'!C$7:C$102,MATCH($A40,'月次販売入力'!$A$7:$A$102,0))),"",INDEX('月次販売入力'!C$7:C$102,MATCH($A40,'月次販売入力'!$A$7:$A$102,0)))</x:f>
      </x:c>
      <x:c r="D40" s="30" t="str">
        <x:f>IF(ISBLANK(INDEX('月次販売入力'!D$7:D$102,MATCH($A40,'月次販売入力'!$A$7:$A$102,0))),"",INDEX('月次販売入力'!D$7:D$102,MATCH($A40,'月次販売入力'!$A$7:$A$102,0)))</x:f>
      </x:c>
      <x:c r="E40" s="30" t="str">
        <x:f>IF(ISBLANK(INDEX('月次販売入力'!E$7:E$102,MATCH($A40,'月次販売入力'!$A$7:$A$102,0))),"",INDEX('月次販売入力'!E$7:E$102,MATCH($A40,'月次販売入力'!$A$7:$A$102,0)))</x:f>
      </x:c>
      <x:c r="F40" s="30" t="str">
        <x:f>IF(ISBLANK(INDEX('月次販売入力'!F$7:F$102,MATCH($A40,'月次販売入力'!$A$7:$A$102,0))),"",INDEX('月次販売入力'!F$7:F$102,MATCH($A40,'月次販売入力'!$A$7:$A$102,0)))</x:f>
      </x:c>
      <x:c r="G40" s="30" t="str">
        <x:f>IF(ISBLANK(INDEX('月次販売入力'!G$7:G$102,MATCH($A40,'月次販売入力'!$A$7:$A$102,0))),"",INDEX('月次販売入力'!G$7:G$102,MATCH($A40,'月次販売入力'!$A$7:$A$102,0)))</x:f>
      </x:c>
      <x:c r="H40" s="30" t="str">
        <x:f>IF(ISBLANK(INDEX('月次販売入力'!H$7:H$102,MATCH($A40,'月次販売入力'!$A$7:$A$102,0))),"",INDEX('月次販売入力'!H$7:H$102,MATCH($A40,'月次販売入力'!$A$7:$A$102,0)))</x:f>
      </x:c>
      <x:c r="I40" s="30" t="str">
        <x:f>IF(ISBLANK(INDEX('月次販売入力'!I$7:I$102,MATCH($A40,'月次販売入力'!$A$7:$A$102,0))),"",INDEX('月次販売入力'!I$7:I$102,MATCH($A40,'月次販売入力'!$A$7:$A$102,0)))</x:f>
      </x:c>
      <x:c r="J40" s="30" t="str">
        <x:f>IF(ISBLANK(INDEX('月次販売入力'!J$7:J$102,MATCH($A40,'月次販売入力'!$A$7:$A$102,0))),"",INDEX('月次販売入力'!J$7:J$102,MATCH($A40,'月次販売入力'!$A$7:$A$102,0)))</x:f>
      </x:c>
      <x:c r="K40" s="30" t="str">
        <x:f>IF(ISBLANK(INDEX('月次販売入力'!K$7:K$102,MATCH($A40,'月次販売入力'!$A$7:$A$102,0))),"",INDEX('月次販売入力'!K$7:K$102,MATCH($A40,'月次販売入力'!$A$7:$A$102,0)))</x:f>
      </x:c>
      <x:c r="L40" s="30" t="str">
        <x:f>IF(ISBLANK(INDEX('月次販売入力'!L$7:L$102,MATCH($A40,'月次販売入力'!$A$7:$A$102,0))),"",INDEX('月次販売入力'!L$7:L$102,MATCH($A40,'月次販売入力'!$A$7:$A$102,0)))</x:f>
      </x:c>
      <x:c r="M40" s="30" t="str">
        <x:f>IF(ISBLANK(INDEX('月次販売入力'!M$7:M$102,MATCH($A40,'月次販売入力'!$A$7:$A$102,0))),"",INDEX('月次販売入力'!M$7:M$102,MATCH($A40,'月次販売入力'!$A$7:$A$102,0)))</x:f>
      </x:c>
      <x:c r="N40" s="30" t="str">
        <x:f>IF(ISBLANK(INDEX('月次販売入力'!N$7:N$102,MATCH($A40,'月次販売入力'!$A$7:$A$102,0))),"",INDEX('月次販売入力'!N$7:N$102,MATCH($A40,'月次販売入力'!$A$7:$A$102,0)))</x:f>
      </x:c>
      <x:c r="O40" s="30" t="str">
        <x:f>IF(ISBLANK(INDEX('月次販売入力'!O$7:O$102,MATCH($A40,'月次販売入力'!$A$7:$A$102,0))),"",INDEX('月次販売入力'!O$7:O$102,MATCH($A40,'月次販売入力'!$A$7:$A$102,0)))</x:f>
      </x:c>
      <x:c r="P40" s="30" t="str">
        <x:f>IF(ISBLANK(INDEX('月次販売入力'!P$7:P$102,MATCH($A40,'月次販売入力'!$A$7:$A$102,0))),"",INDEX('月次販売入力'!P$7:P$102,MATCH($A40,'月次販売入力'!$A$7:$A$102,0)))</x:f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</x:row>
    <x:row r="41" ht="23" customHeight="1">
      <x:c r="A41" s="22" t="n">
        <x:f>EDATE('販売と制度比較'!$E$5,35)</x:f>
        <x:v>46357</x:v>
      </x:c>
      <x:c r="B41" s="30" t="str">
        <x:f>IF(ISBLANK(INDEX('月次販売入力'!B$7:B$102,MATCH($A41,'月次販売入力'!$A$7:$A$102,0))),"",INDEX('月次販売入力'!B$7:B$102,MATCH($A41,'月次販売入力'!$A$7:$A$102,0)))</x:f>
      </x:c>
      <x:c r="C41" s="30" t="str">
        <x:f>IF(ISBLANK(INDEX('月次販売入力'!C$7:C$102,MATCH($A41,'月次販売入力'!$A$7:$A$102,0))),"",INDEX('月次販売入力'!C$7:C$102,MATCH($A41,'月次販売入力'!$A$7:$A$102,0)))</x:f>
      </x:c>
      <x:c r="D41" s="30" t="str">
        <x:f>IF(ISBLANK(INDEX('月次販売入力'!D$7:D$102,MATCH($A41,'月次販売入力'!$A$7:$A$102,0))),"",INDEX('月次販売入力'!D$7:D$102,MATCH($A41,'月次販売入力'!$A$7:$A$102,0)))</x:f>
      </x:c>
      <x:c r="E41" s="30" t="str">
        <x:f>IF(ISBLANK(INDEX('月次販売入力'!E$7:E$102,MATCH($A41,'月次販売入力'!$A$7:$A$102,0))),"",INDEX('月次販売入力'!E$7:E$102,MATCH($A41,'月次販売入力'!$A$7:$A$102,0)))</x:f>
      </x:c>
      <x:c r="F41" s="30" t="str">
        <x:f>IF(ISBLANK(INDEX('月次販売入力'!F$7:F$102,MATCH($A41,'月次販売入力'!$A$7:$A$102,0))),"",INDEX('月次販売入力'!F$7:F$102,MATCH($A41,'月次販売入力'!$A$7:$A$102,0)))</x:f>
      </x:c>
      <x:c r="G41" s="30" t="str">
        <x:f>IF(ISBLANK(INDEX('月次販売入力'!G$7:G$102,MATCH($A41,'月次販売入力'!$A$7:$A$102,0))),"",INDEX('月次販売入力'!G$7:G$102,MATCH($A41,'月次販売入力'!$A$7:$A$102,0)))</x:f>
      </x:c>
      <x:c r="H41" s="30" t="str">
        <x:f>IF(ISBLANK(INDEX('月次販売入力'!H$7:H$102,MATCH($A41,'月次販売入力'!$A$7:$A$102,0))),"",INDEX('月次販売入力'!H$7:H$102,MATCH($A41,'月次販売入力'!$A$7:$A$102,0)))</x:f>
      </x:c>
      <x:c r="I41" s="30" t="str">
        <x:f>IF(ISBLANK(INDEX('月次販売入力'!I$7:I$102,MATCH($A41,'月次販売入力'!$A$7:$A$102,0))),"",INDEX('月次販売入力'!I$7:I$102,MATCH($A41,'月次販売入力'!$A$7:$A$102,0)))</x:f>
      </x:c>
      <x:c r="J41" s="30" t="str">
        <x:f>IF(ISBLANK(INDEX('月次販売入力'!J$7:J$102,MATCH($A41,'月次販売入力'!$A$7:$A$102,0))),"",INDEX('月次販売入力'!J$7:J$102,MATCH($A41,'月次販売入力'!$A$7:$A$102,0)))</x:f>
      </x:c>
      <x:c r="K41" s="30" t="str">
        <x:f>IF(ISBLANK(INDEX('月次販売入力'!K$7:K$102,MATCH($A41,'月次販売入力'!$A$7:$A$102,0))),"",INDEX('月次販売入力'!K$7:K$102,MATCH($A41,'月次販売入力'!$A$7:$A$102,0)))</x:f>
      </x:c>
      <x:c r="L41" s="30" t="str">
        <x:f>IF(ISBLANK(INDEX('月次販売入力'!L$7:L$102,MATCH($A41,'月次販売入力'!$A$7:$A$102,0))),"",INDEX('月次販売入力'!L$7:L$102,MATCH($A41,'月次販売入力'!$A$7:$A$102,0)))</x:f>
      </x:c>
      <x:c r="M41" s="30" t="str">
        <x:f>IF(ISBLANK(INDEX('月次販売入力'!M$7:M$102,MATCH($A41,'月次販売入力'!$A$7:$A$102,0))),"",INDEX('月次販売入力'!M$7:M$102,MATCH($A41,'月次販売入力'!$A$7:$A$102,0)))</x:f>
      </x:c>
      <x:c r="N41" s="30" t="str">
        <x:f>IF(ISBLANK(INDEX('月次販売入力'!N$7:N$102,MATCH($A41,'月次販売入力'!$A$7:$A$102,0))),"",INDEX('月次販売入力'!N$7:N$102,MATCH($A41,'月次販売入力'!$A$7:$A$102,0)))</x:f>
      </x:c>
      <x:c r="O41" s="30" t="str">
        <x:f>IF(ISBLANK(INDEX('月次販売入力'!O$7:O$102,MATCH($A41,'月次販売入力'!$A$7:$A$102,0))),"",INDEX('月次販売入力'!O$7:O$102,MATCH($A41,'月次販売入力'!$A$7:$A$102,0)))</x:f>
      </x:c>
      <x:c r="P41" s="30" t="str">
        <x:f>IF(ISBLANK(INDEX('月次販売入力'!P$7:P$102,MATCH($A41,'月次販売入力'!$A$7:$A$102,0))),"",INDEX('月次販売入力'!P$7:P$102,MATCH($A41,'月次販売入力'!$A$7:$A$102,0)))</x:f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  <x:c r="CA41" s="1"/>
      <x:c r="CB41" s="1"/>
      <x:c r="CC41" s="1"/>
      <x:c r="CD41" s="1"/>
      <x:c r="CE41" s="1"/>
      <x:c r="CF41" s="1"/>
      <x:c r="CG41" s="1"/>
      <x:c r="CH41" s="1"/>
      <x:c r="CI41" s="1"/>
      <x:c r="CJ41" s="1"/>
      <x:c r="CK41" s="1"/>
      <x:c r="CL41" s="1"/>
      <x:c r="CM41" s="1"/>
      <x:c r="CN41" s="1"/>
      <x:c r="CO41" s="1"/>
      <x:c r="CP41" s="1"/>
      <x:c r="CQ41" s="1"/>
      <x:c r="CR41" s="1"/>
      <x:c r="CS41" s="1"/>
      <x:c r="CT41" s="1"/>
      <x:c r="CU41" s="1"/>
      <x:c r="CV41" s="1"/>
      <x:c r="CW41" s="1"/>
      <x:c r="CX41" s="1"/>
      <x:c r="CY41" s="1"/>
      <x:c r="CZ41" s="1"/>
      <x:c r="DA41" s="1"/>
      <x:c r="DB41" s="1"/>
      <x:c r="DC41" s="1"/>
      <x:c r="DD41" s="1"/>
    </x:row>
    <x:row r="42" ht="23" customHeight="1">
      <x:c r="A42" s="1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</x:row>
    <x:row r="43" ht="40" customHeight="1">
      <x:c r="A43" s="13" t="str">
        <x:v>グラフ用年月</x:v>
      </x:c>
      <x:c r="B43" s="34" t="str">
        <x:f>B5</x:f>
        <x:v>BEV</x:v>
      </x:c>
      <x:c r="C43" s="34" t="str">
        <x:f>C5</x:f>
        <x:v>HEV</x:v>
      </x:c>
      <x:c r="D43" s="34" t="str">
        <x:f>D5</x:f>
        <x:v>ICE</x:v>
      </x:c>
      <x:c r="E43" s="34" t="str">
        <x:f>E5</x:f>
        <x:v>BEV</x:v>
      </x:c>
      <x:c r="F43" s="34" t="str">
        <x:f>F5</x:f>
        <x:v>HEV</x:v>
      </x:c>
      <x:c r="G43" s="34" t="str">
        <x:f>G5</x:f>
        <x:v>ICE</x:v>
      </x:c>
      <x:c r="H43" s="34" t="str">
        <x:f>H5</x:f>
        <x:v>BEV</x:v>
      </x:c>
      <x:c r="I43" s="34" t="str">
        <x:f>I5</x:f>
        <x:v>HEV</x:v>
      </x:c>
      <x:c r="J43" s="34" t="str">
        <x:f>J5</x:f>
        <x:v>ICE</x:v>
      </x:c>
      <x:c r="K43" s="34" t="str">
        <x:f>K5</x:f>
        <x:v>BEV</x:v>
      </x:c>
      <x:c r="L43" s="34" t="str">
        <x:f>L5</x:f>
        <x:v>HEV</x:v>
      </x:c>
      <x:c r="M43" s="34" t="str">
        <x:f>M5</x:f>
        <x:v>ICE</x:v>
      </x:c>
      <x:c r="N43" s="34" t="str">
        <x:f>N5</x:f>
        <x:v>BEV</x:v>
      </x:c>
      <x:c r="O43" s="34" t="str">
        <x:f>O5</x:f>
        <x:v>HEV</x:v>
      </x:c>
      <x:c r="P43" s="34" t="str">
        <x:f>P5</x:f>
        <x:v>ICE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  <x:c r="CA43" s="1"/>
      <x:c r="CB43" s="1"/>
      <x:c r="CC43" s="1"/>
      <x:c r="CD43" s="1"/>
      <x:c r="CE43" s="1"/>
      <x:c r="CF43" s="1"/>
      <x:c r="CG43" s="1"/>
      <x:c r="CH43" s="1"/>
      <x:c r="CI43" s="1"/>
      <x:c r="CJ43" s="1"/>
      <x:c r="CK43" s="1"/>
      <x:c r="CL43" s="1"/>
      <x:c r="CM43" s="1"/>
      <x:c r="CN43" s="1"/>
      <x:c r="CO43" s="1"/>
      <x:c r="CP43" s="1"/>
      <x:c r="CQ43" s="1"/>
      <x:c r="CR43" s="1"/>
      <x:c r="CS43" s="1"/>
      <x:c r="CT43" s="1"/>
      <x:c r="CU43" s="1"/>
      <x:c r="CV43" s="1"/>
      <x:c r="CW43" s="1"/>
      <x:c r="CX43" s="1"/>
      <x:c r="CY43" s="1"/>
      <x:c r="CZ43" s="1"/>
      <x:c r="DA43" s="1"/>
      <x:c r="DB43" s="1"/>
      <x:c r="DC43" s="1"/>
      <x:c r="DD43" s="1"/>
    </x:row>
    <x:row r="44" ht="23" customHeight="1">
      <x:c r="A44" s="1" t="str">
        <x:f>TEXT(A6,"yyyy/mm")</x:f>
        <x:v>2024/01</x:v>
      </x:c>
      <x:c r="B44" s="30" t="e">
        <x:f>IF(ISNUMBER(B6),B6,NA())</x:f>
        <x:v>#N/A</x:v>
      </x:c>
      <x:c r="C44" s="30" t="e">
        <x:f>IF(ISNUMBER(C6),C6,NA())</x:f>
        <x:v>#N/A</x:v>
      </x:c>
      <x:c r="D44" s="30" t="e">
        <x:f>IF(ISNUMBER(D6),D6,NA())</x:f>
        <x:v>#N/A</x:v>
      </x:c>
      <x:c r="E44" s="30" t="e">
        <x:f>IF(ISNUMBER(E6),E6,NA())</x:f>
        <x:v>#N/A</x:v>
      </x:c>
      <x:c r="F44" s="30" t="e">
        <x:f>IF(ISNUMBER(F6),F6,NA())</x:f>
        <x:v>#N/A</x:v>
      </x:c>
      <x:c r="G44" s="30" t="e">
        <x:f>IF(ISNUMBER(G6),G6,NA())</x:f>
        <x:v>#N/A</x:v>
      </x:c>
      <x:c r="H44" s="30" t="e">
        <x:f>IF(ISNUMBER(H6),H6,NA())</x:f>
        <x:v>#N/A</x:v>
      </x:c>
      <x:c r="I44" s="30" t="e">
        <x:f>IF(ISNUMBER(I6),I6,NA())</x:f>
        <x:v>#N/A</x:v>
      </x:c>
      <x:c r="J44" s="30" t="e">
        <x:f>IF(ISNUMBER(J6),J6,NA())</x:f>
        <x:v>#N/A</x:v>
      </x:c>
      <x:c r="K44" s="30" t="e">
        <x:f>IF(ISNUMBER(K6),K6,NA())</x:f>
        <x:v>#N/A</x:v>
      </x:c>
      <x:c r="L44" s="30" t="e">
        <x:f>IF(ISNUMBER(L6),L6,NA())</x:f>
        <x:v>#N/A</x:v>
      </x:c>
      <x:c r="M44" s="30" t="e">
        <x:f>IF(ISNUMBER(M6),M6,NA())</x:f>
        <x:v>#N/A</x:v>
      </x:c>
      <x:c r="N44" s="30" t="e">
        <x:f>IF(ISNUMBER(N6),N6,NA())</x:f>
        <x:v>#N/A</x:v>
      </x:c>
      <x:c r="O44" s="30" t="e">
        <x:f>IF(ISNUMBER(O6),O6,NA())</x:f>
        <x:v>#N/A</x:v>
      </x:c>
      <x:c r="P44" s="30" t="e">
        <x:f>IF(ISNUMBER(P6),P6,NA())</x:f>
        <x:v>#N/A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</x:row>
    <x:row r="45" ht="23" customHeight="1">
      <x:c r="A45" s="1" t="str">
        <x:f>TEXT(A7,"yyyy/mm")</x:f>
        <x:v>2024/02</x:v>
      </x:c>
      <x:c r="B45" s="30" t="e">
        <x:f>IF(ISNUMBER(B7),B7,NA())</x:f>
        <x:v>#N/A</x:v>
      </x:c>
      <x:c r="C45" s="30" t="e">
        <x:f>IF(ISNUMBER(C7),C7,NA())</x:f>
        <x:v>#N/A</x:v>
      </x:c>
      <x:c r="D45" s="30" t="e">
        <x:f>IF(ISNUMBER(D7),D7,NA())</x:f>
        <x:v>#N/A</x:v>
      </x:c>
      <x:c r="E45" s="30" t="e">
        <x:f>IF(ISNUMBER(E7),E7,NA())</x:f>
        <x:v>#N/A</x:v>
      </x:c>
      <x:c r="F45" s="30" t="e">
        <x:f>IF(ISNUMBER(F7),F7,NA())</x:f>
        <x:v>#N/A</x:v>
      </x:c>
      <x:c r="G45" s="30" t="e">
        <x:f>IF(ISNUMBER(G7),G7,NA())</x:f>
        <x:v>#N/A</x:v>
      </x:c>
      <x:c r="H45" s="30" t="e">
        <x:f>IF(ISNUMBER(H7),H7,NA())</x:f>
        <x:v>#N/A</x:v>
      </x:c>
      <x:c r="I45" s="30" t="e">
        <x:f>IF(ISNUMBER(I7),I7,NA())</x:f>
        <x:v>#N/A</x:v>
      </x:c>
      <x:c r="J45" s="30" t="e">
        <x:f>IF(ISNUMBER(J7),J7,NA())</x:f>
        <x:v>#N/A</x:v>
      </x:c>
      <x:c r="K45" s="30" t="e">
        <x:f>IF(ISNUMBER(K7),K7,NA())</x:f>
        <x:v>#N/A</x:v>
      </x:c>
      <x:c r="L45" s="30" t="e">
        <x:f>IF(ISNUMBER(L7),L7,NA())</x:f>
        <x:v>#N/A</x:v>
      </x:c>
      <x:c r="M45" s="30" t="e">
        <x:f>IF(ISNUMBER(M7),M7,NA())</x:f>
        <x:v>#N/A</x:v>
      </x:c>
      <x:c r="N45" s="30" t="e">
        <x:f>IF(ISNUMBER(N7),N7,NA())</x:f>
        <x:v>#N/A</x:v>
      </x:c>
      <x:c r="O45" s="30" t="e">
        <x:f>IF(ISNUMBER(O7),O7,NA())</x:f>
        <x:v>#N/A</x:v>
      </x:c>
      <x:c r="P45" s="30" t="e">
        <x:f>IF(ISNUMBER(P7),P7,NA())</x:f>
        <x:v>#N/A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  <x:c r="CA45" s="1"/>
      <x:c r="CB45" s="1"/>
      <x:c r="CC45" s="1"/>
      <x:c r="CD45" s="1"/>
      <x:c r="CE45" s="1"/>
      <x:c r="CF45" s="1"/>
      <x:c r="CG45" s="1"/>
      <x:c r="CH45" s="1"/>
      <x:c r="CI45" s="1"/>
      <x:c r="CJ45" s="1"/>
      <x:c r="CK45" s="1"/>
      <x:c r="CL45" s="1"/>
      <x:c r="CM45" s="1"/>
      <x:c r="CN45" s="1"/>
      <x:c r="CO45" s="1"/>
      <x:c r="CP45" s="1"/>
      <x:c r="CQ45" s="1"/>
      <x:c r="CR45" s="1"/>
      <x:c r="CS45" s="1"/>
      <x:c r="CT45" s="1"/>
      <x:c r="CU45" s="1"/>
      <x:c r="CV45" s="1"/>
      <x:c r="CW45" s="1"/>
      <x:c r="CX45" s="1"/>
      <x:c r="CY45" s="1"/>
      <x:c r="CZ45" s="1"/>
      <x:c r="DA45" s="1"/>
      <x:c r="DB45" s="1"/>
      <x:c r="DC45" s="1"/>
      <x:c r="DD45" s="1"/>
    </x:row>
    <x:row r="46" ht="23" customHeight="1">
      <x:c r="A46" s="1" t="str">
        <x:f>TEXT(A8,"yyyy/mm")</x:f>
        <x:v>2024/03</x:v>
      </x:c>
      <x:c r="B46" s="30" t="e">
        <x:f>IF(ISNUMBER(B8),B8,NA())</x:f>
        <x:v>#N/A</x:v>
      </x:c>
      <x:c r="C46" s="30" t="e">
        <x:f>IF(ISNUMBER(C8),C8,NA())</x:f>
        <x:v>#N/A</x:v>
      </x:c>
      <x:c r="D46" s="30" t="e">
        <x:f>IF(ISNUMBER(D8),D8,NA())</x:f>
        <x:v>#N/A</x:v>
      </x:c>
      <x:c r="E46" s="30" t="e">
        <x:f>IF(ISNUMBER(E8),E8,NA())</x:f>
        <x:v>#N/A</x:v>
      </x:c>
      <x:c r="F46" s="30" t="e">
        <x:f>IF(ISNUMBER(F8),F8,NA())</x:f>
        <x:v>#N/A</x:v>
      </x:c>
      <x:c r="G46" s="30" t="e">
        <x:f>IF(ISNUMBER(G8),G8,NA())</x:f>
        <x:v>#N/A</x:v>
      </x:c>
      <x:c r="H46" s="30" t="e">
        <x:f>IF(ISNUMBER(H8),H8,NA())</x:f>
        <x:v>#N/A</x:v>
      </x:c>
      <x:c r="I46" s="30" t="e">
        <x:f>IF(ISNUMBER(I8),I8,NA())</x:f>
        <x:v>#N/A</x:v>
      </x:c>
      <x:c r="J46" s="30" t="e">
        <x:f>IF(ISNUMBER(J8),J8,NA())</x:f>
        <x:v>#N/A</x:v>
      </x:c>
      <x:c r="K46" s="30" t="e">
        <x:f>IF(ISNUMBER(K8),K8,NA())</x:f>
        <x:v>#N/A</x:v>
      </x:c>
      <x:c r="L46" s="30" t="e">
        <x:f>IF(ISNUMBER(L8),L8,NA())</x:f>
        <x:v>#N/A</x:v>
      </x:c>
      <x:c r="M46" s="30" t="e">
        <x:f>IF(ISNUMBER(M8),M8,NA())</x:f>
        <x:v>#N/A</x:v>
      </x:c>
      <x:c r="N46" s="30" t="e">
        <x:f>IF(ISNUMBER(N8),N8,NA())</x:f>
        <x:v>#N/A</x:v>
      </x:c>
      <x:c r="O46" s="30" t="e">
        <x:f>IF(ISNUMBER(O8),O8,NA())</x:f>
        <x:v>#N/A</x:v>
      </x:c>
      <x:c r="P46" s="30" t="e">
        <x:f>IF(ISNUMBER(P8),P8,NA())</x:f>
        <x:v>#N/A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</x:row>
    <x:row r="47" ht="23" customHeight="1">
      <x:c r="A47" s="1" t="str">
        <x:f>TEXT(A9,"yyyy/mm")</x:f>
        <x:v>2024/04</x:v>
      </x:c>
      <x:c r="B47" s="30" t="e">
        <x:f>IF(ISNUMBER(B9),B9,NA())</x:f>
        <x:v>#N/A</x:v>
      </x:c>
      <x:c r="C47" s="30" t="e">
        <x:f>IF(ISNUMBER(C9),C9,NA())</x:f>
        <x:v>#N/A</x:v>
      </x:c>
      <x:c r="D47" s="30" t="e">
        <x:f>IF(ISNUMBER(D9),D9,NA())</x:f>
        <x:v>#N/A</x:v>
      </x:c>
      <x:c r="E47" s="30" t="e">
        <x:f>IF(ISNUMBER(E9),E9,NA())</x:f>
        <x:v>#N/A</x:v>
      </x:c>
      <x:c r="F47" s="30" t="e">
        <x:f>IF(ISNUMBER(F9),F9,NA())</x:f>
        <x:v>#N/A</x:v>
      </x:c>
      <x:c r="G47" s="30" t="e">
        <x:f>IF(ISNUMBER(G9),G9,NA())</x:f>
        <x:v>#N/A</x:v>
      </x:c>
      <x:c r="H47" s="30" t="e">
        <x:f>IF(ISNUMBER(H9),H9,NA())</x:f>
        <x:v>#N/A</x:v>
      </x:c>
      <x:c r="I47" s="30" t="e">
        <x:f>IF(ISNUMBER(I9),I9,NA())</x:f>
        <x:v>#N/A</x:v>
      </x:c>
      <x:c r="J47" s="30" t="e">
        <x:f>IF(ISNUMBER(J9),J9,NA())</x:f>
        <x:v>#N/A</x:v>
      </x:c>
      <x:c r="K47" s="30" t="e">
        <x:f>IF(ISNUMBER(K9),K9,NA())</x:f>
        <x:v>#N/A</x:v>
      </x:c>
      <x:c r="L47" s="30" t="e">
        <x:f>IF(ISNUMBER(L9),L9,NA())</x:f>
        <x:v>#N/A</x:v>
      </x:c>
      <x:c r="M47" s="30" t="e">
        <x:f>IF(ISNUMBER(M9),M9,NA())</x:f>
        <x:v>#N/A</x:v>
      </x:c>
      <x:c r="N47" s="30" t="e">
        <x:f>IF(ISNUMBER(N9),N9,NA())</x:f>
        <x:v>#N/A</x:v>
      </x:c>
      <x:c r="O47" s="30" t="e">
        <x:f>IF(ISNUMBER(O9),O9,NA())</x:f>
        <x:v>#N/A</x:v>
      </x:c>
      <x:c r="P47" s="30" t="e">
        <x:f>IF(ISNUMBER(P9),P9,NA())</x:f>
        <x:v>#N/A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  <x:c r="CA47" s="1"/>
      <x:c r="CB47" s="1"/>
      <x:c r="CC47" s="1"/>
      <x:c r="CD47" s="1"/>
      <x:c r="CE47" s="1"/>
      <x:c r="CF47" s="1"/>
      <x:c r="CG47" s="1"/>
      <x:c r="CH47" s="1"/>
      <x:c r="CI47" s="1"/>
      <x:c r="CJ47" s="1"/>
      <x:c r="CK47" s="1"/>
      <x:c r="CL47" s="1"/>
      <x:c r="CM47" s="1"/>
      <x:c r="CN47" s="1"/>
      <x:c r="CO47" s="1"/>
      <x:c r="CP47" s="1"/>
      <x:c r="CQ47" s="1"/>
      <x:c r="CR47" s="1"/>
      <x:c r="CS47" s="1"/>
      <x:c r="CT47" s="1"/>
      <x:c r="CU47" s="1"/>
      <x:c r="CV47" s="1"/>
      <x:c r="CW47" s="1"/>
      <x:c r="CX47" s="1"/>
      <x:c r="CY47" s="1"/>
      <x:c r="CZ47" s="1"/>
      <x:c r="DA47" s="1"/>
      <x:c r="DB47" s="1"/>
      <x:c r="DC47" s="1"/>
      <x:c r="DD47" s="1"/>
    </x:row>
    <x:row r="48" ht="23" customHeight="1">
      <x:c r="A48" s="1" t="str">
        <x:f>TEXT(A10,"yyyy/mm")</x:f>
        <x:v>2024/05</x:v>
      </x:c>
      <x:c r="B48" s="30" t="e">
        <x:f>IF(ISNUMBER(B10),B10,NA())</x:f>
        <x:v>#N/A</x:v>
      </x:c>
      <x:c r="C48" s="30" t="e">
        <x:f>IF(ISNUMBER(C10),C10,NA())</x:f>
        <x:v>#N/A</x:v>
      </x:c>
      <x:c r="D48" s="30" t="e">
        <x:f>IF(ISNUMBER(D10),D10,NA())</x:f>
        <x:v>#N/A</x:v>
      </x:c>
      <x:c r="E48" s="30" t="e">
        <x:f>IF(ISNUMBER(E10),E10,NA())</x:f>
        <x:v>#N/A</x:v>
      </x:c>
      <x:c r="F48" s="30" t="e">
        <x:f>IF(ISNUMBER(F10),F10,NA())</x:f>
        <x:v>#N/A</x:v>
      </x:c>
      <x:c r="G48" s="30" t="e">
        <x:f>IF(ISNUMBER(G10),G10,NA())</x:f>
        <x:v>#N/A</x:v>
      </x:c>
      <x:c r="H48" s="30" t="e">
        <x:f>IF(ISNUMBER(H10),H10,NA())</x:f>
        <x:v>#N/A</x:v>
      </x:c>
      <x:c r="I48" s="30" t="e">
        <x:f>IF(ISNUMBER(I10),I10,NA())</x:f>
        <x:v>#N/A</x:v>
      </x:c>
      <x:c r="J48" s="30" t="e">
        <x:f>IF(ISNUMBER(J10),J10,NA())</x:f>
        <x:v>#N/A</x:v>
      </x:c>
      <x:c r="K48" s="30" t="e">
        <x:f>IF(ISNUMBER(K10),K10,NA())</x:f>
        <x:v>#N/A</x:v>
      </x:c>
      <x:c r="L48" s="30" t="e">
        <x:f>IF(ISNUMBER(L10),L10,NA())</x:f>
        <x:v>#N/A</x:v>
      </x:c>
      <x:c r="M48" s="30" t="e">
        <x:f>IF(ISNUMBER(M10),M10,NA())</x:f>
        <x:v>#N/A</x:v>
      </x:c>
      <x:c r="N48" s="30" t="e">
        <x:f>IF(ISNUMBER(N10),N10,NA())</x:f>
        <x:v>#N/A</x:v>
      </x:c>
      <x:c r="O48" s="30" t="e">
        <x:f>IF(ISNUMBER(O10),O10,NA())</x:f>
        <x:v>#N/A</x:v>
      </x:c>
      <x:c r="P48" s="30" t="e">
        <x:f>IF(ISNUMBER(P10),P10,NA())</x:f>
        <x:v>#N/A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</x:row>
    <x:row r="49" ht="23" customHeight="1">
      <x:c r="A49" s="1" t="str">
        <x:f>TEXT(A11,"yyyy/mm")</x:f>
        <x:v>2024/06</x:v>
      </x:c>
      <x:c r="B49" s="30" t="e">
        <x:f>IF(ISNUMBER(B11),B11,NA())</x:f>
        <x:v>#N/A</x:v>
      </x:c>
      <x:c r="C49" s="30" t="e">
        <x:f>IF(ISNUMBER(C11),C11,NA())</x:f>
        <x:v>#N/A</x:v>
      </x:c>
      <x:c r="D49" s="30" t="e">
        <x:f>IF(ISNUMBER(D11),D11,NA())</x:f>
        <x:v>#N/A</x:v>
      </x:c>
      <x:c r="E49" s="30" t="e">
        <x:f>IF(ISNUMBER(E11),E11,NA())</x:f>
        <x:v>#N/A</x:v>
      </x:c>
      <x:c r="F49" s="30" t="e">
        <x:f>IF(ISNUMBER(F11),F11,NA())</x:f>
        <x:v>#N/A</x:v>
      </x:c>
      <x:c r="G49" s="30" t="e">
        <x:f>IF(ISNUMBER(G11),G11,NA())</x:f>
        <x:v>#N/A</x:v>
      </x:c>
      <x:c r="H49" s="30" t="e">
        <x:f>IF(ISNUMBER(H11),H11,NA())</x:f>
        <x:v>#N/A</x:v>
      </x:c>
      <x:c r="I49" s="30" t="e">
        <x:f>IF(ISNUMBER(I11),I11,NA())</x:f>
        <x:v>#N/A</x:v>
      </x:c>
      <x:c r="J49" s="30" t="e">
        <x:f>IF(ISNUMBER(J11),J11,NA())</x:f>
        <x:v>#N/A</x:v>
      </x:c>
      <x:c r="K49" s="30" t="e">
        <x:f>IF(ISNUMBER(K11),K11,NA())</x:f>
        <x:v>#N/A</x:v>
      </x:c>
      <x:c r="L49" s="30" t="e">
        <x:f>IF(ISNUMBER(L11),L11,NA())</x:f>
        <x:v>#N/A</x:v>
      </x:c>
      <x:c r="M49" s="30" t="e">
        <x:f>IF(ISNUMBER(M11),M11,NA())</x:f>
        <x:v>#N/A</x:v>
      </x:c>
      <x:c r="N49" s="30" t="e">
        <x:f>IF(ISNUMBER(N11),N11,NA())</x:f>
        <x:v>#N/A</x:v>
      </x:c>
      <x:c r="O49" s="30" t="e">
        <x:f>IF(ISNUMBER(O11),O11,NA())</x:f>
        <x:v>#N/A</x:v>
      </x:c>
      <x:c r="P49" s="30" t="e">
        <x:f>IF(ISNUMBER(P11),P11,NA())</x:f>
        <x:v>#N/A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</x:row>
    <x:row r="50" ht="23" customHeight="1">
      <x:c r="A50" s="1" t="str">
        <x:f>TEXT(A12,"yyyy/mm")</x:f>
        <x:v>2024/07</x:v>
      </x:c>
      <x:c r="B50" s="30" t="e">
        <x:f>IF(ISNUMBER(B12),B12,NA())</x:f>
        <x:v>#N/A</x:v>
      </x:c>
      <x:c r="C50" s="30" t="e">
        <x:f>IF(ISNUMBER(C12),C12,NA())</x:f>
        <x:v>#N/A</x:v>
      </x:c>
      <x:c r="D50" s="30" t="e">
        <x:f>IF(ISNUMBER(D12),D12,NA())</x:f>
        <x:v>#N/A</x:v>
      </x:c>
      <x:c r="E50" s="30" t="e">
        <x:f>IF(ISNUMBER(E12),E12,NA())</x:f>
        <x:v>#N/A</x:v>
      </x:c>
      <x:c r="F50" s="30" t="e">
        <x:f>IF(ISNUMBER(F12),F12,NA())</x:f>
        <x:v>#N/A</x:v>
      </x:c>
      <x:c r="G50" s="30" t="e">
        <x:f>IF(ISNUMBER(G12),G12,NA())</x:f>
        <x:v>#N/A</x:v>
      </x:c>
      <x:c r="H50" s="30" t="e">
        <x:f>IF(ISNUMBER(H12),H12,NA())</x:f>
        <x:v>#N/A</x:v>
      </x:c>
      <x:c r="I50" s="30" t="e">
        <x:f>IF(ISNUMBER(I12),I12,NA())</x:f>
        <x:v>#N/A</x:v>
      </x:c>
      <x:c r="J50" s="30" t="e">
        <x:f>IF(ISNUMBER(J12),J12,NA())</x:f>
        <x:v>#N/A</x:v>
      </x:c>
      <x:c r="K50" s="30" t="e">
        <x:f>IF(ISNUMBER(K12),K12,NA())</x:f>
        <x:v>#N/A</x:v>
      </x:c>
      <x:c r="L50" s="30" t="e">
        <x:f>IF(ISNUMBER(L12),L12,NA())</x:f>
        <x:v>#N/A</x:v>
      </x:c>
      <x:c r="M50" s="30" t="e">
        <x:f>IF(ISNUMBER(M12),M12,NA())</x:f>
        <x:v>#N/A</x:v>
      </x:c>
      <x:c r="N50" s="30" t="e">
        <x:f>IF(ISNUMBER(N12),N12,NA())</x:f>
        <x:v>#N/A</x:v>
      </x:c>
      <x:c r="O50" s="30" t="e">
        <x:f>IF(ISNUMBER(O12),O12,NA())</x:f>
        <x:v>#N/A</x:v>
      </x:c>
      <x:c r="P50" s="30" t="e">
        <x:f>IF(ISNUMBER(P12),P12,NA())</x:f>
        <x:v>#N/A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</x:row>
    <x:row r="51" ht="23" customHeight="1">
      <x:c r="A51" s="1" t="str">
        <x:f>TEXT(A13,"yyyy/mm")</x:f>
        <x:v>2024/08</x:v>
      </x:c>
      <x:c r="B51" s="30" t="e">
        <x:f>IF(ISNUMBER(B13),B13,NA())</x:f>
        <x:v>#N/A</x:v>
      </x:c>
      <x:c r="C51" s="30" t="e">
        <x:f>IF(ISNUMBER(C13),C13,NA())</x:f>
        <x:v>#N/A</x:v>
      </x:c>
      <x:c r="D51" s="30" t="e">
        <x:f>IF(ISNUMBER(D13),D13,NA())</x:f>
        <x:v>#N/A</x:v>
      </x:c>
      <x:c r="E51" s="30" t="e">
        <x:f>IF(ISNUMBER(E13),E13,NA())</x:f>
        <x:v>#N/A</x:v>
      </x:c>
      <x:c r="F51" s="30" t="e">
        <x:f>IF(ISNUMBER(F13),F13,NA())</x:f>
        <x:v>#N/A</x:v>
      </x:c>
      <x:c r="G51" s="30" t="e">
        <x:f>IF(ISNUMBER(G13),G13,NA())</x:f>
        <x:v>#N/A</x:v>
      </x:c>
      <x:c r="H51" s="30" t="e">
        <x:f>IF(ISNUMBER(H13),H13,NA())</x:f>
        <x:v>#N/A</x:v>
      </x:c>
      <x:c r="I51" s="30" t="e">
        <x:f>IF(ISNUMBER(I13),I13,NA())</x:f>
        <x:v>#N/A</x:v>
      </x:c>
      <x:c r="J51" s="30" t="e">
        <x:f>IF(ISNUMBER(J13),J13,NA())</x:f>
        <x:v>#N/A</x:v>
      </x:c>
      <x:c r="K51" s="30" t="e">
        <x:f>IF(ISNUMBER(K13),K13,NA())</x:f>
        <x:v>#N/A</x:v>
      </x:c>
      <x:c r="L51" s="30" t="e">
        <x:f>IF(ISNUMBER(L13),L13,NA())</x:f>
        <x:v>#N/A</x:v>
      </x:c>
      <x:c r="M51" s="30" t="e">
        <x:f>IF(ISNUMBER(M13),M13,NA())</x:f>
        <x:v>#N/A</x:v>
      </x:c>
      <x:c r="N51" s="30" t="e">
        <x:f>IF(ISNUMBER(N13),N13,NA())</x:f>
        <x:v>#N/A</x:v>
      </x:c>
      <x:c r="O51" s="30" t="e">
        <x:f>IF(ISNUMBER(O13),O13,NA())</x:f>
        <x:v>#N/A</x:v>
      </x:c>
      <x:c r="P51" s="30" t="e">
        <x:f>IF(ISNUMBER(P13),P13,NA())</x:f>
        <x:v>#N/A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</x:row>
    <x:row r="52" ht="23" customHeight="1">
      <x:c r="A52" s="1" t="str">
        <x:f>TEXT(A14,"yyyy/mm")</x:f>
        <x:v>2024/09</x:v>
      </x:c>
      <x:c r="B52" s="30" t="e">
        <x:f>IF(ISNUMBER(B14),B14,NA())</x:f>
        <x:v>#N/A</x:v>
      </x:c>
      <x:c r="C52" s="30" t="e">
        <x:f>IF(ISNUMBER(C14),C14,NA())</x:f>
        <x:v>#N/A</x:v>
      </x:c>
      <x:c r="D52" s="30" t="e">
        <x:f>IF(ISNUMBER(D14),D14,NA())</x:f>
        <x:v>#N/A</x:v>
      </x:c>
      <x:c r="E52" s="30" t="e">
        <x:f>IF(ISNUMBER(E14),E14,NA())</x:f>
        <x:v>#N/A</x:v>
      </x:c>
      <x:c r="F52" s="30" t="e">
        <x:f>IF(ISNUMBER(F14),F14,NA())</x:f>
        <x:v>#N/A</x:v>
      </x:c>
      <x:c r="G52" s="30" t="e">
        <x:f>IF(ISNUMBER(G14),G14,NA())</x:f>
        <x:v>#N/A</x:v>
      </x:c>
      <x:c r="H52" s="30" t="e">
        <x:f>IF(ISNUMBER(H14),H14,NA())</x:f>
        <x:v>#N/A</x:v>
      </x:c>
      <x:c r="I52" s="30" t="e">
        <x:f>IF(ISNUMBER(I14),I14,NA())</x:f>
        <x:v>#N/A</x:v>
      </x:c>
      <x:c r="J52" s="30" t="e">
        <x:f>IF(ISNUMBER(J14),J14,NA())</x:f>
        <x:v>#N/A</x:v>
      </x:c>
      <x:c r="K52" s="30" t="e">
        <x:f>IF(ISNUMBER(K14),K14,NA())</x:f>
        <x:v>#N/A</x:v>
      </x:c>
      <x:c r="L52" s="30" t="e">
        <x:f>IF(ISNUMBER(L14),L14,NA())</x:f>
        <x:v>#N/A</x:v>
      </x:c>
      <x:c r="M52" s="30" t="e">
        <x:f>IF(ISNUMBER(M14),M14,NA())</x:f>
        <x:v>#N/A</x:v>
      </x:c>
      <x:c r="N52" s="30" t="e">
        <x:f>IF(ISNUMBER(N14),N14,NA())</x:f>
        <x:v>#N/A</x:v>
      </x:c>
      <x:c r="O52" s="30" t="e">
        <x:f>IF(ISNUMBER(O14),O14,NA())</x:f>
        <x:v>#N/A</x:v>
      </x:c>
      <x:c r="P52" s="30" t="e">
        <x:f>IF(ISNUMBER(P14),P14,NA())</x:f>
        <x:v>#N/A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  <x:c r="CA52" s="1"/>
      <x:c r="CB52" s="1"/>
      <x:c r="CC52" s="1"/>
      <x:c r="CD52" s="1"/>
      <x:c r="CE52" s="1"/>
      <x:c r="CF52" s="1"/>
      <x:c r="CG52" s="1"/>
      <x:c r="CH52" s="1"/>
      <x:c r="CI52" s="1"/>
      <x:c r="CJ52" s="1"/>
      <x:c r="CK52" s="1"/>
      <x:c r="CL52" s="1"/>
      <x:c r="CM52" s="1"/>
      <x:c r="CN52" s="1"/>
      <x:c r="CO52" s="1"/>
      <x:c r="CP52" s="1"/>
      <x:c r="CQ52" s="1"/>
      <x:c r="CR52" s="1"/>
      <x:c r="CS52" s="1"/>
      <x:c r="CT52" s="1"/>
      <x:c r="CU52" s="1"/>
      <x:c r="CV52" s="1"/>
      <x:c r="CW52" s="1"/>
      <x:c r="CX52" s="1"/>
      <x:c r="CY52" s="1"/>
      <x:c r="CZ52" s="1"/>
      <x:c r="DA52" s="1"/>
      <x:c r="DB52" s="1"/>
      <x:c r="DC52" s="1"/>
      <x:c r="DD52" s="1"/>
    </x:row>
    <x:row r="53" ht="23" customHeight="1">
      <x:c r="A53" s="1" t="str">
        <x:f>TEXT(A15,"yyyy/mm")</x:f>
        <x:v>2024/10</x:v>
      </x:c>
      <x:c r="B53" s="30" t="e">
        <x:f>IF(ISNUMBER(B15),B15,NA())</x:f>
        <x:v>#N/A</x:v>
      </x:c>
      <x:c r="C53" s="30" t="e">
        <x:f>IF(ISNUMBER(C15),C15,NA())</x:f>
        <x:v>#N/A</x:v>
      </x:c>
      <x:c r="D53" s="30" t="e">
        <x:f>IF(ISNUMBER(D15),D15,NA())</x:f>
        <x:v>#N/A</x:v>
      </x:c>
      <x:c r="E53" s="30" t="e">
        <x:f>IF(ISNUMBER(E15),E15,NA())</x:f>
        <x:v>#N/A</x:v>
      </x:c>
      <x:c r="F53" s="30" t="e">
        <x:f>IF(ISNUMBER(F15),F15,NA())</x:f>
        <x:v>#N/A</x:v>
      </x:c>
      <x:c r="G53" s="30" t="e">
        <x:f>IF(ISNUMBER(G15),G15,NA())</x:f>
        <x:v>#N/A</x:v>
      </x:c>
      <x:c r="H53" s="30" t="e">
        <x:f>IF(ISNUMBER(H15),H15,NA())</x:f>
        <x:v>#N/A</x:v>
      </x:c>
      <x:c r="I53" s="30" t="e">
        <x:f>IF(ISNUMBER(I15),I15,NA())</x:f>
        <x:v>#N/A</x:v>
      </x:c>
      <x:c r="J53" s="30" t="e">
        <x:f>IF(ISNUMBER(J15),J15,NA())</x:f>
        <x:v>#N/A</x:v>
      </x:c>
      <x:c r="K53" s="30" t="e">
        <x:f>IF(ISNUMBER(K15),K15,NA())</x:f>
        <x:v>#N/A</x:v>
      </x:c>
      <x:c r="L53" s="30" t="e">
        <x:f>IF(ISNUMBER(L15),L15,NA())</x:f>
        <x:v>#N/A</x:v>
      </x:c>
      <x:c r="M53" s="30" t="e">
        <x:f>IF(ISNUMBER(M15),M15,NA())</x:f>
        <x:v>#N/A</x:v>
      </x:c>
      <x:c r="N53" s="30" t="e">
        <x:f>IF(ISNUMBER(N15),N15,NA())</x:f>
        <x:v>#N/A</x:v>
      </x:c>
      <x:c r="O53" s="30" t="e">
        <x:f>IF(ISNUMBER(O15),O15,NA())</x:f>
        <x:v>#N/A</x:v>
      </x:c>
      <x:c r="P53" s="30" t="e">
        <x:f>IF(ISNUMBER(P15),P15,NA())</x:f>
        <x:v>#N/A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  <x:c r="CA53" s="1"/>
      <x:c r="CB53" s="1"/>
      <x:c r="CC53" s="1"/>
      <x:c r="CD53" s="1"/>
      <x:c r="CE53" s="1"/>
      <x:c r="CF53" s="1"/>
      <x:c r="CG53" s="1"/>
      <x:c r="CH53" s="1"/>
      <x:c r="CI53" s="1"/>
      <x:c r="CJ53" s="1"/>
      <x:c r="CK53" s="1"/>
      <x:c r="CL53" s="1"/>
      <x:c r="CM53" s="1"/>
      <x:c r="CN53" s="1"/>
      <x:c r="CO53" s="1"/>
      <x:c r="CP53" s="1"/>
      <x:c r="CQ53" s="1"/>
      <x:c r="CR53" s="1"/>
      <x:c r="CS53" s="1"/>
      <x:c r="CT53" s="1"/>
      <x:c r="CU53" s="1"/>
      <x:c r="CV53" s="1"/>
      <x:c r="CW53" s="1"/>
      <x:c r="CX53" s="1"/>
      <x:c r="CY53" s="1"/>
      <x:c r="CZ53" s="1"/>
      <x:c r="DA53" s="1"/>
      <x:c r="DB53" s="1"/>
      <x:c r="DC53" s="1"/>
      <x:c r="DD53" s="1"/>
    </x:row>
    <x:row r="54" ht="23" customHeight="1">
      <x:c r="A54" s="1" t="str">
        <x:f>TEXT(A16,"yyyy/mm")</x:f>
        <x:v>2024/11</x:v>
      </x:c>
      <x:c r="B54" s="30" t="e">
        <x:f>IF(ISNUMBER(B16),B16,NA())</x:f>
        <x:v>#N/A</x:v>
      </x:c>
      <x:c r="C54" s="30" t="e">
        <x:f>IF(ISNUMBER(C16),C16,NA())</x:f>
        <x:v>#N/A</x:v>
      </x:c>
      <x:c r="D54" s="30" t="e">
        <x:f>IF(ISNUMBER(D16),D16,NA())</x:f>
        <x:v>#N/A</x:v>
      </x:c>
      <x:c r="E54" s="30" t="e">
        <x:f>IF(ISNUMBER(E16),E16,NA())</x:f>
        <x:v>#N/A</x:v>
      </x:c>
      <x:c r="F54" s="30" t="e">
        <x:f>IF(ISNUMBER(F16),F16,NA())</x:f>
        <x:v>#N/A</x:v>
      </x:c>
      <x:c r="G54" s="30" t="e">
        <x:f>IF(ISNUMBER(G16),G16,NA())</x:f>
        <x:v>#N/A</x:v>
      </x:c>
      <x:c r="H54" s="30" t="e">
        <x:f>IF(ISNUMBER(H16),H16,NA())</x:f>
        <x:v>#N/A</x:v>
      </x:c>
      <x:c r="I54" s="30" t="e">
        <x:f>IF(ISNUMBER(I16),I16,NA())</x:f>
        <x:v>#N/A</x:v>
      </x:c>
      <x:c r="J54" s="30" t="e">
        <x:f>IF(ISNUMBER(J16),J16,NA())</x:f>
        <x:v>#N/A</x:v>
      </x:c>
      <x:c r="K54" s="30" t="e">
        <x:f>IF(ISNUMBER(K16),K16,NA())</x:f>
        <x:v>#N/A</x:v>
      </x:c>
      <x:c r="L54" s="30" t="e">
        <x:f>IF(ISNUMBER(L16),L16,NA())</x:f>
        <x:v>#N/A</x:v>
      </x:c>
      <x:c r="M54" s="30" t="e">
        <x:f>IF(ISNUMBER(M16),M16,NA())</x:f>
        <x:v>#N/A</x:v>
      </x:c>
      <x:c r="N54" s="30" t="e">
        <x:f>IF(ISNUMBER(N16),N16,NA())</x:f>
        <x:v>#N/A</x:v>
      </x:c>
      <x:c r="O54" s="30" t="e">
        <x:f>IF(ISNUMBER(O16),O16,NA())</x:f>
        <x:v>#N/A</x:v>
      </x:c>
      <x:c r="P54" s="30" t="e">
        <x:f>IF(ISNUMBER(P16),P16,NA())</x:f>
        <x:v>#N/A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  <x:c r="CA54" s="1"/>
      <x:c r="CB54" s="1"/>
      <x:c r="CC54" s="1"/>
      <x:c r="CD54" s="1"/>
      <x:c r="CE54" s="1"/>
      <x:c r="CF54" s="1"/>
      <x:c r="CG54" s="1"/>
      <x:c r="CH54" s="1"/>
      <x:c r="CI54" s="1"/>
      <x:c r="CJ54" s="1"/>
      <x:c r="CK54" s="1"/>
      <x:c r="CL54" s="1"/>
      <x:c r="CM54" s="1"/>
      <x:c r="CN54" s="1"/>
      <x:c r="CO54" s="1"/>
      <x:c r="CP54" s="1"/>
      <x:c r="CQ54" s="1"/>
      <x:c r="CR54" s="1"/>
      <x:c r="CS54" s="1"/>
      <x:c r="CT54" s="1"/>
      <x:c r="CU54" s="1"/>
      <x:c r="CV54" s="1"/>
      <x:c r="CW54" s="1"/>
      <x:c r="CX54" s="1"/>
      <x:c r="CY54" s="1"/>
      <x:c r="CZ54" s="1"/>
      <x:c r="DA54" s="1"/>
      <x:c r="DB54" s="1"/>
      <x:c r="DC54" s="1"/>
      <x:c r="DD54" s="1"/>
    </x:row>
    <x:row r="55" ht="23" customHeight="1">
      <x:c r="A55" s="1" t="str">
        <x:f>TEXT(A17,"yyyy/mm")</x:f>
        <x:v>2024/12</x:v>
      </x:c>
      <x:c r="B55" s="30" t="e">
        <x:f>IF(ISNUMBER(B17),B17,NA())</x:f>
        <x:v>#N/A</x:v>
      </x:c>
      <x:c r="C55" s="30" t="e">
        <x:f>IF(ISNUMBER(C17),C17,NA())</x:f>
        <x:v>#N/A</x:v>
      </x:c>
      <x:c r="D55" s="30" t="e">
        <x:f>IF(ISNUMBER(D17),D17,NA())</x:f>
        <x:v>#N/A</x:v>
      </x:c>
      <x:c r="E55" s="30" t="e">
        <x:f>IF(ISNUMBER(E17),E17,NA())</x:f>
        <x:v>#N/A</x:v>
      </x:c>
      <x:c r="F55" s="30" t="e">
        <x:f>IF(ISNUMBER(F17),F17,NA())</x:f>
        <x:v>#N/A</x:v>
      </x:c>
      <x:c r="G55" s="30" t="e">
        <x:f>IF(ISNUMBER(G17),G17,NA())</x:f>
        <x:v>#N/A</x:v>
      </x:c>
      <x:c r="H55" s="30" t="e">
        <x:f>IF(ISNUMBER(H17),H17,NA())</x:f>
        <x:v>#N/A</x:v>
      </x:c>
      <x:c r="I55" s="30" t="e">
        <x:f>IF(ISNUMBER(I17),I17,NA())</x:f>
        <x:v>#N/A</x:v>
      </x:c>
      <x:c r="J55" s="30" t="e">
        <x:f>IF(ISNUMBER(J17),J17,NA())</x:f>
        <x:v>#N/A</x:v>
      </x:c>
      <x:c r="K55" s="30" t="e">
        <x:f>IF(ISNUMBER(K17),K17,NA())</x:f>
        <x:v>#N/A</x:v>
      </x:c>
      <x:c r="L55" s="30" t="e">
        <x:f>IF(ISNUMBER(L17),L17,NA())</x:f>
        <x:v>#N/A</x:v>
      </x:c>
      <x:c r="M55" s="30" t="e">
        <x:f>IF(ISNUMBER(M17),M17,NA())</x:f>
        <x:v>#N/A</x:v>
      </x:c>
      <x:c r="N55" s="30" t="e">
        <x:f>IF(ISNUMBER(N17),N17,NA())</x:f>
        <x:v>#N/A</x:v>
      </x:c>
      <x:c r="O55" s="30" t="e">
        <x:f>IF(ISNUMBER(O17),O17,NA())</x:f>
        <x:v>#N/A</x:v>
      </x:c>
      <x:c r="P55" s="30" t="e">
        <x:f>IF(ISNUMBER(P17),P17,NA())</x:f>
        <x:v>#N/A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  <x:c r="CA55" s="1"/>
      <x:c r="CB55" s="1"/>
      <x:c r="CC55" s="1"/>
      <x:c r="CD55" s="1"/>
      <x:c r="CE55" s="1"/>
      <x:c r="CF55" s="1"/>
      <x:c r="CG55" s="1"/>
      <x:c r="CH55" s="1"/>
      <x:c r="CI55" s="1"/>
      <x:c r="CJ55" s="1"/>
      <x:c r="CK55" s="1"/>
      <x:c r="CL55" s="1"/>
      <x:c r="CM55" s="1"/>
      <x:c r="CN55" s="1"/>
      <x:c r="CO55" s="1"/>
      <x:c r="CP55" s="1"/>
      <x:c r="CQ55" s="1"/>
      <x:c r="CR55" s="1"/>
      <x:c r="CS55" s="1"/>
      <x:c r="CT55" s="1"/>
      <x:c r="CU55" s="1"/>
      <x:c r="CV55" s="1"/>
      <x:c r="CW55" s="1"/>
      <x:c r="CX55" s="1"/>
      <x:c r="CY55" s="1"/>
      <x:c r="CZ55" s="1"/>
      <x:c r="DA55" s="1"/>
      <x:c r="DB55" s="1"/>
      <x:c r="DC55" s="1"/>
      <x:c r="DD55" s="1"/>
    </x:row>
    <x:row r="56" ht="23" customHeight="1">
      <x:c r="A56" s="1" t="str">
        <x:f>TEXT(A18,"yyyy/mm")</x:f>
        <x:v>2025/01</x:v>
      </x:c>
      <x:c r="B56" s="30" t="e">
        <x:f>IF(ISNUMBER(B18),B18,NA())</x:f>
        <x:v>#N/A</x:v>
      </x:c>
      <x:c r="C56" s="30" t="e">
        <x:f>IF(ISNUMBER(C18),C18,NA())</x:f>
        <x:v>#N/A</x:v>
      </x:c>
      <x:c r="D56" s="30" t="e">
        <x:f>IF(ISNUMBER(D18),D18,NA())</x:f>
        <x:v>#N/A</x:v>
      </x:c>
      <x:c r="E56" s="30" t="e">
        <x:f>IF(ISNUMBER(E18),E18,NA())</x:f>
        <x:v>#N/A</x:v>
      </x:c>
      <x:c r="F56" s="30" t="e">
        <x:f>IF(ISNUMBER(F18),F18,NA())</x:f>
        <x:v>#N/A</x:v>
      </x:c>
      <x:c r="G56" s="30" t="e">
        <x:f>IF(ISNUMBER(G18),G18,NA())</x:f>
        <x:v>#N/A</x:v>
      </x:c>
      <x:c r="H56" s="30" t="e">
        <x:f>IF(ISNUMBER(H18),H18,NA())</x:f>
        <x:v>#N/A</x:v>
      </x:c>
      <x:c r="I56" s="30" t="e">
        <x:f>IF(ISNUMBER(I18),I18,NA())</x:f>
        <x:v>#N/A</x:v>
      </x:c>
      <x:c r="J56" s="30" t="e">
        <x:f>IF(ISNUMBER(J18),J18,NA())</x:f>
        <x:v>#N/A</x:v>
      </x:c>
      <x:c r="K56" s="30" t="e">
        <x:f>IF(ISNUMBER(K18),K18,NA())</x:f>
        <x:v>#N/A</x:v>
      </x:c>
      <x:c r="L56" s="30" t="e">
        <x:f>IF(ISNUMBER(L18),L18,NA())</x:f>
        <x:v>#N/A</x:v>
      </x:c>
      <x:c r="M56" s="30" t="e">
        <x:f>IF(ISNUMBER(M18),M18,NA())</x:f>
        <x:v>#N/A</x:v>
      </x:c>
      <x:c r="N56" s="30" t="e">
        <x:f>IF(ISNUMBER(N18),N18,NA())</x:f>
        <x:v>#N/A</x:v>
      </x:c>
      <x:c r="O56" s="30" t="e">
        <x:f>IF(ISNUMBER(O18),O18,NA())</x:f>
        <x:v>#N/A</x:v>
      </x:c>
      <x:c r="P56" s="30" t="e">
        <x:f>IF(ISNUMBER(P18),P18,NA())</x:f>
        <x:v>#N/A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  <x:c r="CA56" s="1"/>
      <x:c r="CB56" s="1"/>
      <x:c r="CC56" s="1"/>
      <x:c r="CD56" s="1"/>
      <x:c r="CE56" s="1"/>
      <x:c r="CF56" s="1"/>
      <x:c r="CG56" s="1"/>
      <x:c r="CH56" s="1"/>
      <x:c r="CI56" s="1"/>
      <x:c r="CJ56" s="1"/>
      <x:c r="CK56" s="1"/>
      <x:c r="CL56" s="1"/>
      <x:c r="CM56" s="1"/>
      <x:c r="CN56" s="1"/>
      <x:c r="CO56" s="1"/>
      <x:c r="CP56" s="1"/>
      <x:c r="CQ56" s="1"/>
      <x:c r="CR56" s="1"/>
      <x:c r="CS56" s="1"/>
      <x:c r="CT56" s="1"/>
      <x:c r="CU56" s="1"/>
      <x:c r="CV56" s="1"/>
      <x:c r="CW56" s="1"/>
      <x:c r="CX56" s="1"/>
      <x:c r="CY56" s="1"/>
      <x:c r="CZ56" s="1"/>
      <x:c r="DA56" s="1"/>
      <x:c r="DB56" s="1"/>
      <x:c r="DC56" s="1"/>
      <x:c r="DD56" s="1"/>
    </x:row>
    <x:row r="57" ht="23" customHeight="1">
      <x:c r="A57" s="1" t="str">
        <x:f>TEXT(A19,"yyyy/mm")</x:f>
        <x:v>2025/02</x:v>
      </x:c>
      <x:c r="B57" s="30" t="e">
        <x:f>IF(ISNUMBER(B19),B19,NA())</x:f>
        <x:v>#N/A</x:v>
      </x:c>
      <x:c r="C57" s="30" t="e">
        <x:f>IF(ISNUMBER(C19),C19,NA())</x:f>
        <x:v>#N/A</x:v>
      </x:c>
      <x:c r="D57" s="30" t="e">
        <x:f>IF(ISNUMBER(D19),D19,NA())</x:f>
        <x:v>#N/A</x:v>
      </x:c>
      <x:c r="E57" s="30" t="e">
        <x:f>IF(ISNUMBER(E19),E19,NA())</x:f>
        <x:v>#N/A</x:v>
      </x:c>
      <x:c r="F57" s="30" t="e">
        <x:f>IF(ISNUMBER(F19),F19,NA())</x:f>
        <x:v>#N/A</x:v>
      </x:c>
      <x:c r="G57" s="30" t="e">
        <x:f>IF(ISNUMBER(G19),G19,NA())</x:f>
        <x:v>#N/A</x:v>
      </x:c>
      <x:c r="H57" s="30" t="e">
        <x:f>IF(ISNUMBER(H19),H19,NA())</x:f>
        <x:v>#N/A</x:v>
      </x:c>
      <x:c r="I57" s="30" t="e">
        <x:f>IF(ISNUMBER(I19),I19,NA())</x:f>
        <x:v>#N/A</x:v>
      </x:c>
      <x:c r="J57" s="30" t="e">
        <x:f>IF(ISNUMBER(J19),J19,NA())</x:f>
        <x:v>#N/A</x:v>
      </x:c>
      <x:c r="K57" s="30" t="e">
        <x:f>IF(ISNUMBER(K19),K19,NA())</x:f>
        <x:v>#N/A</x:v>
      </x:c>
      <x:c r="L57" s="30" t="e">
        <x:f>IF(ISNUMBER(L19),L19,NA())</x:f>
        <x:v>#N/A</x:v>
      </x:c>
      <x:c r="M57" s="30" t="e">
        <x:f>IF(ISNUMBER(M19),M19,NA())</x:f>
        <x:v>#N/A</x:v>
      </x:c>
      <x:c r="N57" s="30" t="e">
        <x:f>IF(ISNUMBER(N19),N19,NA())</x:f>
        <x:v>#N/A</x:v>
      </x:c>
      <x:c r="O57" s="30" t="e">
        <x:f>IF(ISNUMBER(O19),O19,NA())</x:f>
        <x:v>#N/A</x:v>
      </x:c>
      <x:c r="P57" s="30" t="e">
        <x:f>IF(ISNUMBER(P19),P19,NA())</x:f>
        <x:v>#N/A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  <x:c r="CA57" s="1"/>
      <x:c r="CB57" s="1"/>
      <x:c r="CC57" s="1"/>
      <x:c r="CD57" s="1"/>
      <x:c r="CE57" s="1"/>
      <x:c r="CF57" s="1"/>
      <x:c r="CG57" s="1"/>
      <x:c r="CH57" s="1"/>
      <x:c r="CI57" s="1"/>
      <x:c r="CJ57" s="1"/>
      <x:c r="CK57" s="1"/>
      <x:c r="CL57" s="1"/>
      <x:c r="CM57" s="1"/>
      <x:c r="CN57" s="1"/>
      <x:c r="CO57" s="1"/>
      <x:c r="CP57" s="1"/>
      <x:c r="CQ57" s="1"/>
      <x:c r="CR57" s="1"/>
      <x:c r="CS57" s="1"/>
      <x:c r="CT57" s="1"/>
      <x:c r="CU57" s="1"/>
      <x:c r="CV57" s="1"/>
      <x:c r="CW57" s="1"/>
      <x:c r="CX57" s="1"/>
      <x:c r="CY57" s="1"/>
      <x:c r="CZ57" s="1"/>
      <x:c r="DA57" s="1"/>
      <x:c r="DB57" s="1"/>
      <x:c r="DC57" s="1"/>
      <x:c r="DD57" s="1"/>
    </x:row>
    <x:row r="58" ht="23" customHeight="1">
      <x:c r="A58" s="1" t="str">
        <x:f>TEXT(A20,"yyyy/mm")</x:f>
        <x:v>2025/03</x:v>
      </x:c>
      <x:c r="B58" s="30" t="e">
        <x:f>IF(ISNUMBER(B20),B20,NA())</x:f>
        <x:v>#N/A</x:v>
      </x:c>
      <x:c r="C58" s="30" t="e">
        <x:f>IF(ISNUMBER(C20),C20,NA())</x:f>
        <x:v>#N/A</x:v>
      </x:c>
      <x:c r="D58" s="30" t="e">
        <x:f>IF(ISNUMBER(D20),D20,NA())</x:f>
        <x:v>#N/A</x:v>
      </x:c>
      <x:c r="E58" s="30" t="e">
        <x:f>IF(ISNUMBER(E20),E20,NA())</x:f>
        <x:v>#N/A</x:v>
      </x:c>
      <x:c r="F58" s="30" t="e">
        <x:f>IF(ISNUMBER(F20),F20,NA())</x:f>
        <x:v>#N/A</x:v>
      </x:c>
      <x:c r="G58" s="30" t="e">
        <x:f>IF(ISNUMBER(G20),G20,NA())</x:f>
        <x:v>#N/A</x:v>
      </x:c>
      <x:c r="H58" s="30" t="e">
        <x:f>IF(ISNUMBER(H20),H20,NA())</x:f>
        <x:v>#N/A</x:v>
      </x:c>
      <x:c r="I58" s="30" t="e">
        <x:f>IF(ISNUMBER(I20),I20,NA())</x:f>
        <x:v>#N/A</x:v>
      </x:c>
      <x:c r="J58" s="30" t="e">
        <x:f>IF(ISNUMBER(J20),J20,NA())</x:f>
        <x:v>#N/A</x:v>
      </x:c>
      <x:c r="K58" s="30" t="e">
        <x:f>IF(ISNUMBER(K20),K20,NA())</x:f>
        <x:v>#N/A</x:v>
      </x:c>
      <x:c r="L58" s="30" t="e">
        <x:f>IF(ISNUMBER(L20),L20,NA())</x:f>
        <x:v>#N/A</x:v>
      </x:c>
      <x:c r="M58" s="30" t="e">
        <x:f>IF(ISNUMBER(M20),M20,NA())</x:f>
        <x:v>#N/A</x:v>
      </x:c>
      <x:c r="N58" s="30" t="e">
        <x:f>IF(ISNUMBER(N20),N20,NA())</x:f>
        <x:v>#N/A</x:v>
      </x:c>
      <x:c r="O58" s="30" t="e">
        <x:f>IF(ISNUMBER(O20),O20,NA())</x:f>
        <x:v>#N/A</x:v>
      </x:c>
      <x:c r="P58" s="30" t="e">
        <x:f>IF(ISNUMBER(P20),P20,NA())</x:f>
        <x:v>#N/A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  <x:c r="CA58" s="1"/>
      <x:c r="CB58" s="1"/>
      <x:c r="CC58" s="1"/>
      <x:c r="CD58" s="1"/>
      <x:c r="CE58" s="1"/>
      <x:c r="CF58" s="1"/>
      <x:c r="CG58" s="1"/>
      <x:c r="CH58" s="1"/>
      <x:c r="CI58" s="1"/>
      <x:c r="CJ58" s="1"/>
      <x:c r="CK58" s="1"/>
      <x:c r="CL58" s="1"/>
      <x:c r="CM58" s="1"/>
      <x:c r="CN58" s="1"/>
      <x:c r="CO58" s="1"/>
      <x:c r="CP58" s="1"/>
      <x:c r="CQ58" s="1"/>
      <x:c r="CR58" s="1"/>
      <x:c r="CS58" s="1"/>
      <x:c r="CT58" s="1"/>
      <x:c r="CU58" s="1"/>
      <x:c r="CV58" s="1"/>
      <x:c r="CW58" s="1"/>
      <x:c r="CX58" s="1"/>
      <x:c r="CY58" s="1"/>
      <x:c r="CZ58" s="1"/>
      <x:c r="DA58" s="1"/>
      <x:c r="DB58" s="1"/>
      <x:c r="DC58" s="1"/>
      <x:c r="DD58" s="1"/>
    </x:row>
    <x:row r="59" ht="23" customHeight="1">
      <x:c r="A59" s="1" t="str">
        <x:f>TEXT(A21,"yyyy/mm")</x:f>
        <x:v>2025/04</x:v>
      </x:c>
      <x:c r="B59" s="30" t="e">
        <x:f>IF(ISNUMBER(B21),B21,NA())</x:f>
        <x:v>#N/A</x:v>
      </x:c>
      <x:c r="C59" s="30" t="e">
        <x:f>IF(ISNUMBER(C21),C21,NA())</x:f>
        <x:v>#N/A</x:v>
      </x:c>
      <x:c r="D59" s="30" t="e">
        <x:f>IF(ISNUMBER(D21),D21,NA())</x:f>
        <x:v>#N/A</x:v>
      </x:c>
      <x:c r="E59" s="30" t="e">
        <x:f>IF(ISNUMBER(E21),E21,NA())</x:f>
        <x:v>#N/A</x:v>
      </x:c>
      <x:c r="F59" s="30" t="e">
        <x:f>IF(ISNUMBER(F21),F21,NA())</x:f>
        <x:v>#N/A</x:v>
      </x:c>
      <x:c r="G59" s="30" t="e">
        <x:f>IF(ISNUMBER(G21),G21,NA())</x:f>
        <x:v>#N/A</x:v>
      </x:c>
      <x:c r="H59" s="30" t="e">
        <x:f>IF(ISNUMBER(H21),H21,NA())</x:f>
        <x:v>#N/A</x:v>
      </x:c>
      <x:c r="I59" s="30" t="e">
        <x:f>IF(ISNUMBER(I21),I21,NA())</x:f>
        <x:v>#N/A</x:v>
      </x:c>
      <x:c r="J59" s="30" t="e">
        <x:f>IF(ISNUMBER(J21),J21,NA())</x:f>
        <x:v>#N/A</x:v>
      </x:c>
      <x:c r="K59" s="30" t="e">
        <x:f>IF(ISNUMBER(K21),K21,NA())</x:f>
        <x:v>#N/A</x:v>
      </x:c>
      <x:c r="L59" s="30" t="e">
        <x:f>IF(ISNUMBER(L21),L21,NA())</x:f>
        <x:v>#N/A</x:v>
      </x:c>
      <x:c r="M59" s="30" t="e">
        <x:f>IF(ISNUMBER(M21),M21,NA())</x:f>
        <x:v>#N/A</x:v>
      </x:c>
      <x:c r="N59" s="30" t="e">
        <x:f>IF(ISNUMBER(N21),N21,NA())</x:f>
        <x:v>#N/A</x:v>
      </x:c>
      <x:c r="O59" s="30" t="e">
        <x:f>IF(ISNUMBER(O21),O21,NA())</x:f>
        <x:v>#N/A</x:v>
      </x:c>
      <x:c r="P59" s="30" t="e">
        <x:f>IF(ISNUMBER(P21),P21,NA())</x:f>
        <x:v>#N/A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  <x:c r="CA59" s="1"/>
      <x:c r="CB59" s="1"/>
      <x:c r="CC59" s="1"/>
      <x:c r="CD59" s="1"/>
      <x:c r="CE59" s="1"/>
      <x:c r="CF59" s="1"/>
      <x:c r="CG59" s="1"/>
      <x:c r="CH59" s="1"/>
      <x:c r="CI59" s="1"/>
      <x:c r="CJ59" s="1"/>
      <x:c r="CK59" s="1"/>
      <x:c r="CL59" s="1"/>
      <x:c r="CM59" s="1"/>
      <x:c r="CN59" s="1"/>
      <x:c r="CO59" s="1"/>
      <x:c r="CP59" s="1"/>
      <x:c r="CQ59" s="1"/>
      <x:c r="CR59" s="1"/>
      <x:c r="CS59" s="1"/>
      <x:c r="CT59" s="1"/>
      <x:c r="CU59" s="1"/>
      <x:c r="CV59" s="1"/>
      <x:c r="CW59" s="1"/>
      <x:c r="CX59" s="1"/>
      <x:c r="CY59" s="1"/>
      <x:c r="CZ59" s="1"/>
      <x:c r="DA59" s="1"/>
      <x:c r="DB59" s="1"/>
      <x:c r="DC59" s="1"/>
      <x:c r="DD59" s="1"/>
    </x:row>
    <x:row r="60" ht="23" customHeight="1">
      <x:c r="A60" s="1" t="str">
        <x:f>TEXT(A22,"yyyy/mm")</x:f>
        <x:v>2025/05</x:v>
      </x:c>
      <x:c r="B60" s="30" t="e">
        <x:f>IF(ISNUMBER(B22),B22,NA())</x:f>
        <x:v>#N/A</x:v>
      </x:c>
      <x:c r="C60" s="30" t="e">
        <x:f>IF(ISNUMBER(C22),C22,NA())</x:f>
        <x:v>#N/A</x:v>
      </x:c>
      <x:c r="D60" s="30" t="e">
        <x:f>IF(ISNUMBER(D22),D22,NA())</x:f>
        <x:v>#N/A</x:v>
      </x:c>
      <x:c r="E60" s="30" t="e">
        <x:f>IF(ISNUMBER(E22),E22,NA())</x:f>
        <x:v>#N/A</x:v>
      </x:c>
      <x:c r="F60" s="30" t="e">
        <x:f>IF(ISNUMBER(F22),F22,NA())</x:f>
        <x:v>#N/A</x:v>
      </x:c>
      <x:c r="G60" s="30" t="e">
        <x:f>IF(ISNUMBER(G22),G22,NA())</x:f>
        <x:v>#N/A</x:v>
      </x:c>
      <x:c r="H60" s="30" t="e">
        <x:f>IF(ISNUMBER(H22),H22,NA())</x:f>
        <x:v>#N/A</x:v>
      </x:c>
      <x:c r="I60" s="30" t="e">
        <x:f>IF(ISNUMBER(I22),I22,NA())</x:f>
        <x:v>#N/A</x:v>
      </x:c>
      <x:c r="J60" s="30" t="e">
        <x:f>IF(ISNUMBER(J22),J22,NA())</x:f>
        <x:v>#N/A</x:v>
      </x:c>
      <x:c r="K60" s="30" t="e">
        <x:f>IF(ISNUMBER(K22),K22,NA())</x:f>
        <x:v>#N/A</x:v>
      </x:c>
      <x:c r="L60" s="30" t="e">
        <x:f>IF(ISNUMBER(L22),L22,NA())</x:f>
        <x:v>#N/A</x:v>
      </x:c>
      <x:c r="M60" s="30" t="e">
        <x:f>IF(ISNUMBER(M22),M22,NA())</x:f>
        <x:v>#N/A</x:v>
      </x:c>
      <x:c r="N60" s="30" t="e">
        <x:f>IF(ISNUMBER(N22),N22,NA())</x:f>
        <x:v>#N/A</x:v>
      </x:c>
      <x:c r="O60" s="30" t="e">
        <x:f>IF(ISNUMBER(O22),O22,NA())</x:f>
        <x:v>#N/A</x:v>
      </x:c>
      <x:c r="P60" s="30" t="e">
        <x:f>IF(ISNUMBER(P22),P22,NA())</x:f>
        <x:v>#N/A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  <x:c r="CA60" s="1"/>
      <x:c r="CB60" s="1"/>
      <x:c r="CC60" s="1"/>
      <x:c r="CD60" s="1"/>
      <x:c r="CE60" s="1"/>
      <x:c r="CF60" s="1"/>
      <x:c r="CG60" s="1"/>
      <x:c r="CH60" s="1"/>
      <x:c r="CI60" s="1"/>
      <x:c r="CJ60" s="1"/>
      <x:c r="CK60" s="1"/>
      <x:c r="CL60" s="1"/>
      <x:c r="CM60" s="1"/>
      <x:c r="CN60" s="1"/>
      <x:c r="CO60" s="1"/>
      <x:c r="CP60" s="1"/>
      <x:c r="CQ60" s="1"/>
      <x:c r="CR60" s="1"/>
      <x:c r="CS60" s="1"/>
      <x:c r="CT60" s="1"/>
      <x:c r="CU60" s="1"/>
      <x:c r="CV60" s="1"/>
      <x:c r="CW60" s="1"/>
      <x:c r="CX60" s="1"/>
      <x:c r="CY60" s="1"/>
      <x:c r="CZ60" s="1"/>
      <x:c r="DA60" s="1"/>
      <x:c r="DB60" s="1"/>
      <x:c r="DC60" s="1"/>
      <x:c r="DD60" s="1"/>
    </x:row>
    <x:row r="61" ht="23" customHeight="1">
      <x:c r="A61" s="1" t="str">
        <x:f>TEXT(A23,"yyyy/mm")</x:f>
        <x:v>2025/06</x:v>
      </x:c>
      <x:c r="B61" s="30" t="e">
        <x:f>IF(ISNUMBER(B23),B23,NA())</x:f>
        <x:v>#N/A</x:v>
      </x:c>
      <x:c r="C61" s="30" t="e">
        <x:f>IF(ISNUMBER(C23),C23,NA())</x:f>
        <x:v>#N/A</x:v>
      </x:c>
      <x:c r="D61" s="30" t="e">
        <x:f>IF(ISNUMBER(D23),D23,NA())</x:f>
        <x:v>#N/A</x:v>
      </x:c>
      <x:c r="E61" s="30" t="e">
        <x:f>IF(ISNUMBER(E23),E23,NA())</x:f>
        <x:v>#N/A</x:v>
      </x:c>
      <x:c r="F61" s="30" t="e">
        <x:f>IF(ISNUMBER(F23),F23,NA())</x:f>
        <x:v>#N/A</x:v>
      </x:c>
      <x:c r="G61" s="30" t="e">
        <x:f>IF(ISNUMBER(G23),G23,NA())</x:f>
        <x:v>#N/A</x:v>
      </x:c>
      <x:c r="H61" s="30" t="e">
        <x:f>IF(ISNUMBER(H23),H23,NA())</x:f>
        <x:v>#N/A</x:v>
      </x:c>
      <x:c r="I61" s="30" t="e">
        <x:f>IF(ISNUMBER(I23),I23,NA())</x:f>
        <x:v>#N/A</x:v>
      </x:c>
      <x:c r="J61" s="30" t="e">
        <x:f>IF(ISNUMBER(J23),J23,NA())</x:f>
        <x:v>#N/A</x:v>
      </x:c>
      <x:c r="K61" s="30" t="e">
        <x:f>IF(ISNUMBER(K23),K23,NA())</x:f>
        <x:v>#N/A</x:v>
      </x:c>
      <x:c r="L61" s="30" t="e">
        <x:f>IF(ISNUMBER(L23),L23,NA())</x:f>
        <x:v>#N/A</x:v>
      </x:c>
      <x:c r="M61" s="30" t="e">
        <x:f>IF(ISNUMBER(M23),M23,NA())</x:f>
        <x:v>#N/A</x:v>
      </x:c>
      <x:c r="N61" s="30" t="e">
        <x:f>IF(ISNUMBER(N23),N23,NA())</x:f>
        <x:v>#N/A</x:v>
      </x:c>
      <x:c r="O61" s="30" t="e">
        <x:f>IF(ISNUMBER(O23),O23,NA())</x:f>
        <x:v>#N/A</x:v>
      </x:c>
      <x:c r="P61" s="30" t="e">
        <x:f>IF(ISNUMBER(P23),P23,NA())</x:f>
        <x:v>#N/A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  <x:c r="CA61" s="1"/>
      <x:c r="CB61" s="1"/>
      <x:c r="CC61" s="1"/>
      <x:c r="CD61" s="1"/>
      <x:c r="CE61" s="1"/>
      <x:c r="CF61" s="1"/>
      <x:c r="CG61" s="1"/>
      <x:c r="CH61" s="1"/>
      <x:c r="CI61" s="1"/>
      <x:c r="CJ61" s="1"/>
      <x:c r="CK61" s="1"/>
      <x:c r="CL61" s="1"/>
      <x:c r="CM61" s="1"/>
      <x:c r="CN61" s="1"/>
      <x:c r="CO61" s="1"/>
      <x:c r="CP61" s="1"/>
      <x:c r="CQ61" s="1"/>
      <x:c r="CR61" s="1"/>
      <x:c r="CS61" s="1"/>
      <x:c r="CT61" s="1"/>
      <x:c r="CU61" s="1"/>
      <x:c r="CV61" s="1"/>
      <x:c r="CW61" s="1"/>
      <x:c r="CX61" s="1"/>
      <x:c r="CY61" s="1"/>
      <x:c r="CZ61" s="1"/>
      <x:c r="DA61" s="1"/>
      <x:c r="DB61" s="1"/>
      <x:c r="DC61" s="1"/>
      <x:c r="DD61" s="1"/>
    </x:row>
    <x:row r="62" ht="23" customHeight="1">
      <x:c r="A62" s="1" t="str">
        <x:f>TEXT(A24,"yyyy/mm")</x:f>
        <x:v>2025/07</x:v>
      </x:c>
      <x:c r="B62" s="30" t="e">
        <x:f>IF(ISNUMBER(B24),B24,NA())</x:f>
        <x:v>#N/A</x:v>
      </x:c>
      <x:c r="C62" s="30" t="e">
        <x:f>IF(ISNUMBER(C24),C24,NA())</x:f>
        <x:v>#N/A</x:v>
      </x:c>
      <x:c r="D62" s="30" t="e">
        <x:f>IF(ISNUMBER(D24),D24,NA())</x:f>
        <x:v>#N/A</x:v>
      </x:c>
      <x:c r="E62" s="30" t="e">
        <x:f>IF(ISNUMBER(E24),E24,NA())</x:f>
        <x:v>#N/A</x:v>
      </x:c>
      <x:c r="F62" s="30" t="e">
        <x:f>IF(ISNUMBER(F24),F24,NA())</x:f>
        <x:v>#N/A</x:v>
      </x:c>
      <x:c r="G62" s="30" t="e">
        <x:f>IF(ISNUMBER(G24),G24,NA())</x:f>
        <x:v>#N/A</x:v>
      </x:c>
      <x:c r="H62" s="30" t="e">
        <x:f>IF(ISNUMBER(H24),H24,NA())</x:f>
        <x:v>#N/A</x:v>
      </x:c>
      <x:c r="I62" s="30" t="e">
        <x:f>IF(ISNUMBER(I24),I24,NA())</x:f>
        <x:v>#N/A</x:v>
      </x:c>
      <x:c r="J62" s="30" t="e">
        <x:f>IF(ISNUMBER(J24),J24,NA())</x:f>
        <x:v>#N/A</x:v>
      </x:c>
      <x:c r="K62" s="30" t="e">
        <x:f>IF(ISNUMBER(K24),K24,NA())</x:f>
        <x:v>#N/A</x:v>
      </x:c>
      <x:c r="L62" s="30" t="e">
        <x:f>IF(ISNUMBER(L24),L24,NA())</x:f>
        <x:v>#N/A</x:v>
      </x:c>
      <x:c r="M62" s="30" t="e">
        <x:f>IF(ISNUMBER(M24),M24,NA())</x:f>
        <x:v>#N/A</x:v>
      </x:c>
      <x:c r="N62" s="30" t="e">
        <x:f>IF(ISNUMBER(N24),N24,NA())</x:f>
        <x:v>#N/A</x:v>
      </x:c>
      <x:c r="O62" s="30" t="e">
        <x:f>IF(ISNUMBER(O24),O24,NA())</x:f>
        <x:v>#N/A</x:v>
      </x:c>
      <x:c r="P62" s="30" t="e">
        <x:f>IF(ISNUMBER(P24),P24,NA())</x:f>
        <x:v>#N/A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  <x:c r="CA62" s="1"/>
      <x:c r="CB62" s="1"/>
      <x:c r="CC62" s="1"/>
      <x:c r="CD62" s="1"/>
      <x:c r="CE62" s="1"/>
      <x:c r="CF62" s="1"/>
      <x:c r="CG62" s="1"/>
      <x:c r="CH62" s="1"/>
      <x:c r="CI62" s="1"/>
      <x:c r="CJ62" s="1"/>
      <x:c r="CK62" s="1"/>
      <x:c r="CL62" s="1"/>
      <x:c r="CM62" s="1"/>
      <x:c r="CN62" s="1"/>
      <x:c r="CO62" s="1"/>
      <x:c r="CP62" s="1"/>
      <x:c r="CQ62" s="1"/>
      <x:c r="CR62" s="1"/>
      <x:c r="CS62" s="1"/>
      <x:c r="CT62" s="1"/>
      <x:c r="CU62" s="1"/>
      <x:c r="CV62" s="1"/>
      <x:c r="CW62" s="1"/>
      <x:c r="CX62" s="1"/>
      <x:c r="CY62" s="1"/>
      <x:c r="CZ62" s="1"/>
      <x:c r="DA62" s="1"/>
      <x:c r="DB62" s="1"/>
      <x:c r="DC62" s="1"/>
      <x:c r="DD62" s="1"/>
    </x:row>
    <x:row r="63" ht="23" customHeight="1">
      <x:c r="A63" s="1" t="str">
        <x:f>TEXT(A25,"yyyy/mm")</x:f>
        <x:v>2025/08</x:v>
      </x:c>
      <x:c r="B63" s="30" t="e">
        <x:f>IF(ISNUMBER(B25),B25,NA())</x:f>
        <x:v>#N/A</x:v>
      </x:c>
      <x:c r="C63" s="30" t="e">
        <x:f>IF(ISNUMBER(C25),C25,NA())</x:f>
        <x:v>#N/A</x:v>
      </x:c>
      <x:c r="D63" s="30" t="e">
        <x:f>IF(ISNUMBER(D25),D25,NA())</x:f>
        <x:v>#N/A</x:v>
      </x:c>
      <x:c r="E63" s="30" t="e">
        <x:f>IF(ISNUMBER(E25),E25,NA())</x:f>
        <x:v>#N/A</x:v>
      </x:c>
      <x:c r="F63" s="30" t="e">
        <x:f>IF(ISNUMBER(F25),F25,NA())</x:f>
        <x:v>#N/A</x:v>
      </x:c>
      <x:c r="G63" s="30" t="e">
        <x:f>IF(ISNUMBER(G25),G25,NA())</x:f>
        <x:v>#N/A</x:v>
      </x:c>
      <x:c r="H63" s="30" t="e">
        <x:f>IF(ISNUMBER(H25),H25,NA())</x:f>
        <x:v>#N/A</x:v>
      </x:c>
      <x:c r="I63" s="30" t="e">
        <x:f>IF(ISNUMBER(I25),I25,NA())</x:f>
        <x:v>#N/A</x:v>
      </x:c>
      <x:c r="J63" s="30" t="e">
        <x:f>IF(ISNUMBER(J25),J25,NA())</x:f>
        <x:v>#N/A</x:v>
      </x:c>
      <x:c r="K63" s="30" t="e">
        <x:f>IF(ISNUMBER(K25),K25,NA())</x:f>
        <x:v>#N/A</x:v>
      </x:c>
      <x:c r="L63" s="30" t="e">
        <x:f>IF(ISNUMBER(L25),L25,NA())</x:f>
        <x:v>#N/A</x:v>
      </x:c>
      <x:c r="M63" s="30" t="e">
        <x:f>IF(ISNUMBER(M25),M25,NA())</x:f>
        <x:v>#N/A</x:v>
      </x:c>
      <x:c r="N63" s="30" t="e">
        <x:f>IF(ISNUMBER(N25),N25,NA())</x:f>
        <x:v>#N/A</x:v>
      </x:c>
      <x:c r="O63" s="30" t="e">
        <x:f>IF(ISNUMBER(O25),O25,NA())</x:f>
        <x:v>#N/A</x:v>
      </x:c>
      <x:c r="P63" s="30" t="e">
        <x:f>IF(ISNUMBER(P25),P25,NA())</x:f>
        <x:v>#N/A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  <x:c r="CA63" s="1"/>
      <x:c r="CB63" s="1"/>
      <x:c r="CC63" s="1"/>
      <x:c r="CD63" s="1"/>
      <x:c r="CE63" s="1"/>
      <x:c r="CF63" s="1"/>
      <x:c r="CG63" s="1"/>
      <x:c r="CH63" s="1"/>
      <x:c r="CI63" s="1"/>
      <x:c r="CJ63" s="1"/>
      <x:c r="CK63" s="1"/>
      <x:c r="CL63" s="1"/>
      <x:c r="CM63" s="1"/>
      <x:c r="CN63" s="1"/>
      <x:c r="CO63" s="1"/>
      <x:c r="CP63" s="1"/>
      <x:c r="CQ63" s="1"/>
      <x:c r="CR63" s="1"/>
      <x:c r="CS63" s="1"/>
      <x:c r="CT63" s="1"/>
      <x:c r="CU63" s="1"/>
      <x:c r="CV63" s="1"/>
      <x:c r="CW63" s="1"/>
      <x:c r="CX63" s="1"/>
      <x:c r="CY63" s="1"/>
      <x:c r="CZ63" s="1"/>
      <x:c r="DA63" s="1"/>
      <x:c r="DB63" s="1"/>
      <x:c r="DC63" s="1"/>
      <x:c r="DD63" s="1"/>
    </x:row>
    <x:row r="64" ht="23" customHeight="1">
      <x:c r="A64" s="1" t="str">
        <x:f>TEXT(A26,"yyyy/mm")</x:f>
        <x:v>2025/09</x:v>
      </x:c>
      <x:c r="B64" s="30" t="e">
        <x:f>IF(ISNUMBER(B26),B26,NA())</x:f>
        <x:v>#N/A</x:v>
      </x:c>
      <x:c r="C64" s="30" t="e">
        <x:f>IF(ISNUMBER(C26),C26,NA())</x:f>
        <x:v>#N/A</x:v>
      </x:c>
      <x:c r="D64" s="30" t="e">
        <x:f>IF(ISNUMBER(D26),D26,NA())</x:f>
        <x:v>#N/A</x:v>
      </x:c>
      <x:c r="E64" s="30" t="e">
        <x:f>IF(ISNUMBER(E26),E26,NA())</x:f>
        <x:v>#N/A</x:v>
      </x:c>
      <x:c r="F64" s="30" t="e">
        <x:f>IF(ISNUMBER(F26),F26,NA())</x:f>
        <x:v>#N/A</x:v>
      </x:c>
      <x:c r="G64" s="30" t="e">
        <x:f>IF(ISNUMBER(G26),G26,NA())</x:f>
        <x:v>#N/A</x:v>
      </x:c>
      <x:c r="H64" s="30" t="e">
        <x:f>IF(ISNUMBER(H26),H26,NA())</x:f>
        <x:v>#N/A</x:v>
      </x:c>
      <x:c r="I64" s="30" t="e">
        <x:f>IF(ISNUMBER(I26),I26,NA())</x:f>
        <x:v>#N/A</x:v>
      </x:c>
      <x:c r="J64" s="30" t="e">
        <x:f>IF(ISNUMBER(J26),J26,NA())</x:f>
        <x:v>#N/A</x:v>
      </x:c>
      <x:c r="K64" s="30" t="e">
        <x:f>IF(ISNUMBER(K26),K26,NA())</x:f>
        <x:v>#N/A</x:v>
      </x:c>
      <x:c r="L64" s="30" t="e">
        <x:f>IF(ISNUMBER(L26),L26,NA())</x:f>
        <x:v>#N/A</x:v>
      </x:c>
      <x:c r="M64" s="30" t="e">
        <x:f>IF(ISNUMBER(M26),M26,NA())</x:f>
        <x:v>#N/A</x:v>
      </x:c>
      <x:c r="N64" s="30" t="e">
        <x:f>IF(ISNUMBER(N26),N26,NA())</x:f>
        <x:v>#N/A</x:v>
      </x:c>
      <x:c r="O64" s="30" t="e">
        <x:f>IF(ISNUMBER(O26),O26,NA())</x:f>
        <x:v>#N/A</x:v>
      </x:c>
      <x:c r="P64" s="30" t="e">
        <x:f>IF(ISNUMBER(P26),P26,NA())</x:f>
        <x:v>#N/A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  <x:c r="CA64" s="1"/>
      <x:c r="CB64" s="1"/>
      <x:c r="CC64" s="1"/>
      <x:c r="CD64" s="1"/>
      <x:c r="CE64" s="1"/>
      <x:c r="CF64" s="1"/>
      <x:c r="CG64" s="1"/>
      <x:c r="CH64" s="1"/>
      <x:c r="CI64" s="1"/>
      <x:c r="CJ64" s="1"/>
      <x:c r="CK64" s="1"/>
      <x:c r="CL64" s="1"/>
      <x:c r="CM64" s="1"/>
      <x:c r="CN64" s="1"/>
      <x:c r="CO64" s="1"/>
      <x:c r="CP64" s="1"/>
      <x:c r="CQ64" s="1"/>
      <x:c r="CR64" s="1"/>
      <x:c r="CS64" s="1"/>
      <x:c r="CT64" s="1"/>
      <x:c r="CU64" s="1"/>
      <x:c r="CV64" s="1"/>
      <x:c r="CW64" s="1"/>
      <x:c r="CX64" s="1"/>
      <x:c r="CY64" s="1"/>
      <x:c r="CZ64" s="1"/>
      <x:c r="DA64" s="1"/>
      <x:c r="DB64" s="1"/>
      <x:c r="DC64" s="1"/>
      <x:c r="DD64" s="1"/>
    </x:row>
    <x:row r="65" ht="23" customHeight="1">
      <x:c r="A65" s="1" t="str">
        <x:f>TEXT(A27,"yyyy/mm")</x:f>
        <x:v>2025/10</x:v>
      </x:c>
      <x:c r="B65" s="30" t="e">
        <x:f>IF(ISNUMBER(B27),B27,NA())</x:f>
        <x:v>#N/A</x:v>
      </x:c>
      <x:c r="C65" s="30" t="e">
        <x:f>IF(ISNUMBER(C27),C27,NA())</x:f>
        <x:v>#N/A</x:v>
      </x:c>
      <x:c r="D65" s="30" t="e">
        <x:f>IF(ISNUMBER(D27),D27,NA())</x:f>
        <x:v>#N/A</x:v>
      </x:c>
      <x:c r="E65" s="30" t="e">
        <x:f>IF(ISNUMBER(E27),E27,NA())</x:f>
        <x:v>#N/A</x:v>
      </x:c>
      <x:c r="F65" s="30" t="e">
        <x:f>IF(ISNUMBER(F27),F27,NA())</x:f>
        <x:v>#N/A</x:v>
      </x:c>
      <x:c r="G65" s="30" t="e">
        <x:f>IF(ISNUMBER(G27),G27,NA())</x:f>
        <x:v>#N/A</x:v>
      </x:c>
      <x:c r="H65" s="30" t="e">
        <x:f>IF(ISNUMBER(H27),H27,NA())</x:f>
        <x:v>#N/A</x:v>
      </x:c>
      <x:c r="I65" s="30" t="e">
        <x:f>IF(ISNUMBER(I27),I27,NA())</x:f>
        <x:v>#N/A</x:v>
      </x:c>
      <x:c r="J65" s="30" t="e">
        <x:f>IF(ISNUMBER(J27),J27,NA())</x:f>
        <x:v>#N/A</x:v>
      </x:c>
      <x:c r="K65" s="30" t="e">
        <x:f>IF(ISNUMBER(K27),K27,NA())</x:f>
        <x:v>#N/A</x:v>
      </x:c>
      <x:c r="L65" s="30" t="e">
        <x:f>IF(ISNUMBER(L27),L27,NA())</x:f>
        <x:v>#N/A</x:v>
      </x:c>
      <x:c r="M65" s="30" t="e">
        <x:f>IF(ISNUMBER(M27),M27,NA())</x:f>
        <x:v>#N/A</x:v>
      </x:c>
      <x:c r="N65" s="30" t="e">
        <x:f>IF(ISNUMBER(N27),N27,NA())</x:f>
        <x:v>#N/A</x:v>
      </x:c>
      <x:c r="O65" s="30" t="e">
        <x:f>IF(ISNUMBER(O27),O27,NA())</x:f>
        <x:v>#N/A</x:v>
      </x:c>
      <x:c r="P65" s="30" t="e">
        <x:f>IF(ISNUMBER(P27),P27,NA())</x:f>
        <x:v>#N/A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  <x:c r="CA65" s="1"/>
      <x:c r="CB65" s="1"/>
      <x:c r="CC65" s="1"/>
      <x:c r="CD65" s="1"/>
      <x:c r="CE65" s="1"/>
      <x:c r="CF65" s="1"/>
      <x:c r="CG65" s="1"/>
      <x:c r="CH65" s="1"/>
      <x:c r="CI65" s="1"/>
      <x:c r="CJ65" s="1"/>
      <x:c r="CK65" s="1"/>
      <x:c r="CL65" s="1"/>
      <x:c r="CM65" s="1"/>
      <x:c r="CN65" s="1"/>
      <x:c r="CO65" s="1"/>
      <x:c r="CP65" s="1"/>
      <x:c r="CQ65" s="1"/>
      <x:c r="CR65" s="1"/>
      <x:c r="CS65" s="1"/>
      <x:c r="CT65" s="1"/>
      <x:c r="CU65" s="1"/>
      <x:c r="CV65" s="1"/>
      <x:c r="CW65" s="1"/>
      <x:c r="CX65" s="1"/>
      <x:c r="CY65" s="1"/>
      <x:c r="CZ65" s="1"/>
      <x:c r="DA65" s="1"/>
      <x:c r="DB65" s="1"/>
      <x:c r="DC65" s="1"/>
      <x:c r="DD65" s="1"/>
    </x:row>
    <x:row r="66" ht="23" customHeight="1">
      <x:c r="A66" s="1" t="str">
        <x:f>TEXT(A28,"yyyy/mm")</x:f>
        <x:v>2025/11</x:v>
      </x:c>
      <x:c r="B66" s="30" t="e">
        <x:f>IF(ISNUMBER(B28),B28,NA())</x:f>
        <x:v>#N/A</x:v>
      </x:c>
      <x:c r="C66" s="30" t="e">
        <x:f>IF(ISNUMBER(C28),C28,NA())</x:f>
        <x:v>#N/A</x:v>
      </x:c>
      <x:c r="D66" s="30" t="e">
        <x:f>IF(ISNUMBER(D28),D28,NA())</x:f>
        <x:v>#N/A</x:v>
      </x:c>
      <x:c r="E66" s="30" t="e">
        <x:f>IF(ISNUMBER(E28),E28,NA())</x:f>
        <x:v>#N/A</x:v>
      </x:c>
      <x:c r="F66" s="30" t="e">
        <x:f>IF(ISNUMBER(F28),F28,NA())</x:f>
        <x:v>#N/A</x:v>
      </x:c>
      <x:c r="G66" s="30" t="e">
        <x:f>IF(ISNUMBER(G28),G28,NA())</x:f>
        <x:v>#N/A</x:v>
      </x:c>
      <x:c r="H66" s="30" t="e">
        <x:f>IF(ISNUMBER(H28),H28,NA())</x:f>
        <x:v>#N/A</x:v>
      </x:c>
      <x:c r="I66" s="30" t="e">
        <x:f>IF(ISNUMBER(I28),I28,NA())</x:f>
        <x:v>#N/A</x:v>
      </x:c>
      <x:c r="J66" s="30" t="e">
        <x:f>IF(ISNUMBER(J28),J28,NA())</x:f>
        <x:v>#N/A</x:v>
      </x:c>
      <x:c r="K66" s="30" t="e">
        <x:f>IF(ISNUMBER(K28),K28,NA())</x:f>
        <x:v>#N/A</x:v>
      </x:c>
      <x:c r="L66" s="30" t="e">
        <x:f>IF(ISNUMBER(L28),L28,NA())</x:f>
        <x:v>#N/A</x:v>
      </x:c>
      <x:c r="M66" s="30" t="e">
        <x:f>IF(ISNUMBER(M28),M28,NA())</x:f>
        <x:v>#N/A</x:v>
      </x:c>
      <x:c r="N66" s="30" t="e">
        <x:f>IF(ISNUMBER(N28),N28,NA())</x:f>
        <x:v>#N/A</x:v>
      </x:c>
      <x:c r="O66" s="30" t="e">
        <x:f>IF(ISNUMBER(O28),O28,NA())</x:f>
        <x:v>#N/A</x:v>
      </x:c>
      <x:c r="P66" s="30" t="e">
        <x:f>IF(ISNUMBER(P28),P28,NA())</x:f>
        <x:v>#N/A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  <x:c r="CA66" s="1"/>
      <x:c r="CB66" s="1"/>
      <x:c r="CC66" s="1"/>
      <x:c r="CD66" s="1"/>
      <x:c r="CE66" s="1"/>
      <x:c r="CF66" s="1"/>
      <x:c r="CG66" s="1"/>
      <x:c r="CH66" s="1"/>
      <x:c r="CI66" s="1"/>
      <x:c r="CJ66" s="1"/>
      <x:c r="CK66" s="1"/>
      <x:c r="CL66" s="1"/>
      <x:c r="CM66" s="1"/>
      <x:c r="CN66" s="1"/>
      <x:c r="CO66" s="1"/>
      <x:c r="CP66" s="1"/>
      <x:c r="CQ66" s="1"/>
      <x:c r="CR66" s="1"/>
      <x:c r="CS66" s="1"/>
      <x:c r="CT66" s="1"/>
      <x:c r="CU66" s="1"/>
      <x:c r="CV66" s="1"/>
      <x:c r="CW66" s="1"/>
      <x:c r="CX66" s="1"/>
      <x:c r="CY66" s="1"/>
      <x:c r="CZ66" s="1"/>
      <x:c r="DA66" s="1"/>
      <x:c r="DB66" s="1"/>
      <x:c r="DC66" s="1"/>
      <x:c r="DD66" s="1"/>
    </x:row>
    <x:row r="67" ht="23" customHeight="1">
      <x:c r="A67" s="1" t="str">
        <x:f>TEXT(A29,"yyyy/mm")</x:f>
        <x:v>2025/12</x:v>
      </x:c>
      <x:c r="B67" s="30" t="e">
        <x:f>IF(ISNUMBER(B29),B29,NA())</x:f>
        <x:v>#N/A</x:v>
      </x:c>
      <x:c r="C67" s="30" t="e">
        <x:f>IF(ISNUMBER(C29),C29,NA())</x:f>
        <x:v>#N/A</x:v>
      </x:c>
      <x:c r="D67" s="30" t="e">
        <x:f>IF(ISNUMBER(D29),D29,NA())</x:f>
        <x:v>#N/A</x:v>
      </x:c>
      <x:c r="E67" s="30" t="e">
        <x:f>IF(ISNUMBER(E29),E29,NA())</x:f>
        <x:v>#N/A</x:v>
      </x:c>
      <x:c r="F67" s="30" t="e">
        <x:f>IF(ISNUMBER(F29),F29,NA())</x:f>
        <x:v>#N/A</x:v>
      </x:c>
      <x:c r="G67" s="30" t="e">
        <x:f>IF(ISNUMBER(G29),G29,NA())</x:f>
        <x:v>#N/A</x:v>
      </x:c>
      <x:c r="H67" s="30" t="e">
        <x:f>IF(ISNUMBER(H29),H29,NA())</x:f>
        <x:v>#N/A</x:v>
      </x:c>
      <x:c r="I67" s="30" t="e">
        <x:f>IF(ISNUMBER(I29),I29,NA())</x:f>
        <x:v>#N/A</x:v>
      </x:c>
      <x:c r="J67" s="30" t="e">
        <x:f>IF(ISNUMBER(J29),J29,NA())</x:f>
        <x:v>#N/A</x:v>
      </x:c>
      <x:c r="K67" s="30" t="e">
        <x:f>IF(ISNUMBER(K29),K29,NA())</x:f>
        <x:v>#N/A</x:v>
      </x:c>
      <x:c r="L67" s="30" t="e">
        <x:f>IF(ISNUMBER(L29),L29,NA())</x:f>
        <x:v>#N/A</x:v>
      </x:c>
      <x:c r="M67" s="30" t="e">
        <x:f>IF(ISNUMBER(M29),M29,NA())</x:f>
        <x:v>#N/A</x:v>
      </x:c>
      <x:c r="N67" s="30" t="e">
        <x:f>IF(ISNUMBER(N29),N29,NA())</x:f>
        <x:v>#N/A</x:v>
      </x:c>
      <x:c r="O67" s="30" t="e">
        <x:f>IF(ISNUMBER(O29),O29,NA())</x:f>
        <x:v>#N/A</x:v>
      </x:c>
      <x:c r="P67" s="30" t="e">
        <x:f>IF(ISNUMBER(P29),P29,NA())</x:f>
        <x:v>#N/A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  <x:c r="CA67" s="1"/>
      <x:c r="CB67" s="1"/>
      <x:c r="CC67" s="1"/>
      <x:c r="CD67" s="1"/>
      <x:c r="CE67" s="1"/>
      <x:c r="CF67" s="1"/>
      <x:c r="CG67" s="1"/>
      <x:c r="CH67" s="1"/>
      <x:c r="CI67" s="1"/>
      <x:c r="CJ67" s="1"/>
      <x:c r="CK67" s="1"/>
      <x:c r="CL67" s="1"/>
      <x:c r="CM67" s="1"/>
      <x:c r="CN67" s="1"/>
      <x:c r="CO67" s="1"/>
      <x:c r="CP67" s="1"/>
      <x:c r="CQ67" s="1"/>
      <x:c r="CR67" s="1"/>
      <x:c r="CS67" s="1"/>
      <x:c r="CT67" s="1"/>
      <x:c r="CU67" s="1"/>
      <x:c r="CV67" s="1"/>
      <x:c r="CW67" s="1"/>
      <x:c r="CX67" s="1"/>
      <x:c r="CY67" s="1"/>
      <x:c r="CZ67" s="1"/>
      <x:c r="DA67" s="1"/>
      <x:c r="DB67" s="1"/>
      <x:c r="DC67" s="1"/>
      <x:c r="DD67" s="1"/>
    </x:row>
    <x:row r="68" ht="23" customHeight="1">
      <x:c r="A68" s="1" t="str">
        <x:f>TEXT(A30,"yyyy/mm")</x:f>
        <x:v>2026/01</x:v>
      </x:c>
      <x:c r="B68" s="30" t="e">
        <x:f>IF(ISNUMBER(B30),B30,NA())</x:f>
        <x:v>#N/A</x:v>
      </x:c>
      <x:c r="C68" s="30" t="e">
        <x:f>IF(ISNUMBER(C30),C30,NA())</x:f>
        <x:v>#N/A</x:v>
      </x:c>
      <x:c r="D68" s="30" t="e">
        <x:f>IF(ISNUMBER(D30),D30,NA())</x:f>
        <x:v>#N/A</x:v>
      </x:c>
      <x:c r="E68" s="30" t="e">
        <x:f>IF(ISNUMBER(E30),E30,NA())</x:f>
        <x:v>#N/A</x:v>
      </x:c>
      <x:c r="F68" s="30" t="e">
        <x:f>IF(ISNUMBER(F30),F30,NA())</x:f>
        <x:v>#N/A</x:v>
      </x:c>
      <x:c r="G68" s="30" t="e">
        <x:f>IF(ISNUMBER(G30),G30,NA())</x:f>
        <x:v>#N/A</x:v>
      </x:c>
      <x:c r="H68" s="30" t="e">
        <x:f>IF(ISNUMBER(H30),H30,NA())</x:f>
        <x:v>#N/A</x:v>
      </x:c>
      <x:c r="I68" s="30" t="e">
        <x:f>IF(ISNUMBER(I30),I30,NA())</x:f>
        <x:v>#N/A</x:v>
      </x:c>
      <x:c r="J68" s="30" t="e">
        <x:f>IF(ISNUMBER(J30),J30,NA())</x:f>
        <x:v>#N/A</x:v>
      </x:c>
      <x:c r="K68" s="30" t="e">
        <x:f>IF(ISNUMBER(K30),K30,NA())</x:f>
        <x:v>#N/A</x:v>
      </x:c>
      <x:c r="L68" s="30" t="e">
        <x:f>IF(ISNUMBER(L30),L30,NA())</x:f>
        <x:v>#N/A</x:v>
      </x:c>
      <x:c r="M68" s="30" t="e">
        <x:f>IF(ISNUMBER(M30),M30,NA())</x:f>
        <x:v>#N/A</x:v>
      </x:c>
      <x:c r="N68" s="30" t="e">
        <x:f>IF(ISNUMBER(N30),N30,NA())</x:f>
        <x:v>#N/A</x:v>
      </x:c>
      <x:c r="O68" s="30" t="e">
        <x:f>IF(ISNUMBER(O30),O30,NA())</x:f>
        <x:v>#N/A</x:v>
      </x:c>
      <x:c r="P68" s="30" t="e">
        <x:f>IF(ISNUMBER(P30),P30,NA())</x:f>
        <x:v>#N/A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  <x:c r="CA68" s="1"/>
      <x:c r="CB68" s="1"/>
      <x:c r="CC68" s="1"/>
      <x:c r="CD68" s="1"/>
      <x:c r="CE68" s="1"/>
      <x:c r="CF68" s="1"/>
      <x:c r="CG68" s="1"/>
      <x:c r="CH68" s="1"/>
      <x:c r="CI68" s="1"/>
      <x:c r="CJ68" s="1"/>
      <x:c r="CK68" s="1"/>
      <x:c r="CL68" s="1"/>
      <x:c r="CM68" s="1"/>
      <x:c r="CN68" s="1"/>
      <x:c r="CO68" s="1"/>
      <x:c r="CP68" s="1"/>
      <x:c r="CQ68" s="1"/>
      <x:c r="CR68" s="1"/>
      <x:c r="CS68" s="1"/>
      <x:c r="CT68" s="1"/>
      <x:c r="CU68" s="1"/>
      <x:c r="CV68" s="1"/>
      <x:c r="CW68" s="1"/>
      <x:c r="CX68" s="1"/>
      <x:c r="CY68" s="1"/>
      <x:c r="CZ68" s="1"/>
      <x:c r="DA68" s="1"/>
      <x:c r="DB68" s="1"/>
      <x:c r="DC68" s="1"/>
      <x:c r="DD68" s="1"/>
    </x:row>
    <x:row r="69" ht="23" customHeight="1">
      <x:c r="A69" s="1" t="str">
        <x:f>TEXT(A31,"yyyy/mm")</x:f>
        <x:v>2026/02</x:v>
      </x:c>
      <x:c r="B69" s="30" t="e">
        <x:f>IF(ISNUMBER(B31),B31,NA())</x:f>
        <x:v>#N/A</x:v>
      </x:c>
      <x:c r="C69" s="30" t="e">
        <x:f>IF(ISNUMBER(C31),C31,NA())</x:f>
        <x:v>#N/A</x:v>
      </x:c>
      <x:c r="D69" s="30" t="e">
        <x:f>IF(ISNUMBER(D31),D31,NA())</x:f>
        <x:v>#N/A</x:v>
      </x:c>
      <x:c r="E69" s="30" t="e">
        <x:f>IF(ISNUMBER(E31),E31,NA())</x:f>
        <x:v>#N/A</x:v>
      </x:c>
      <x:c r="F69" s="30" t="e">
        <x:f>IF(ISNUMBER(F31),F31,NA())</x:f>
        <x:v>#N/A</x:v>
      </x:c>
      <x:c r="G69" s="30" t="e">
        <x:f>IF(ISNUMBER(G31),G31,NA())</x:f>
        <x:v>#N/A</x:v>
      </x:c>
      <x:c r="H69" s="30" t="e">
        <x:f>IF(ISNUMBER(H31),H31,NA())</x:f>
        <x:v>#N/A</x:v>
      </x:c>
      <x:c r="I69" s="30" t="e">
        <x:f>IF(ISNUMBER(I31),I31,NA())</x:f>
        <x:v>#N/A</x:v>
      </x:c>
      <x:c r="J69" s="30" t="e">
        <x:f>IF(ISNUMBER(J31),J31,NA())</x:f>
        <x:v>#N/A</x:v>
      </x:c>
      <x:c r="K69" s="30" t="e">
        <x:f>IF(ISNUMBER(K31),K31,NA())</x:f>
        <x:v>#N/A</x:v>
      </x:c>
      <x:c r="L69" s="30" t="e">
        <x:f>IF(ISNUMBER(L31),L31,NA())</x:f>
        <x:v>#N/A</x:v>
      </x:c>
      <x:c r="M69" s="30" t="e">
        <x:f>IF(ISNUMBER(M31),M31,NA())</x:f>
        <x:v>#N/A</x:v>
      </x:c>
      <x:c r="N69" s="30" t="e">
        <x:f>IF(ISNUMBER(N31),N31,NA())</x:f>
        <x:v>#N/A</x:v>
      </x:c>
      <x:c r="O69" s="30" t="e">
        <x:f>IF(ISNUMBER(O31),O31,NA())</x:f>
        <x:v>#N/A</x:v>
      </x:c>
      <x:c r="P69" s="30" t="e">
        <x:f>IF(ISNUMBER(P31),P31,NA())</x:f>
        <x:v>#N/A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  <x:c r="CA69" s="1"/>
      <x:c r="CB69" s="1"/>
      <x:c r="CC69" s="1"/>
      <x:c r="CD69" s="1"/>
      <x:c r="CE69" s="1"/>
      <x:c r="CF69" s="1"/>
      <x:c r="CG69" s="1"/>
      <x:c r="CH69" s="1"/>
      <x:c r="CI69" s="1"/>
      <x:c r="CJ69" s="1"/>
      <x:c r="CK69" s="1"/>
      <x:c r="CL69" s="1"/>
      <x:c r="CM69" s="1"/>
      <x:c r="CN69" s="1"/>
      <x:c r="CO69" s="1"/>
      <x:c r="CP69" s="1"/>
      <x:c r="CQ69" s="1"/>
      <x:c r="CR69" s="1"/>
      <x:c r="CS69" s="1"/>
      <x:c r="CT69" s="1"/>
      <x:c r="CU69" s="1"/>
      <x:c r="CV69" s="1"/>
      <x:c r="CW69" s="1"/>
      <x:c r="CX69" s="1"/>
      <x:c r="CY69" s="1"/>
      <x:c r="CZ69" s="1"/>
      <x:c r="DA69" s="1"/>
      <x:c r="DB69" s="1"/>
      <x:c r="DC69" s="1"/>
      <x:c r="DD69" s="1"/>
    </x:row>
    <x:row r="70" ht="23" customHeight="1">
      <x:c r="A70" s="1" t="str">
        <x:f>TEXT(A32,"yyyy/mm")</x:f>
        <x:v>2026/03</x:v>
      </x:c>
      <x:c r="B70" s="30" t="e">
        <x:f>IF(ISNUMBER(B32),B32,NA())</x:f>
        <x:v>#N/A</x:v>
      </x:c>
      <x:c r="C70" s="30" t="e">
        <x:f>IF(ISNUMBER(C32),C32,NA())</x:f>
        <x:v>#N/A</x:v>
      </x:c>
      <x:c r="D70" s="30" t="e">
        <x:f>IF(ISNUMBER(D32),D32,NA())</x:f>
        <x:v>#N/A</x:v>
      </x:c>
      <x:c r="E70" s="30" t="e">
        <x:f>IF(ISNUMBER(E32),E32,NA())</x:f>
        <x:v>#N/A</x:v>
      </x:c>
      <x:c r="F70" s="30" t="e">
        <x:f>IF(ISNUMBER(F32),F32,NA())</x:f>
        <x:v>#N/A</x:v>
      </x:c>
      <x:c r="G70" s="30" t="e">
        <x:f>IF(ISNUMBER(G32),G32,NA())</x:f>
        <x:v>#N/A</x:v>
      </x:c>
      <x:c r="H70" s="30" t="e">
        <x:f>IF(ISNUMBER(H32),H32,NA())</x:f>
        <x:v>#N/A</x:v>
      </x:c>
      <x:c r="I70" s="30" t="e">
        <x:f>IF(ISNUMBER(I32),I32,NA())</x:f>
        <x:v>#N/A</x:v>
      </x:c>
      <x:c r="J70" s="30" t="e">
        <x:f>IF(ISNUMBER(J32),J32,NA())</x:f>
        <x:v>#N/A</x:v>
      </x:c>
      <x:c r="K70" s="30" t="e">
        <x:f>IF(ISNUMBER(K32),K32,NA())</x:f>
        <x:v>#N/A</x:v>
      </x:c>
      <x:c r="L70" s="30" t="e">
        <x:f>IF(ISNUMBER(L32),L32,NA())</x:f>
        <x:v>#N/A</x:v>
      </x:c>
      <x:c r="M70" s="30" t="e">
        <x:f>IF(ISNUMBER(M32),M32,NA())</x:f>
        <x:v>#N/A</x:v>
      </x:c>
      <x:c r="N70" s="30" t="e">
        <x:f>IF(ISNUMBER(N32),N32,NA())</x:f>
        <x:v>#N/A</x:v>
      </x:c>
      <x:c r="O70" s="30" t="e">
        <x:f>IF(ISNUMBER(O32),O32,NA())</x:f>
        <x:v>#N/A</x:v>
      </x:c>
      <x:c r="P70" s="30" t="e">
        <x:f>IF(ISNUMBER(P32),P32,NA())</x:f>
        <x:v>#N/A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  <x:c r="CA70" s="1"/>
      <x:c r="CB70" s="1"/>
      <x:c r="CC70" s="1"/>
      <x:c r="CD70" s="1"/>
      <x:c r="CE70" s="1"/>
      <x:c r="CF70" s="1"/>
      <x:c r="CG70" s="1"/>
      <x:c r="CH70" s="1"/>
      <x:c r="CI70" s="1"/>
      <x:c r="CJ70" s="1"/>
      <x:c r="CK70" s="1"/>
      <x:c r="CL70" s="1"/>
      <x:c r="CM70" s="1"/>
      <x:c r="CN70" s="1"/>
      <x:c r="CO70" s="1"/>
      <x:c r="CP70" s="1"/>
      <x:c r="CQ70" s="1"/>
      <x:c r="CR70" s="1"/>
      <x:c r="CS70" s="1"/>
      <x:c r="CT70" s="1"/>
      <x:c r="CU70" s="1"/>
      <x:c r="CV70" s="1"/>
      <x:c r="CW70" s="1"/>
      <x:c r="CX70" s="1"/>
      <x:c r="CY70" s="1"/>
      <x:c r="CZ70" s="1"/>
      <x:c r="DA70" s="1"/>
      <x:c r="DB70" s="1"/>
      <x:c r="DC70" s="1"/>
      <x:c r="DD70" s="1"/>
    </x:row>
    <x:row r="71" ht="23" customHeight="1">
      <x:c r="A71" s="1" t="str">
        <x:f>TEXT(A33,"yyyy/mm")</x:f>
        <x:v>2026/04</x:v>
      </x:c>
      <x:c r="B71" s="30" t="e">
        <x:f>IF(ISNUMBER(B33),B33,NA())</x:f>
        <x:v>#N/A</x:v>
      </x:c>
      <x:c r="C71" s="30" t="e">
        <x:f>IF(ISNUMBER(C33),C33,NA())</x:f>
        <x:v>#N/A</x:v>
      </x:c>
      <x:c r="D71" s="30" t="e">
        <x:f>IF(ISNUMBER(D33),D33,NA())</x:f>
        <x:v>#N/A</x:v>
      </x:c>
      <x:c r="E71" s="30" t="e">
        <x:f>IF(ISNUMBER(E33),E33,NA())</x:f>
        <x:v>#N/A</x:v>
      </x:c>
      <x:c r="F71" s="30" t="e">
        <x:f>IF(ISNUMBER(F33),F33,NA())</x:f>
        <x:v>#N/A</x:v>
      </x:c>
      <x:c r="G71" s="30" t="e">
        <x:f>IF(ISNUMBER(G33),G33,NA())</x:f>
        <x:v>#N/A</x:v>
      </x:c>
      <x:c r="H71" s="30" t="e">
        <x:f>IF(ISNUMBER(H33),H33,NA())</x:f>
        <x:v>#N/A</x:v>
      </x:c>
      <x:c r="I71" s="30" t="e">
        <x:f>IF(ISNUMBER(I33),I33,NA())</x:f>
        <x:v>#N/A</x:v>
      </x:c>
      <x:c r="J71" s="30" t="e">
        <x:f>IF(ISNUMBER(J33),J33,NA())</x:f>
        <x:v>#N/A</x:v>
      </x:c>
      <x:c r="K71" s="30" t="e">
        <x:f>IF(ISNUMBER(K33),K33,NA())</x:f>
        <x:v>#N/A</x:v>
      </x:c>
      <x:c r="L71" s="30" t="e">
        <x:f>IF(ISNUMBER(L33),L33,NA())</x:f>
        <x:v>#N/A</x:v>
      </x:c>
      <x:c r="M71" s="30" t="e">
        <x:f>IF(ISNUMBER(M33),M33,NA())</x:f>
        <x:v>#N/A</x:v>
      </x:c>
      <x:c r="N71" s="30" t="e">
        <x:f>IF(ISNUMBER(N33),N33,NA())</x:f>
        <x:v>#N/A</x:v>
      </x:c>
      <x:c r="O71" s="30" t="e">
        <x:f>IF(ISNUMBER(O33),O33,NA())</x:f>
        <x:v>#N/A</x:v>
      </x:c>
      <x:c r="P71" s="30" t="e">
        <x:f>IF(ISNUMBER(P33),P33,NA())</x:f>
        <x:v>#N/A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  <x:c r="CA71" s="1"/>
      <x:c r="CB71" s="1"/>
      <x:c r="CC71" s="1"/>
      <x:c r="CD71" s="1"/>
      <x:c r="CE71" s="1"/>
      <x:c r="CF71" s="1"/>
      <x:c r="CG71" s="1"/>
      <x:c r="CH71" s="1"/>
      <x:c r="CI71" s="1"/>
      <x:c r="CJ71" s="1"/>
      <x:c r="CK71" s="1"/>
      <x:c r="CL71" s="1"/>
      <x:c r="CM71" s="1"/>
      <x:c r="CN71" s="1"/>
      <x:c r="CO71" s="1"/>
      <x:c r="CP71" s="1"/>
      <x:c r="CQ71" s="1"/>
      <x:c r="CR71" s="1"/>
      <x:c r="CS71" s="1"/>
      <x:c r="CT71" s="1"/>
      <x:c r="CU71" s="1"/>
      <x:c r="CV71" s="1"/>
      <x:c r="CW71" s="1"/>
      <x:c r="CX71" s="1"/>
      <x:c r="CY71" s="1"/>
      <x:c r="CZ71" s="1"/>
      <x:c r="DA71" s="1"/>
      <x:c r="DB71" s="1"/>
      <x:c r="DC71" s="1"/>
      <x:c r="DD71" s="1"/>
    </x:row>
    <x:row r="72" ht="23" customHeight="1">
      <x:c r="A72" s="1" t="str">
        <x:f>TEXT(A34,"yyyy/mm")</x:f>
        <x:v>2026/05</x:v>
      </x:c>
      <x:c r="B72" s="30" t="e">
        <x:f>IF(ISNUMBER(B34),B34,NA())</x:f>
        <x:v>#N/A</x:v>
      </x:c>
      <x:c r="C72" s="30" t="e">
        <x:f>IF(ISNUMBER(C34),C34,NA())</x:f>
        <x:v>#N/A</x:v>
      </x:c>
      <x:c r="D72" s="30" t="e">
        <x:f>IF(ISNUMBER(D34),D34,NA())</x:f>
        <x:v>#N/A</x:v>
      </x:c>
      <x:c r="E72" s="30" t="e">
        <x:f>IF(ISNUMBER(E34),E34,NA())</x:f>
        <x:v>#N/A</x:v>
      </x:c>
      <x:c r="F72" s="30" t="e">
        <x:f>IF(ISNUMBER(F34),F34,NA())</x:f>
        <x:v>#N/A</x:v>
      </x:c>
      <x:c r="G72" s="30" t="e">
        <x:f>IF(ISNUMBER(G34),G34,NA())</x:f>
        <x:v>#N/A</x:v>
      </x:c>
      <x:c r="H72" s="30" t="e">
        <x:f>IF(ISNUMBER(H34),H34,NA())</x:f>
        <x:v>#N/A</x:v>
      </x:c>
      <x:c r="I72" s="30" t="e">
        <x:f>IF(ISNUMBER(I34),I34,NA())</x:f>
        <x:v>#N/A</x:v>
      </x:c>
      <x:c r="J72" s="30" t="e">
        <x:f>IF(ISNUMBER(J34),J34,NA())</x:f>
        <x:v>#N/A</x:v>
      </x:c>
      <x:c r="K72" s="30" t="e">
        <x:f>IF(ISNUMBER(K34),K34,NA())</x:f>
        <x:v>#N/A</x:v>
      </x:c>
      <x:c r="L72" s="30" t="e">
        <x:f>IF(ISNUMBER(L34),L34,NA())</x:f>
        <x:v>#N/A</x:v>
      </x:c>
      <x:c r="M72" s="30" t="e">
        <x:f>IF(ISNUMBER(M34),M34,NA())</x:f>
        <x:v>#N/A</x:v>
      </x:c>
      <x:c r="N72" s="30" t="e">
        <x:f>IF(ISNUMBER(N34),N34,NA())</x:f>
        <x:v>#N/A</x:v>
      </x:c>
      <x:c r="O72" s="30" t="e">
        <x:f>IF(ISNUMBER(O34),O34,NA())</x:f>
        <x:v>#N/A</x:v>
      </x:c>
      <x:c r="P72" s="30" t="e">
        <x:f>IF(ISNUMBER(P34),P34,NA())</x:f>
        <x:v>#N/A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  <x:c r="CA72" s="1"/>
      <x:c r="CB72" s="1"/>
      <x:c r="CC72" s="1"/>
      <x:c r="CD72" s="1"/>
      <x:c r="CE72" s="1"/>
      <x:c r="CF72" s="1"/>
      <x:c r="CG72" s="1"/>
      <x:c r="CH72" s="1"/>
      <x:c r="CI72" s="1"/>
      <x:c r="CJ72" s="1"/>
      <x:c r="CK72" s="1"/>
      <x:c r="CL72" s="1"/>
      <x:c r="CM72" s="1"/>
      <x:c r="CN72" s="1"/>
      <x:c r="CO72" s="1"/>
      <x:c r="CP72" s="1"/>
      <x:c r="CQ72" s="1"/>
      <x:c r="CR72" s="1"/>
      <x:c r="CS72" s="1"/>
      <x:c r="CT72" s="1"/>
      <x:c r="CU72" s="1"/>
      <x:c r="CV72" s="1"/>
      <x:c r="CW72" s="1"/>
      <x:c r="CX72" s="1"/>
      <x:c r="CY72" s="1"/>
      <x:c r="CZ72" s="1"/>
      <x:c r="DA72" s="1"/>
      <x:c r="DB72" s="1"/>
      <x:c r="DC72" s="1"/>
      <x:c r="DD72" s="1"/>
    </x:row>
    <x:row r="73" ht="23" customHeight="1">
      <x:c r="A73" s="1" t="str">
        <x:f>TEXT(A35,"yyyy/mm")</x:f>
        <x:v>2026/06</x:v>
      </x:c>
      <x:c r="B73" s="30" t="e">
        <x:f>IF(ISNUMBER(B35),B35,NA())</x:f>
        <x:v>#N/A</x:v>
      </x:c>
      <x:c r="C73" s="30" t="e">
        <x:f>IF(ISNUMBER(C35),C35,NA())</x:f>
        <x:v>#N/A</x:v>
      </x:c>
      <x:c r="D73" s="30" t="e">
        <x:f>IF(ISNUMBER(D35),D35,NA())</x:f>
        <x:v>#N/A</x:v>
      </x:c>
      <x:c r="E73" s="30" t="e">
        <x:f>IF(ISNUMBER(E35),E35,NA())</x:f>
        <x:v>#N/A</x:v>
      </x:c>
      <x:c r="F73" s="30" t="e">
        <x:f>IF(ISNUMBER(F35),F35,NA())</x:f>
        <x:v>#N/A</x:v>
      </x:c>
      <x:c r="G73" s="30" t="e">
        <x:f>IF(ISNUMBER(G35),G35,NA())</x:f>
        <x:v>#N/A</x:v>
      </x:c>
      <x:c r="H73" s="30" t="e">
        <x:f>IF(ISNUMBER(H35),H35,NA())</x:f>
        <x:v>#N/A</x:v>
      </x:c>
      <x:c r="I73" s="30" t="e">
        <x:f>IF(ISNUMBER(I35),I35,NA())</x:f>
        <x:v>#N/A</x:v>
      </x:c>
      <x:c r="J73" s="30" t="e">
        <x:f>IF(ISNUMBER(J35),J35,NA())</x:f>
        <x:v>#N/A</x:v>
      </x:c>
      <x:c r="K73" s="30" t="e">
        <x:f>IF(ISNUMBER(K35),K35,NA())</x:f>
        <x:v>#N/A</x:v>
      </x:c>
      <x:c r="L73" s="30" t="e">
        <x:f>IF(ISNUMBER(L35),L35,NA())</x:f>
        <x:v>#N/A</x:v>
      </x:c>
      <x:c r="M73" s="30" t="e">
        <x:f>IF(ISNUMBER(M35),M35,NA())</x:f>
        <x:v>#N/A</x:v>
      </x:c>
      <x:c r="N73" s="30" t="e">
        <x:f>IF(ISNUMBER(N35),N35,NA())</x:f>
        <x:v>#N/A</x:v>
      </x:c>
      <x:c r="O73" s="30" t="e">
        <x:f>IF(ISNUMBER(O35),O35,NA())</x:f>
        <x:v>#N/A</x:v>
      </x:c>
      <x:c r="P73" s="30" t="e">
        <x:f>IF(ISNUMBER(P35),P35,NA())</x:f>
        <x:v>#N/A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  <x:c r="CA73" s="1"/>
      <x:c r="CB73" s="1"/>
      <x:c r="CC73" s="1"/>
      <x:c r="CD73" s="1"/>
      <x:c r="CE73" s="1"/>
      <x:c r="CF73" s="1"/>
      <x:c r="CG73" s="1"/>
      <x:c r="CH73" s="1"/>
      <x:c r="CI73" s="1"/>
      <x:c r="CJ73" s="1"/>
      <x:c r="CK73" s="1"/>
      <x:c r="CL73" s="1"/>
      <x:c r="CM73" s="1"/>
      <x:c r="CN73" s="1"/>
      <x:c r="CO73" s="1"/>
      <x:c r="CP73" s="1"/>
      <x:c r="CQ73" s="1"/>
      <x:c r="CR73" s="1"/>
      <x:c r="CS73" s="1"/>
      <x:c r="CT73" s="1"/>
      <x:c r="CU73" s="1"/>
      <x:c r="CV73" s="1"/>
      <x:c r="CW73" s="1"/>
      <x:c r="CX73" s="1"/>
      <x:c r="CY73" s="1"/>
      <x:c r="CZ73" s="1"/>
      <x:c r="DA73" s="1"/>
      <x:c r="DB73" s="1"/>
      <x:c r="DC73" s="1"/>
      <x:c r="DD73" s="1"/>
    </x:row>
    <x:row r="74" ht="23" customHeight="1">
      <x:c r="A74" s="1" t="str">
        <x:f>TEXT(A36,"yyyy/mm")</x:f>
        <x:v>2026/07</x:v>
      </x:c>
      <x:c r="B74" s="30" t="e">
        <x:f>IF(ISNUMBER(B36),B36,NA())</x:f>
        <x:v>#N/A</x:v>
      </x:c>
      <x:c r="C74" s="30" t="e">
        <x:f>IF(ISNUMBER(C36),C36,NA())</x:f>
        <x:v>#N/A</x:v>
      </x:c>
      <x:c r="D74" s="30" t="e">
        <x:f>IF(ISNUMBER(D36),D36,NA())</x:f>
        <x:v>#N/A</x:v>
      </x:c>
      <x:c r="E74" s="30" t="e">
        <x:f>IF(ISNUMBER(E36),E36,NA())</x:f>
        <x:v>#N/A</x:v>
      </x:c>
      <x:c r="F74" s="30" t="e">
        <x:f>IF(ISNUMBER(F36),F36,NA())</x:f>
        <x:v>#N/A</x:v>
      </x:c>
      <x:c r="G74" s="30" t="e">
        <x:f>IF(ISNUMBER(G36),G36,NA())</x:f>
        <x:v>#N/A</x:v>
      </x:c>
      <x:c r="H74" s="30" t="e">
        <x:f>IF(ISNUMBER(H36),H36,NA())</x:f>
        <x:v>#N/A</x:v>
      </x:c>
      <x:c r="I74" s="30" t="e">
        <x:f>IF(ISNUMBER(I36),I36,NA())</x:f>
        <x:v>#N/A</x:v>
      </x:c>
      <x:c r="J74" s="30" t="e">
        <x:f>IF(ISNUMBER(J36),J36,NA())</x:f>
        <x:v>#N/A</x:v>
      </x:c>
      <x:c r="K74" s="30" t="e">
        <x:f>IF(ISNUMBER(K36),K36,NA())</x:f>
        <x:v>#N/A</x:v>
      </x:c>
      <x:c r="L74" s="30" t="e">
        <x:f>IF(ISNUMBER(L36),L36,NA())</x:f>
        <x:v>#N/A</x:v>
      </x:c>
      <x:c r="M74" s="30" t="e">
        <x:f>IF(ISNUMBER(M36),M36,NA())</x:f>
        <x:v>#N/A</x:v>
      </x:c>
      <x:c r="N74" s="30" t="e">
        <x:f>IF(ISNUMBER(N36),N36,NA())</x:f>
        <x:v>#N/A</x:v>
      </x:c>
      <x:c r="O74" s="30" t="e">
        <x:f>IF(ISNUMBER(O36),O36,NA())</x:f>
        <x:v>#N/A</x:v>
      </x:c>
      <x:c r="P74" s="30" t="e">
        <x:f>IF(ISNUMBER(P36),P36,NA())</x:f>
        <x:v>#N/A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  <x:c r="CA74" s="1"/>
      <x:c r="CB74" s="1"/>
      <x:c r="CC74" s="1"/>
      <x:c r="CD74" s="1"/>
      <x:c r="CE74" s="1"/>
      <x:c r="CF74" s="1"/>
      <x:c r="CG74" s="1"/>
      <x:c r="CH74" s="1"/>
      <x:c r="CI74" s="1"/>
      <x:c r="CJ74" s="1"/>
      <x:c r="CK74" s="1"/>
      <x:c r="CL74" s="1"/>
      <x:c r="CM74" s="1"/>
      <x:c r="CN74" s="1"/>
      <x:c r="CO74" s="1"/>
      <x:c r="CP74" s="1"/>
      <x:c r="CQ74" s="1"/>
      <x:c r="CR74" s="1"/>
      <x:c r="CS74" s="1"/>
      <x:c r="CT74" s="1"/>
      <x:c r="CU74" s="1"/>
      <x:c r="CV74" s="1"/>
      <x:c r="CW74" s="1"/>
      <x:c r="CX74" s="1"/>
      <x:c r="CY74" s="1"/>
      <x:c r="CZ74" s="1"/>
      <x:c r="DA74" s="1"/>
      <x:c r="DB74" s="1"/>
      <x:c r="DC74" s="1"/>
      <x:c r="DD74" s="1"/>
    </x:row>
    <x:row r="75" ht="23" customHeight="1">
      <x:c r="A75" s="1" t="str">
        <x:f>TEXT(A37,"yyyy/mm")</x:f>
        <x:v>2026/08</x:v>
      </x:c>
      <x:c r="B75" s="30" t="e">
        <x:f>IF(ISNUMBER(B37),B37,NA())</x:f>
        <x:v>#N/A</x:v>
      </x:c>
      <x:c r="C75" s="30" t="e">
        <x:f>IF(ISNUMBER(C37),C37,NA())</x:f>
        <x:v>#N/A</x:v>
      </x:c>
      <x:c r="D75" s="30" t="e">
        <x:f>IF(ISNUMBER(D37),D37,NA())</x:f>
        <x:v>#N/A</x:v>
      </x:c>
      <x:c r="E75" s="30" t="e">
        <x:f>IF(ISNUMBER(E37),E37,NA())</x:f>
        <x:v>#N/A</x:v>
      </x:c>
      <x:c r="F75" s="30" t="e">
        <x:f>IF(ISNUMBER(F37),F37,NA())</x:f>
        <x:v>#N/A</x:v>
      </x:c>
      <x:c r="G75" s="30" t="e">
        <x:f>IF(ISNUMBER(G37),G37,NA())</x:f>
        <x:v>#N/A</x:v>
      </x:c>
      <x:c r="H75" s="30" t="e">
        <x:f>IF(ISNUMBER(H37),H37,NA())</x:f>
        <x:v>#N/A</x:v>
      </x:c>
      <x:c r="I75" s="30" t="e">
        <x:f>IF(ISNUMBER(I37),I37,NA())</x:f>
        <x:v>#N/A</x:v>
      </x:c>
      <x:c r="J75" s="30" t="e">
        <x:f>IF(ISNUMBER(J37),J37,NA())</x:f>
        <x:v>#N/A</x:v>
      </x:c>
      <x:c r="K75" s="30" t="e">
        <x:f>IF(ISNUMBER(K37),K37,NA())</x:f>
        <x:v>#N/A</x:v>
      </x:c>
      <x:c r="L75" s="30" t="e">
        <x:f>IF(ISNUMBER(L37),L37,NA())</x:f>
        <x:v>#N/A</x:v>
      </x:c>
      <x:c r="M75" s="30" t="e">
        <x:f>IF(ISNUMBER(M37),M37,NA())</x:f>
        <x:v>#N/A</x:v>
      </x:c>
      <x:c r="N75" s="30" t="e">
        <x:f>IF(ISNUMBER(N37),N37,NA())</x:f>
        <x:v>#N/A</x:v>
      </x:c>
      <x:c r="O75" s="30" t="e">
        <x:f>IF(ISNUMBER(O37),O37,NA())</x:f>
        <x:v>#N/A</x:v>
      </x:c>
      <x:c r="P75" s="30" t="e">
        <x:f>IF(ISNUMBER(P37),P37,NA())</x:f>
        <x:v>#N/A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  <x:c r="CA75" s="1"/>
      <x:c r="CB75" s="1"/>
      <x:c r="CC75" s="1"/>
      <x:c r="CD75" s="1"/>
      <x:c r="CE75" s="1"/>
      <x:c r="CF75" s="1"/>
      <x:c r="CG75" s="1"/>
      <x:c r="CH75" s="1"/>
      <x:c r="CI75" s="1"/>
      <x:c r="CJ75" s="1"/>
      <x:c r="CK75" s="1"/>
      <x:c r="CL75" s="1"/>
      <x:c r="CM75" s="1"/>
      <x:c r="CN75" s="1"/>
      <x:c r="CO75" s="1"/>
      <x:c r="CP75" s="1"/>
      <x:c r="CQ75" s="1"/>
      <x:c r="CR75" s="1"/>
      <x:c r="CS75" s="1"/>
      <x:c r="CT75" s="1"/>
      <x:c r="CU75" s="1"/>
      <x:c r="CV75" s="1"/>
      <x:c r="CW75" s="1"/>
      <x:c r="CX75" s="1"/>
      <x:c r="CY75" s="1"/>
      <x:c r="CZ75" s="1"/>
      <x:c r="DA75" s="1"/>
      <x:c r="DB75" s="1"/>
      <x:c r="DC75" s="1"/>
      <x:c r="DD75" s="1"/>
    </x:row>
    <x:row r="76" ht="23" customHeight="1">
      <x:c r="A76" s="1" t="str">
        <x:f>TEXT(A38,"yyyy/mm")</x:f>
        <x:v>2026/09</x:v>
      </x:c>
      <x:c r="B76" s="30" t="e">
        <x:f>IF(ISNUMBER(B38),B38,NA())</x:f>
        <x:v>#N/A</x:v>
      </x:c>
      <x:c r="C76" s="30" t="e">
        <x:f>IF(ISNUMBER(C38),C38,NA())</x:f>
        <x:v>#N/A</x:v>
      </x:c>
      <x:c r="D76" s="30" t="e">
        <x:f>IF(ISNUMBER(D38),D38,NA())</x:f>
        <x:v>#N/A</x:v>
      </x:c>
      <x:c r="E76" s="30" t="e">
        <x:f>IF(ISNUMBER(E38),E38,NA())</x:f>
        <x:v>#N/A</x:v>
      </x:c>
      <x:c r="F76" s="30" t="e">
        <x:f>IF(ISNUMBER(F38),F38,NA())</x:f>
        <x:v>#N/A</x:v>
      </x:c>
      <x:c r="G76" s="30" t="e">
        <x:f>IF(ISNUMBER(G38),G38,NA())</x:f>
        <x:v>#N/A</x:v>
      </x:c>
      <x:c r="H76" s="30" t="e">
        <x:f>IF(ISNUMBER(H38),H38,NA())</x:f>
        <x:v>#N/A</x:v>
      </x:c>
      <x:c r="I76" s="30" t="e">
        <x:f>IF(ISNUMBER(I38),I38,NA())</x:f>
        <x:v>#N/A</x:v>
      </x:c>
      <x:c r="J76" s="30" t="e">
        <x:f>IF(ISNUMBER(J38),J38,NA())</x:f>
        <x:v>#N/A</x:v>
      </x:c>
      <x:c r="K76" s="30" t="e">
        <x:f>IF(ISNUMBER(K38),K38,NA())</x:f>
        <x:v>#N/A</x:v>
      </x:c>
      <x:c r="L76" s="30" t="e">
        <x:f>IF(ISNUMBER(L38),L38,NA())</x:f>
        <x:v>#N/A</x:v>
      </x:c>
      <x:c r="M76" s="30" t="e">
        <x:f>IF(ISNUMBER(M38),M38,NA())</x:f>
        <x:v>#N/A</x:v>
      </x:c>
      <x:c r="N76" s="30" t="e">
        <x:f>IF(ISNUMBER(N38),N38,NA())</x:f>
        <x:v>#N/A</x:v>
      </x:c>
      <x:c r="O76" s="30" t="e">
        <x:f>IF(ISNUMBER(O38),O38,NA())</x:f>
        <x:v>#N/A</x:v>
      </x:c>
      <x:c r="P76" s="30" t="e">
        <x:f>IF(ISNUMBER(P38),P38,NA())</x:f>
        <x:v>#N/A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  <x:c r="CA76" s="1"/>
      <x:c r="CB76" s="1"/>
      <x:c r="CC76" s="1"/>
      <x:c r="CD76" s="1"/>
      <x:c r="CE76" s="1"/>
      <x:c r="CF76" s="1"/>
      <x:c r="CG76" s="1"/>
      <x:c r="CH76" s="1"/>
      <x:c r="CI76" s="1"/>
      <x:c r="CJ76" s="1"/>
      <x:c r="CK76" s="1"/>
      <x:c r="CL76" s="1"/>
      <x:c r="CM76" s="1"/>
      <x:c r="CN76" s="1"/>
      <x:c r="CO76" s="1"/>
      <x:c r="CP76" s="1"/>
      <x:c r="CQ76" s="1"/>
      <x:c r="CR76" s="1"/>
      <x:c r="CS76" s="1"/>
      <x:c r="CT76" s="1"/>
      <x:c r="CU76" s="1"/>
      <x:c r="CV76" s="1"/>
      <x:c r="CW76" s="1"/>
      <x:c r="CX76" s="1"/>
      <x:c r="CY76" s="1"/>
      <x:c r="CZ76" s="1"/>
      <x:c r="DA76" s="1"/>
      <x:c r="DB76" s="1"/>
      <x:c r="DC76" s="1"/>
      <x:c r="DD76" s="1"/>
    </x:row>
    <x:row r="77" ht="23" customHeight="1">
      <x:c r="A77" s="1" t="str">
        <x:f>TEXT(A39,"yyyy/mm")</x:f>
        <x:v>2026/10</x:v>
      </x:c>
      <x:c r="B77" s="30" t="e">
        <x:f>IF(ISNUMBER(B39),B39,NA())</x:f>
        <x:v>#N/A</x:v>
      </x:c>
      <x:c r="C77" s="30" t="e">
        <x:f>IF(ISNUMBER(C39),C39,NA())</x:f>
        <x:v>#N/A</x:v>
      </x:c>
      <x:c r="D77" s="30" t="e">
        <x:f>IF(ISNUMBER(D39),D39,NA())</x:f>
        <x:v>#N/A</x:v>
      </x:c>
      <x:c r="E77" s="30" t="e">
        <x:f>IF(ISNUMBER(E39),E39,NA())</x:f>
        <x:v>#N/A</x:v>
      </x:c>
      <x:c r="F77" s="30" t="e">
        <x:f>IF(ISNUMBER(F39),F39,NA())</x:f>
        <x:v>#N/A</x:v>
      </x:c>
      <x:c r="G77" s="30" t="e">
        <x:f>IF(ISNUMBER(G39),G39,NA())</x:f>
        <x:v>#N/A</x:v>
      </x:c>
      <x:c r="H77" s="30" t="e">
        <x:f>IF(ISNUMBER(H39),H39,NA())</x:f>
        <x:v>#N/A</x:v>
      </x:c>
      <x:c r="I77" s="30" t="e">
        <x:f>IF(ISNUMBER(I39),I39,NA())</x:f>
        <x:v>#N/A</x:v>
      </x:c>
      <x:c r="J77" s="30" t="e">
        <x:f>IF(ISNUMBER(J39),J39,NA())</x:f>
        <x:v>#N/A</x:v>
      </x:c>
      <x:c r="K77" s="30" t="e">
        <x:f>IF(ISNUMBER(K39),K39,NA())</x:f>
        <x:v>#N/A</x:v>
      </x:c>
      <x:c r="L77" s="30" t="e">
        <x:f>IF(ISNUMBER(L39),L39,NA())</x:f>
        <x:v>#N/A</x:v>
      </x:c>
      <x:c r="M77" s="30" t="e">
        <x:f>IF(ISNUMBER(M39),M39,NA())</x:f>
        <x:v>#N/A</x:v>
      </x:c>
      <x:c r="N77" s="30" t="e">
        <x:f>IF(ISNUMBER(N39),N39,NA())</x:f>
        <x:v>#N/A</x:v>
      </x:c>
      <x:c r="O77" s="30" t="e">
        <x:f>IF(ISNUMBER(O39),O39,NA())</x:f>
        <x:v>#N/A</x:v>
      </x:c>
      <x:c r="P77" s="30" t="e">
        <x:f>IF(ISNUMBER(P39),P39,NA())</x:f>
        <x:v>#N/A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  <x:c r="CA77" s="1"/>
      <x:c r="CB77" s="1"/>
      <x:c r="CC77" s="1"/>
      <x:c r="CD77" s="1"/>
      <x:c r="CE77" s="1"/>
      <x:c r="CF77" s="1"/>
      <x:c r="CG77" s="1"/>
      <x:c r="CH77" s="1"/>
      <x:c r="CI77" s="1"/>
      <x:c r="CJ77" s="1"/>
      <x:c r="CK77" s="1"/>
      <x:c r="CL77" s="1"/>
      <x:c r="CM77" s="1"/>
      <x:c r="CN77" s="1"/>
      <x:c r="CO77" s="1"/>
      <x:c r="CP77" s="1"/>
      <x:c r="CQ77" s="1"/>
      <x:c r="CR77" s="1"/>
      <x:c r="CS77" s="1"/>
      <x:c r="CT77" s="1"/>
      <x:c r="CU77" s="1"/>
      <x:c r="CV77" s="1"/>
      <x:c r="CW77" s="1"/>
      <x:c r="CX77" s="1"/>
      <x:c r="CY77" s="1"/>
      <x:c r="CZ77" s="1"/>
      <x:c r="DA77" s="1"/>
      <x:c r="DB77" s="1"/>
      <x:c r="DC77" s="1"/>
      <x:c r="DD77" s="1"/>
    </x:row>
    <x:row r="78" ht="23" customHeight="1">
      <x:c r="A78" s="1" t="str">
        <x:f>TEXT(A40,"yyyy/mm")</x:f>
        <x:v>2026/11</x:v>
      </x:c>
      <x:c r="B78" s="30" t="e">
        <x:f>IF(ISNUMBER(B40),B40,NA())</x:f>
        <x:v>#N/A</x:v>
      </x:c>
      <x:c r="C78" s="30" t="e">
        <x:f>IF(ISNUMBER(C40),C40,NA())</x:f>
        <x:v>#N/A</x:v>
      </x:c>
      <x:c r="D78" s="30" t="e">
        <x:f>IF(ISNUMBER(D40),D40,NA())</x:f>
        <x:v>#N/A</x:v>
      </x:c>
      <x:c r="E78" s="30" t="e">
        <x:f>IF(ISNUMBER(E40),E40,NA())</x:f>
        <x:v>#N/A</x:v>
      </x:c>
      <x:c r="F78" s="30" t="e">
        <x:f>IF(ISNUMBER(F40),F40,NA())</x:f>
        <x:v>#N/A</x:v>
      </x:c>
      <x:c r="G78" s="30" t="e">
        <x:f>IF(ISNUMBER(G40),G40,NA())</x:f>
        <x:v>#N/A</x:v>
      </x:c>
      <x:c r="H78" s="30" t="e">
        <x:f>IF(ISNUMBER(H40),H40,NA())</x:f>
        <x:v>#N/A</x:v>
      </x:c>
      <x:c r="I78" s="30" t="e">
        <x:f>IF(ISNUMBER(I40),I40,NA())</x:f>
        <x:v>#N/A</x:v>
      </x:c>
      <x:c r="J78" s="30" t="e">
        <x:f>IF(ISNUMBER(J40),J40,NA())</x:f>
        <x:v>#N/A</x:v>
      </x:c>
      <x:c r="K78" s="30" t="e">
        <x:f>IF(ISNUMBER(K40),K40,NA())</x:f>
        <x:v>#N/A</x:v>
      </x:c>
      <x:c r="L78" s="30" t="e">
        <x:f>IF(ISNUMBER(L40),L40,NA())</x:f>
        <x:v>#N/A</x:v>
      </x:c>
      <x:c r="M78" s="30" t="e">
        <x:f>IF(ISNUMBER(M40),M40,NA())</x:f>
        <x:v>#N/A</x:v>
      </x:c>
      <x:c r="N78" s="30" t="e">
        <x:f>IF(ISNUMBER(N40),N40,NA())</x:f>
        <x:v>#N/A</x:v>
      </x:c>
      <x:c r="O78" s="30" t="e">
        <x:f>IF(ISNUMBER(O40),O40,NA())</x:f>
        <x:v>#N/A</x:v>
      </x:c>
      <x:c r="P78" s="30" t="e">
        <x:f>IF(ISNUMBER(P40),P40,NA())</x:f>
        <x:v>#N/A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  <x:c r="CA78" s="1"/>
      <x:c r="CB78" s="1"/>
      <x:c r="CC78" s="1"/>
      <x:c r="CD78" s="1"/>
      <x:c r="CE78" s="1"/>
      <x:c r="CF78" s="1"/>
      <x:c r="CG78" s="1"/>
      <x:c r="CH78" s="1"/>
      <x:c r="CI78" s="1"/>
      <x:c r="CJ78" s="1"/>
      <x:c r="CK78" s="1"/>
      <x:c r="CL78" s="1"/>
      <x:c r="CM78" s="1"/>
      <x:c r="CN78" s="1"/>
      <x:c r="CO78" s="1"/>
      <x:c r="CP78" s="1"/>
      <x:c r="CQ78" s="1"/>
      <x:c r="CR78" s="1"/>
      <x:c r="CS78" s="1"/>
      <x:c r="CT78" s="1"/>
      <x:c r="CU78" s="1"/>
      <x:c r="CV78" s="1"/>
      <x:c r="CW78" s="1"/>
      <x:c r="CX78" s="1"/>
      <x:c r="CY78" s="1"/>
      <x:c r="CZ78" s="1"/>
      <x:c r="DA78" s="1"/>
      <x:c r="DB78" s="1"/>
      <x:c r="DC78" s="1"/>
      <x:c r="DD78" s="1"/>
    </x:row>
    <x:row r="79" ht="23" customHeight="1">
      <x:c r="A79" s="1" t="str">
        <x:f>TEXT(A41,"yyyy/mm")</x:f>
        <x:v>2026/12</x:v>
      </x:c>
      <x:c r="B79" s="30" t="e">
        <x:f>IF(ISNUMBER(B41),B41,NA())</x:f>
        <x:v>#N/A</x:v>
      </x:c>
      <x:c r="C79" s="30" t="e">
        <x:f>IF(ISNUMBER(C41),C41,NA())</x:f>
        <x:v>#N/A</x:v>
      </x:c>
      <x:c r="D79" s="30" t="e">
        <x:f>IF(ISNUMBER(D41),D41,NA())</x:f>
        <x:v>#N/A</x:v>
      </x:c>
      <x:c r="E79" s="30" t="e">
        <x:f>IF(ISNUMBER(E41),E41,NA())</x:f>
        <x:v>#N/A</x:v>
      </x:c>
      <x:c r="F79" s="30" t="e">
        <x:f>IF(ISNUMBER(F41),F41,NA())</x:f>
        <x:v>#N/A</x:v>
      </x:c>
      <x:c r="G79" s="30" t="e">
        <x:f>IF(ISNUMBER(G41),G41,NA())</x:f>
        <x:v>#N/A</x:v>
      </x:c>
      <x:c r="H79" s="30" t="e">
        <x:f>IF(ISNUMBER(H41),H41,NA())</x:f>
        <x:v>#N/A</x:v>
      </x:c>
      <x:c r="I79" s="30" t="e">
        <x:f>IF(ISNUMBER(I41),I41,NA())</x:f>
        <x:v>#N/A</x:v>
      </x:c>
      <x:c r="J79" s="30" t="e">
        <x:f>IF(ISNUMBER(J41),J41,NA())</x:f>
        <x:v>#N/A</x:v>
      </x:c>
      <x:c r="K79" s="30" t="e">
        <x:f>IF(ISNUMBER(K41),K41,NA())</x:f>
        <x:v>#N/A</x:v>
      </x:c>
      <x:c r="L79" s="30" t="e">
        <x:f>IF(ISNUMBER(L41),L41,NA())</x:f>
        <x:v>#N/A</x:v>
      </x:c>
      <x:c r="M79" s="30" t="e">
        <x:f>IF(ISNUMBER(M41),M41,NA())</x:f>
        <x:v>#N/A</x:v>
      </x:c>
      <x:c r="N79" s="30" t="e">
        <x:f>IF(ISNUMBER(N41),N41,NA())</x:f>
        <x:v>#N/A</x:v>
      </x:c>
      <x:c r="O79" s="30" t="e">
        <x:f>IF(ISNUMBER(O41),O41,NA())</x:f>
        <x:v>#N/A</x:v>
      </x:c>
      <x:c r="P79" s="30" t="e">
        <x:f>IF(ISNUMBER(P41),P41,NA())</x:f>
        <x:v>#N/A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  <x:c r="CA79" s="1"/>
      <x:c r="CB79" s="1"/>
      <x:c r="CC79" s="1"/>
      <x:c r="CD79" s="1"/>
      <x:c r="CE79" s="1"/>
      <x:c r="CF79" s="1"/>
      <x:c r="CG79" s="1"/>
      <x:c r="CH79" s="1"/>
      <x:c r="CI79" s="1"/>
      <x:c r="CJ79" s="1"/>
      <x:c r="CK79" s="1"/>
      <x:c r="CL79" s="1"/>
      <x:c r="CM79" s="1"/>
      <x:c r="CN79" s="1"/>
      <x:c r="CO79" s="1"/>
      <x:c r="CP79" s="1"/>
      <x:c r="CQ79" s="1"/>
      <x:c r="CR79" s="1"/>
      <x:c r="CS79" s="1"/>
      <x:c r="CT79" s="1"/>
      <x:c r="CU79" s="1"/>
      <x:c r="CV79" s="1"/>
      <x:c r="CW79" s="1"/>
      <x:c r="CX79" s="1"/>
      <x:c r="CY79" s="1"/>
      <x:c r="CZ79" s="1"/>
      <x:c r="DA79" s="1"/>
      <x:c r="DB79" s="1"/>
      <x:c r="DC79" s="1"/>
      <x:c r="DD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  <x:c r="CA80" s="1"/>
      <x:c r="CB80" s="1"/>
      <x:c r="CC80" s="1"/>
      <x:c r="CD80" s="1"/>
      <x:c r="CE80" s="1"/>
      <x:c r="CF80" s="1"/>
      <x:c r="CG80" s="1"/>
      <x:c r="CH80" s="1"/>
      <x:c r="CI80" s="1"/>
      <x:c r="CJ80" s="1"/>
      <x:c r="CK80" s="1"/>
      <x:c r="CL80" s="1"/>
      <x:c r="CM80" s="1"/>
      <x:c r="CN80" s="1"/>
      <x:c r="CO80" s="1"/>
      <x:c r="CP80" s="1"/>
      <x:c r="CQ80" s="1"/>
      <x:c r="CR80" s="1"/>
      <x:c r="CS80" s="1"/>
      <x:c r="CT80" s="1"/>
      <x:c r="CU80" s="1"/>
      <x:c r="CV80" s="1"/>
      <x:c r="CW80" s="1"/>
      <x:c r="CX80" s="1"/>
      <x:c r="CY80" s="1"/>
      <x:c r="CZ80" s="1"/>
      <x:c r="DA80" s="1"/>
      <x:c r="DB80" s="1"/>
      <x:c r="DC80" s="1"/>
      <x:c r="DD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  <x:c r="CA81" s="1"/>
      <x:c r="CB81" s="1"/>
      <x:c r="CC81" s="1"/>
      <x:c r="CD81" s="1"/>
      <x:c r="CE81" s="1"/>
      <x:c r="CF81" s="1"/>
      <x:c r="CG81" s="1"/>
      <x:c r="CH81" s="1"/>
      <x:c r="CI81" s="1"/>
      <x:c r="CJ81" s="1"/>
      <x:c r="CK81" s="1"/>
      <x:c r="CL81" s="1"/>
      <x:c r="CM81" s="1"/>
      <x:c r="CN81" s="1"/>
      <x:c r="CO81" s="1"/>
      <x:c r="CP81" s="1"/>
      <x:c r="CQ81" s="1"/>
      <x:c r="CR81" s="1"/>
      <x:c r="CS81" s="1"/>
      <x:c r="CT81" s="1"/>
      <x:c r="CU81" s="1"/>
      <x:c r="CV81" s="1"/>
      <x:c r="CW81" s="1"/>
      <x:c r="CX81" s="1"/>
      <x:c r="CY81" s="1"/>
      <x:c r="CZ81" s="1"/>
      <x:c r="DA81" s="1"/>
      <x:c r="DB81" s="1"/>
      <x:c r="DC81" s="1"/>
      <x:c r="DD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  <x:c r="CA82" s="1"/>
      <x:c r="CB82" s="1"/>
      <x:c r="CC82" s="1"/>
      <x:c r="CD82" s="1"/>
      <x:c r="CE82" s="1"/>
      <x:c r="CF82" s="1"/>
      <x:c r="CG82" s="1"/>
      <x:c r="CH82" s="1"/>
      <x:c r="CI82" s="1"/>
      <x:c r="CJ82" s="1"/>
      <x:c r="CK82" s="1"/>
      <x:c r="CL82" s="1"/>
      <x:c r="CM82" s="1"/>
      <x:c r="CN82" s="1"/>
      <x:c r="CO82" s="1"/>
      <x:c r="CP82" s="1"/>
      <x:c r="CQ82" s="1"/>
      <x:c r="CR82" s="1"/>
      <x:c r="CS82" s="1"/>
      <x:c r="CT82" s="1"/>
      <x:c r="CU82" s="1"/>
      <x:c r="CV82" s="1"/>
      <x:c r="CW82" s="1"/>
      <x:c r="CX82" s="1"/>
      <x:c r="CY82" s="1"/>
      <x:c r="CZ82" s="1"/>
      <x:c r="DA82" s="1"/>
      <x:c r="DB82" s="1"/>
      <x:c r="DC82" s="1"/>
      <x:c r="DD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  <x:c r="CA83" s="1"/>
      <x:c r="CB83" s="1"/>
      <x:c r="CC83" s="1"/>
      <x:c r="CD83" s="1"/>
      <x:c r="CE83" s="1"/>
      <x:c r="CF83" s="1"/>
      <x:c r="CG83" s="1"/>
      <x:c r="CH83" s="1"/>
      <x:c r="CI83" s="1"/>
      <x:c r="CJ83" s="1"/>
      <x:c r="CK83" s="1"/>
      <x:c r="CL83" s="1"/>
      <x:c r="CM83" s="1"/>
      <x:c r="CN83" s="1"/>
      <x:c r="CO83" s="1"/>
      <x:c r="CP83" s="1"/>
      <x:c r="CQ83" s="1"/>
      <x:c r="CR83" s="1"/>
      <x:c r="CS83" s="1"/>
      <x:c r="CT83" s="1"/>
      <x:c r="CU83" s="1"/>
      <x:c r="CV83" s="1"/>
      <x:c r="CW83" s="1"/>
      <x:c r="CX83" s="1"/>
      <x:c r="CY83" s="1"/>
      <x:c r="CZ83" s="1"/>
      <x:c r="DA83" s="1"/>
      <x:c r="DB83" s="1"/>
      <x:c r="DC83" s="1"/>
      <x:c r="DD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  <x:c r="CA84" s="1"/>
      <x:c r="CB84" s="1"/>
      <x:c r="CC84" s="1"/>
      <x:c r="CD84" s="1"/>
      <x:c r="CE84" s="1"/>
      <x:c r="CF84" s="1"/>
      <x:c r="CG84" s="1"/>
      <x:c r="CH84" s="1"/>
      <x:c r="CI84" s="1"/>
      <x:c r="CJ84" s="1"/>
      <x:c r="CK84" s="1"/>
      <x:c r="CL84" s="1"/>
      <x:c r="CM84" s="1"/>
      <x:c r="CN84" s="1"/>
      <x:c r="CO84" s="1"/>
      <x:c r="CP84" s="1"/>
      <x:c r="CQ84" s="1"/>
      <x:c r="CR84" s="1"/>
      <x:c r="CS84" s="1"/>
      <x:c r="CT84" s="1"/>
      <x:c r="CU84" s="1"/>
      <x:c r="CV84" s="1"/>
      <x:c r="CW84" s="1"/>
      <x:c r="CX84" s="1"/>
      <x:c r="CY84" s="1"/>
      <x:c r="CZ84" s="1"/>
      <x:c r="DA84" s="1"/>
      <x:c r="DB84" s="1"/>
      <x:c r="DC84" s="1"/>
      <x:c r="DD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  <x:c r="CA85" s="1"/>
      <x:c r="CB85" s="1"/>
      <x:c r="CC85" s="1"/>
      <x:c r="CD85" s="1"/>
      <x:c r="CE85" s="1"/>
      <x:c r="CF85" s="1"/>
      <x:c r="CG85" s="1"/>
      <x:c r="CH85" s="1"/>
      <x:c r="CI85" s="1"/>
      <x:c r="CJ85" s="1"/>
      <x:c r="CK85" s="1"/>
      <x:c r="CL85" s="1"/>
      <x:c r="CM85" s="1"/>
      <x:c r="CN85" s="1"/>
      <x:c r="CO85" s="1"/>
      <x:c r="CP85" s="1"/>
      <x:c r="CQ85" s="1"/>
      <x:c r="CR85" s="1"/>
      <x:c r="CS85" s="1"/>
      <x:c r="CT85" s="1"/>
      <x:c r="CU85" s="1"/>
      <x:c r="CV85" s="1"/>
      <x:c r="CW85" s="1"/>
      <x:c r="CX85" s="1"/>
      <x:c r="CY85" s="1"/>
      <x:c r="CZ85" s="1"/>
      <x:c r="DA85" s="1"/>
      <x:c r="DB85" s="1"/>
      <x:c r="DC85" s="1"/>
      <x:c r="DD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  <x:c r="CA86" s="1"/>
      <x:c r="CB86" s="1"/>
      <x:c r="CC86" s="1"/>
      <x:c r="CD86" s="1"/>
      <x:c r="CE86" s="1"/>
      <x:c r="CF86" s="1"/>
      <x:c r="CG86" s="1"/>
      <x:c r="CH86" s="1"/>
      <x:c r="CI86" s="1"/>
      <x:c r="CJ86" s="1"/>
      <x:c r="CK86" s="1"/>
      <x:c r="CL86" s="1"/>
      <x:c r="CM86" s="1"/>
      <x:c r="CN86" s="1"/>
      <x:c r="CO86" s="1"/>
      <x:c r="CP86" s="1"/>
      <x:c r="CQ86" s="1"/>
      <x:c r="CR86" s="1"/>
      <x:c r="CS86" s="1"/>
      <x:c r="CT86" s="1"/>
      <x:c r="CU86" s="1"/>
      <x:c r="CV86" s="1"/>
      <x:c r="CW86" s="1"/>
      <x:c r="CX86" s="1"/>
      <x:c r="CY86" s="1"/>
      <x:c r="CZ86" s="1"/>
      <x:c r="DA86" s="1"/>
      <x:c r="DB86" s="1"/>
      <x:c r="DC86" s="1"/>
      <x:c r="DD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  <x:c r="CA87" s="1"/>
      <x:c r="CB87" s="1"/>
      <x:c r="CC87" s="1"/>
      <x:c r="CD87" s="1"/>
      <x:c r="CE87" s="1"/>
      <x:c r="CF87" s="1"/>
      <x:c r="CG87" s="1"/>
      <x:c r="CH87" s="1"/>
      <x:c r="CI87" s="1"/>
      <x:c r="CJ87" s="1"/>
      <x:c r="CK87" s="1"/>
      <x:c r="CL87" s="1"/>
      <x:c r="CM87" s="1"/>
      <x:c r="CN87" s="1"/>
      <x:c r="CO87" s="1"/>
      <x:c r="CP87" s="1"/>
      <x:c r="CQ87" s="1"/>
      <x:c r="CR87" s="1"/>
      <x:c r="CS87" s="1"/>
      <x:c r="CT87" s="1"/>
      <x:c r="CU87" s="1"/>
      <x:c r="CV87" s="1"/>
      <x:c r="CW87" s="1"/>
      <x:c r="CX87" s="1"/>
      <x:c r="CY87" s="1"/>
      <x:c r="CZ87" s="1"/>
      <x:c r="DA87" s="1"/>
      <x:c r="DB87" s="1"/>
      <x:c r="DC87" s="1"/>
      <x:c r="DD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  <x:c r="CA88" s="1"/>
      <x:c r="CB88" s="1"/>
      <x:c r="CC88" s="1"/>
      <x:c r="CD88" s="1"/>
      <x:c r="CE88" s="1"/>
      <x:c r="CF88" s="1"/>
      <x:c r="CG88" s="1"/>
      <x:c r="CH88" s="1"/>
      <x:c r="CI88" s="1"/>
      <x:c r="CJ88" s="1"/>
      <x:c r="CK88" s="1"/>
      <x:c r="CL88" s="1"/>
      <x:c r="CM88" s="1"/>
      <x:c r="CN88" s="1"/>
      <x:c r="CO88" s="1"/>
      <x:c r="CP88" s="1"/>
      <x:c r="CQ88" s="1"/>
      <x:c r="CR88" s="1"/>
      <x:c r="CS88" s="1"/>
      <x:c r="CT88" s="1"/>
      <x:c r="CU88" s="1"/>
      <x:c r="CV88" s="1"/>
      <x:c r="CW88" s="1"/>
      <x:c r="CX88" s="1"/>
      <x:c r="CY88" s="1"/>
      <x:c r="CZ88" s="1"/>
      <x:c r="DA88" s="1"/>
      <x:c r="DB88" s="1"/>
      <x:c r="DC88" s="1"/>
      <x:c r="DD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  <x:c r="CA89" s="1"/>
      <x:c r="CB89" s="1"/>
      <x:c r="CC89" s="1"/>
      <x:c r="CD89" s="1"/>
      <x:c r="CE89" s="1"/>
      <x:c r="CF89" s="1"/>
      <x:c r="CG89" s="1"/>
      <x:c r="CH89" s="1"/>
      <x:c r="CI89" s="1"/>
      <x:c r="CJ89" s="1"/>
      <x:c r="CK89" s="1"/>
      <x:c r="CL89" s="1"/>
      <x:c r="CM89" s="1"/>
      <x:c r="CN89" s="1"/>
      <x:c r="CO89" s="1"/>
      <x:c r="CP89" s="1"/>
      <x:c r="CQ89" s="1"/>
      <x:c r="CR89" s="1"/>
      <x:c r="CS89" s="1"/>
      <x:c r="CT89" s="1"/>
      <x:c r="CU89" s="1"/>
      <x:c r="CV89" s="1"/>
      <x:c r="CW89" s="1"/>
      <x:c r="CX89" s="1"/>
      <x:c r="CY89" s="1"/>
      <x:c r="CZ89" s="1"/>
      <x:c r="DA89" s="1"/>
      <x:c r="DB89" s="1"/>
      <x:c r="DC89" s="1"/>
      <x:c r="DD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  <x:c r="CA90" s="1"/>
      <x:c r="CB90" s="1"/>
      <x:c r="CC90" s="1"/>
      <x:c r="CD90" s="1"/>
      <x:c r="CE90" s="1"/>
      <x:c r="CF90" s="1"/>
      <x:c r="CG90" s="1"/>
      <x:c r="CH90" s="1"/>
      <x:c r="CI90" s="1"/>
      <x:c r="CJ90" s="1"/>
      <x:c r="CK90" s="1"/>
      <x:c r="CL90" s="1"/>
      <x:c r="CM90" s="1"/>
      <x:c r="CN90" s="1"/>
      <x:c r="CO90" s="1"/>
      <x:c r="CP90" s="1"/>
      <x:c r="CQ90" s="1"/>
      <x:c r="CR90" s="1"/>
      <x:c r="CS90" s="1"/>
      <x:c r="CT90" s="1"/>
      <x:c r="CU90" s="1"/>
      <x:c r="CV90" s="1"/>
      <x:c r="CW90" s="1"/>
      <x:c r="CX90" s="1"/>
      <x:c r="CY90" s="1"/>
      <x:c r="CZ90" s="1"/>
      <x:c r="DA90" s="1"/>
      <x:c r="DB90" s="1"/>
      <x:c r="DC90" s="1"/>
      <x:c r="DD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  <x:c r="CA91" s="1"/>
      <x:c r="CB91" s="1"/>
      <x:c r="CC91" s="1"/>
      <x:c r="CD91" s="1"/>
      <x:c r="CE91" s="1"/>
      <x:c r="CF91" s="1"/>
      <x:c r="CG91" s="1"/>
      <x:c r="CH91" s="1"/>
      <x:c r="CI91" s="1"/>
      <x:c r="CJ91" s="1"/>
      <x:c r="CK91" s="1"/>
      <x:c r="CL91" s="1"/>
      <x:c r="CM91" s="1"/>
      <x:c r="CN91" s="1"/>
      <x:c r="CO91" s="1"/>
      <x:c r="CP91" s="1"/>
      <x:c r="CQ91" s="1"/>
      <x:c r="CR91" s="1"/>
      <x:c r="CS91" s="1"/>
      <x:c r="CT91" s="1"/>
      <x:c r="CU91" s="1"/>
      <x:c r="CV91" s="1"/>
      <x:c r="CW91" s="1"/>
      <x:c r="CX91" s="1"/>
      <x:c r="CY91" s="1"/>
      <x:c r="CZ91" s="1"/>
      <x:c r="DA91" s="1"/>
      <x:c r="DB91" s="1"/>
      <x:c r="DC91" s="1"/>
      <x:c r="DD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  <x:c r="CA92" s="1"/>
      <x:c r="CB92" s="1"/>
      <x:c r="CC92" s="1"/>
      <x:c r="CD92" s="1"/>
      <x:c r="CE92" s="1"/>
      <x:c r="CF92" s="1"/>
      <x:c r="CG92" s="1"/>
      <x:c r="CH92" s="1"/>
      <x:c r="CI92" s="1"/>
      <x:c r="CJ92" s="1"/>
      <x:c r="CK92" s="1"/>
      <x:c r="CL92" s="1"/>
      <x:c r="CM92" s="1"/>
      <x:c r="CN92" s="1"/>
      <x:c r="CO92" s="1"/>
      <x:c r="CP92" s="1"/>
      <x:c r="CQ92" s="1"/>
      <x:c r="CR92" s="1"/>
      <x:c r="CS92" s="1"/>
      <x:c r="CT92" s="1"/>
      <x:c r="CU92" s="1"/>
      <x:c r="CV92" s="1"/>
      <x:c r="CW92" s="1"/>
      <x:c r="CX92" s="1"/>
      <x:c r="CY92" s="1"/>
      <x:c r="CZ92" s="1"/>
      <x:c r="DA92" s="1"/>
      <x:c r="DB92" s="1"/>
      <x:c r="DC92" s="1"/>
      <x:c r="DD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  <x:c r="CA93" s="1"/>
      <x:c r="CB93" s="1"/>
      <x:c r="CC93" s="1"/>
      <x:c r="CD93" s="1"/>
      <x:c r="CE93" s="1"/>
      <x:c r="CF93" s="1"/>
      <x:c r="CG93" s="1"/>
      <x:c r="CH93" s="1"/>
      <x:c r="CI93" s="1"/>
      <x:c r="CJ93" s="1"/>
      <x:c r="CK93" s="1"/>
      <x:c r="CL93" s="1"/>
      <x:c r="CM93" s="1"/>
      <x:c r="CN93" s="1"/>
      <x:c r="CO93" s="1"/>
      <x:c r="CP93" s="1"/>
      <x:c r="CQ93" s="1"/>
      <x:c r="CR93" s="1"/>
      <x:c r="CS93" s="1"/>
      <x:c r="CT93" s="1"/>
      <x:c r="CU93" s="1"/>
      <x:c r="CV93" s="1"/>
      <x:c r="CW93" s="1"/>
      <x:c r="CX93" s="1"/>
      <x:c r="CY93" s="1"/>
      <x:c r="CZ93" s="1"/>
      <x:c r="DA93" s="1"/>
      <x:c r="DB93" s="1"/>
      <x:c r="DC93" s="1"/>
      <x:c r="DD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  <x:c r="CA94" s="1"/>
      <x:c r="CB94" s="1"/>
      <x:c r="CC94" s="1"/>
      <x:c r="CD94" s="1"/>
      <x:c r="CE94" s="1"/>
      <x:c r="CF94" s="1"/>
      <x:c r="CG94" s="1"/>
      <x:c r="CH94" s="1"/>
      <x:c r="CI94" s="1"/>
      <x:c r="CJ94" s="1"/>
      <x:c r="CK94" s="1"/>
      <x:c r="CL94" s="1"/>
      <x:c r="CM94" s="1"/>
      <x:c r="CN94" s="1"/>
      <x:c r="CO94" s="1"/>
      <x:c r="CP94" s="1"/>
      <x:c r="CQ94" s="1"/>
      <x:c r="CR94" s="1"/>
      <x:c r="CS94" s="1"/>
      <x:c r="CT94" s="1"/>
      <x:c r="CU94" s="1"/>
      <x:c r="CV94" s="1"/>
      <x:c r="CW94" s="1"/>
      <x:c r="CX94" s="1"/>
      <x:c r="CY94" s="1"/>
      <x:c r="CZ94" s="1"/>
      <x:c r="DA94" s="1"/>
      <x:c r="DB94" s="1"/>
      <x:c r="DC94" s="1"/>
      <x:c r="DD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  <x:c r="CA95" s="1"/>
      <x:c r="CB95" s="1"/>
      <x:c r="CC95" s="1"/>
      <x:c r="CD95" s="1"/>
      <x:c r="CE95" s="1"/>
      <x:c r="CF95" s="1"/>
      <x:c r="CG95" s="1"/>
      <x:c r="CH95" s="1"/>
      <x:c r="CI95" s="1"/>
      <x:c r="CJ95" s="1"/>
      <x:c r="CK95" s="1"/>
      <x:c r="CL95" s="1"/>
      <x:c r="CM95" s="1"/>
      <x:c r="CN95" s="1"/>
      <x:c r="CO95" s="1"/>
      <x:c r="CP95" s="1"/>
      <x:c r="CQ95" s="1"/>
      <x:c r="CR95" s="1"/>
      <x:c r="CS95" s="1"/>
      <x:c r="CT95" s="1"/>
      <x:c r="CU95" s="1"/>
      <x:c r="CV95" s="1"/>
      <x:c r="CW95" s="1"/>
      <x:c r="CX95" s="1"/>
      <x:c r="CY95" s="1"/>
      <x:c r="CZ95" s="1"/>
      <x:c r="DA95" s="1"/>
      <x:c r="DB95" s="1"/>
      <x:c r="DC95" s="1"/>
      <x:c r="DD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  <x:c r="CA96" s="1"/>
      <x:c r="CB96" s="1"/>
      <x:c r="CC96" s="1"/>
      <x:c r="CD96" s="1"/>
      <x:c r="CE96" s="1"/>
      <x:c r="CF96" s="1"/>
      <x:c r="CG96" s="1"/>
      <x:c r="CH96" s="1"/>
      <x:c r="CI96" s="1"/>
      <x:c r="CJ96" s="1"/>
      <x:c r="CK96" s="1"/>
      <x:c r="CL96" s="1"/>
      <x:c r="CM96" s="1"/>
      <x:c r="CN96" s="1"/>
      <x:c r="CO96" s="1"/>
      <x:c r="CP96" s="1"/>
      <x:c r="CQ96" s="1"/>
      <x:c r="CR96" s="1"/>
      <x:c r="CS96" s="1"/>
      <x:c r="CT96" s="1"/>
      <x:c r="CU96" s="1"/>
      <x:c r="CV96" s="1"/>
      <x:c r="CW96" s="1"/>
      <x:c r="CX96" s="1"/>
      <x:c r="CY96" s="1"/>
      <x:c r="CZ96" s="1"/>
      <x:c r="DA96" s="1"/>
      <x:c r="DB96" s="1"/>
      <x:c r="DC96" s="1"/>
      <x:c r="DD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  <x:c r="CA97" s="1"/>
      <x:c r="CB97" s="1"/>
      <x:c r="CC97" s="1"/>
      <x:c r="CD97" s="1"/>
      <x:c r="CE97" s="1"/>
      <x:c r="CF97" s="1"/>
      <x:c r="CG97" s="1"/>
      <x:c r="CH97" s="1"/>
      <x:c r="CI97" s="1"/>
      <x:c r="CJ97" s="1"/>
      <x:c r="CK97" s="1"/>
      <x:c r="CL97" s="1"/>
      <x:c r="CM97" s="1"/>
      <x:c r="CN97" s="1"/>
      <x:c r="CO97" s="1"/>
      <x:c r="CP97" s="1"/>
      <x:c r="CQ97" s="1"/>
      <x:c r="CR97" s="1"/>
      <x:c r="CS97" s="1"/>
      <x:c r="CT97" s="1"/>
      <x:c r="CU97" s="1"/>
      <x:c r="CV97" s="1"/>
      <x:c r="CW97" s="1"/>
      <x:c r="CX97" s="1"/>
      <x:c r="CY97" s="1"/>
      <x:c r="CZ97" s="1"/>
      <x:c r="DA97" s="1"/>
      <x:c r="DB97" s="1"/>
      <x:c r="DC97" s="1"/>
      <x:c r="DD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  <x:c r="CA98" s="1"/>
      <x:c r="CB98" s="1"/>
      <x:c r="CC98" s="1"/>
      <x:c r="CD98" s="1"/>
      <x:c r="CE98" s="1"/>
      <x:c r="CF98" s="1"/>
      <x:c r="CG98" s="1"/>
      <x:c r="CH98" s="1"/>
      <x:c r="CI98" s="1"/>
      <x:c r="CJ98" s="1"/>
      <x:c r="CK98" s="1"/>
      <x:c r="CL98" s="1"/>
      <x:c r="CM98" s="1"/>
      <x:c r="CN98" s="1"/>
      <x:c r="CO98" s="1"/>
      <x:c r="CP98" s="1"/>
      <x:c r="CQ98" s="1"/>
      <x:c r="CR98" s="1"/>
      <x:c r="CS98" s="1"/>
      <x:c r="CT98" s="1"/>
      <x:c r="CU98" s="1"/>
      <x:c r="CV98" s="1"/>
      <x:c r="CW98" s="1"/>
      <x:c r="CX98" s="1"/>
      <x:c r="CY98" s="1"/>
      <x:c r="CZ98" s="1"/>
      <x:c r="DA98" s="1"/>
      <x:c r="DB98" s="1"/>
      <x:c r="DC98" s="1"/>
      <x:c r="DD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  <x:c r="CA99" s="1"/>
      <x:c r="CB99" s="1"/>
      <x:c r="CC99" s="1"/>
      <x:c r="CD99" s="1"/>
      <x:c r="CE99" s="1"/>
      <x:c r="CF99" s="1"/>
      <x:c r="CG99" s="1"/>
      <x:c r="CH99" s="1"/>
      <x:c r="CI99" s="1"/>
      <x:c r="CJ99" s="1"/>
      <x:c r="CK99" s="1"/>
      <x:c r="CL99" s="1"/>
      <x:c r="CM99" s="1"/>
      <x:c r="CN99" s="1"/>
      <x:c r="CO99" s="1"/>
      <x:c r="CP99" s="1"/>
      <x:c r="CQ99" s="1"/>
      <x:c r="CR99" s="1"/>
      <x:c r="CS99" s="1"/>
      <x:c r="CT99" s="1"/>
      <x:c r="CU99" s="1"/>
      <x:c r="CV99" s="1"/>
      <x:c r="CW99" s="1"/>
      <x:c r="CX99" s="1"/>
      <x:c r="CY99" s="1"/>
      <x:c r="CZ99" s="1"/>
      <x:c r="DA99" s="1"/>
      <x:c r="DB99" s="1"/>
      <x:c r="DC99" s="1"/>
      <x:c r="DD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  <x:c r="CA100" s="1"/>
      <x:c r="CB100" s="1"/>
      <x:c r="CC100" s="1"/>
      <x:c r="CD100" s="1"/>
      <x:c r="CE100" s="1"/>
      <x:c r="CF100" s="1"/>
      <x:c r="CG100" s="1"/>
      <x:c r="CH100" s="1"/>
      <x:c r="CI100" s="1"/>
      <x:c r="CJ100" s="1"/>
      <x:c r="CK100" s="1"/>
      <x:c r="CL100" s="1"/>
      <x:c r="CM100" s="1"/>
      <x:c r="CN100" s="1"/>
      <x:c r="CO100" s="1"/>
      <x:c r="CP100" s="1"/>
      <x:c r="CQ100" s="1"/>
      <x:c r="CR100" s="1"/>
      <x:c r="CS100" s="1"/>
      <x:c r="CT100" s="1"/>
      <x:c r="CU100" s="1"/>
      <x:c r="CV100" s="1"/>
      <x:c r="CW100" s="1"/>
      <x:c r="CX100" s="1"/>
      <x:c r="CY100" s="1"/>
      <x:c r="CZ100" s="1"/>
      <x:c r="DA100" s="1"/>
      <x:c r="DB100" s="1"/>
      <x:c r="DC100" s="1"/>
      <x:c r="DD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  <x:c r="CA101" s="1"/>
      <x:c r="CB101" s="1"/>
      <x:c r="CC101" s="1"/>
      <x:c r="CD101" s="1"/>
      <x:c r="CE101" s="1"/>
      <x:c r="CF101" s="1"/>
      <x:c r="CG101" s="1"/>
      <x:c r="CH101" s="1"/>
      <x:c r="CI101" s="1"/>
      <x:c r="CJ101" s="1"/>
      <x:c r="CK101" s="1"/>
      <x:c r="CL101" s="1"/>
      <x:c r="CM101" s="1"/>
      <x:c r="CN101" s="1"/>
      <x:c r="CO101" s="1"/>
      <x:c r="CP101" s="1"/>
      <x:c r="CQ101" s="1"/>
      <x:c r="CR101" s="1"/>
      <x:c r="CS101" s="1"/>
      <x:c r="CT101" s="1"/>
      <x:c r="CU101" s="1"/>
      <x:c r="CV101" s="1"/>
      <x:c r="CW101" s="1"/>
      <x:c r="CX101" s="1"/>
      <x:c r="CY101" s="1"/>
      <x:c r="CZ101" s="1"/>
      <x:c r="DA101" s="1"/>
      <x:c r="DB101" s="1"/>
      <x:c r="DC101" s="1"/>
      <x:c r="DD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  <x:c r="CA102" s="1"/>
      <x:c r="CB102" s="1"/>
      <x:c r="CC102" s="1"/>
      <x:c r="CD102" s="1"/>
      <x:c r="CE102" s="1"/>
      <x:c r="CF102" s="1"/>
      <x:c r="CG102" s="1"/>
      <x:c r="CH102" s="1"/>
      <x:c r="CI102" s="1"/>
      <x:c r="CJ102" s="1"/>
      <x:c r="CK102" s="1"/>
      <x:c r="CL102" s="1"/>
      <x:c r="CM102" s="1"/>
      <x:c r="CN102" s="1"/>
      <x:c r="CO102" s="1"/>
      <x:c r="CP102" s="1"/>
      <x:c r="CQ102" s="1"/>
      <x:c r="CR102" s="1"/>
      <x:c r="CS102" s="1"/>
      <x:c r="CT102" s="1"/>
      <x:c r="CU102" s="1"/>
      <x:c r="CV102" s="1"/>
      <x:c r="CW102" s="1"/>
      <x:c r="CX102" s="1"/>
      <x:c r="CY102" s="1"/>
      <x:c r="CZ102" s="1"/>
      <x:c r="DA102" s="1"/>
      <x:c r="DB102" s="1"/>
      <x:c r="DC102" s="1"/>
      <x:c r="DD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  <x:c r="CA103" s="1"/>
      <x:c r="CB103" s="1"/>
      <x:c r="CC103" s="1"/>
      <x:c r="CD103" s="1"/>
      <x:c r="CE103" s="1"/>
      <x:c r="CF103" s="1"/>
      <x:c r="CG103" s="1"/>
      <x:c r="CH103" s="1"/>
      <x:c r="CI103" s="1"/>
      <x:c r="CJ103" s="1"/>
      <x:c r="CK103" s="1"/>
      <x:c r="CL103" s="1"/>
      <x:c r="CM103" s="1"/>
      <x:c r="CN103" s="1"/>
      <x:c r="CO103" s="1"/>
      <x:c r="CP103" s="1"/>
      <x:c r="CQ103" s="1"/>
      <x:c r="CR103" s="1"/>
      <x:c r="CS103" s="1"/>
      <x:c r="CT103" s="1"/>
      <x:c r="CU103" s="1"/>
      <x:c r="CV103" s="1"/>
      <x:c r="CW103" s="1"/>
      <x:c r="CX103" s="1"/>
      <x:c r="CY103" s="1"/>
      <x:c r="CZ103" s="1"/>
      <x:c r="DA103" s="1"/>
      <x:c r="DB103" s="1"/>
      <x:c r="DC103" s="1"/>
      <x:c r="DD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  <x:c r="CA104" s="1"/>
      <x:c r="CB104" s="1"/>
      <x:c r="CC104" s="1"/>
      <x:c r="CD104" s="1"/>
      <x:c r="CE104" s="1"/>
      <x:c r="CF104" s="1"/>
      <x:c r="CG104" s="1"/>
      <x:c r="CH104" s="1"/>
      <x:c r="CI104" s="1"/>
      <x:c r="CJ104" s="1"/>
      <x:c r="CK104" s="1"/>
      <x:c r="CL104" s="1"/>
      <x:c r="CM104" s="1"/>
      <x:c r="CN104" s="1"/>
      <x:c r="CO104" s="1"/>
      <x:c r="CP104" s="1"/>
      <x:c r="CQ104" s="1"/>
      <x:c r="CR104" s="1"/>
      <x:c r="CS104" s="1"/>
      <x:c r="CT104" s="1"/>
      <x:c r="CU104" s="1"/>
      <x:c r="CV104" s="1"/>
      <x:c r="CW104" s="1"/>
      <x:c r="CX104" s="1"/>
      <x:c r="CY104" s="1"/>
      <x:c r="CZ104" s="1"/>
      <x:c r="DA104" s="1"/>
      <x:c r="DB104" s="1"/>
      <x:c r="DC104" s="1"/>
      <x:c r="DD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  <x:c r="CA105" s="1"/>
      <x:c r="CB105" s="1"/>
      <x:c r="CC105" s="1"/>
      <x:c r="CD105" s="1"/>
      <x:c r="CE105" s="1"/>
      <x:c r="CF105" s="1"/>
      <x:c r="CG105" s="1"/>
      <x:c r="CH105" s="1"/>
      <x:c r="CI105" s="1"/>
      <x:c r="CJ105" s="1"/>
      <x:c r="CK105" s="1"/>
      <x:c r="CL105" s="1"/>
      <x:c r="CM105" s="1"/>
      <x:c r="CN105" s="1"/>
      <x:c r="CO105" s="1"/>
      <x:c r="CP105" s="1"/>
      <x:c r="CQ105" s="1"/>
      <x:c r="CR105" s="1"/>
      <x:c r="CS105" s="1"/>
      <x:c r="CT105" s="1"/>
      <x:c r="CU105" s="1"/>
      <x:c r="CV105" s="1"/>
      <x:c r="CW105" s="1"/>
      <x:c r="CX105" s="1"/>
      <x:c r="CY105" s="1"/>
      <x:c r="CZ105" s="1"/>
      <x:c r="DA105" s="1"/>
      <x:c r="DB105" s="1"/>
      <x:c r="DC105" s="1"/>
      <x:c r="DD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  <x:c r="CA106" s="1"/>
      <x:c r="CB106" s="1"/>
      <x:c r="CC106" s="1"/>
      <x:c r="CD106" s="1"/>
      <x:c r="CE106" s="1"/>
      <x:c r="CF106" s="1"/>
      <x:c r="CG106" s="1"/>
      <x:c r="CH106" s="1"/>
      <x:c r="CI106" s="1"/>
      <x:c r="CJ106" s="1"/>
      <x:c r="CK106" s="1"/>
      <x:c r="CL106" s="1"/>
      <x:c r="CM106" s="1"/>
      <x:c r="CN106" s="1"/>
      <x:c r="CO106" s="1"/>
      <x:c r="CP106" s="1"/>
      <x:c r="CQ106" s="1"/>
      <x:c r="CR106" s="1"/>
      <x:c r="CS106" s="1"/>
      <x:c r="CT106" s="1"/>
      <x:c r="CU106" s="1"/>
      <x:c r="CV106" s="1"/>
      <x:c r="CW106" s="1"/>
      <x:c r="CX106" s="1"/>
      <x:c r="CY106" s="1"/>
      <x:c r="CZ106" s="1"/>
      <x:c r="DA106" s="1"/>
      <x:c r="DB106" s="1"/>
      <x:c r="DC106" s="1"/>
      <x:c r="DD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  <x:c r="CA107" s="1"/>
      <x:c r="CB107" s="1"/>
      <x:c r="CC107" s="1"/>
      <x:c r="CD107" s="1"/>
      <x:c r="CE107" s="1"/>
      <x:c r="CF107" s="1"/>
      <x:c r="CG107" s="1"/>
      <x:c r="CH107" s="1"/>
      <x:c r="CI107" s="1"/>
      <x:c r="CJ107" s="1"/>
      <x:c r="CK107" s="1"/>
      <x:c r="CL107" s="1"/>
      <x:c r="CM107" s="1"/>
      <x:c r="CN107" s="1"/>
      <x:c r="CO107" s="1"/>
      <x:c r="CP107" s="1"/>
      <x:c r="CQ107" s="1"/>
      <x:c r="CR107" s="1"/>
      <x:c r="CS107" s="1"/>
      <x:c r="CT107" s="1"/>
      <x:c r="CU107" s="1"/>
      <x:c r="CV107" s="1"/>
      <x:c r="CW107" s="1"/>
      <x:c r="CX107" s="1"/>
      <x:c r="CY107" s="1"/>
      <x:c r="CZ107" s="1"/>
      <x:c r="DA107" s="1"/>
      <x:c r="DB107" s="1"/>
      <x:c r="DC107" s="1"/>
      <x:c r="DD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  <x:c r="CA108" s="1"/>
      <x:c r="CB108" s="1"/>
      <x:c r="CC108" s="1"/>
      <x:c r="CD108" s="1"/>
      <x:c r="CE108" s="1"/>
      <x:c r="CF108" s="1"/>
      <x:c r="CG108" s="1"/>
      <x:c r="CH108" s="1"/>
      <x:c r="CI108" s="1"/>
      <x:c r="CJ108" s="1"/>
      <x:c r="CK108" s="1"/>
      <x:c r="CL108" s="1"/>
      <x:c r="CM108" s="1"/>
      <x:c r="CN108" s="1"/>
      <x:c r="CO108" s="1"/>
      <x:c r="CP108" s="1"/>
      <x:c r="CQ108" s="1"/>
      <x:c r="CR108" s="1"/>
      <x:c r="CS108" s="1"/>
      <x:c r="CT108" s="1"/>
      <x:c r="CU108" s="1"/>
      <x:c r="CV108" s="1"/>
      <x:c r="CW108" s="1"/>
      <x:c r="CX108" s="1"/>
      <x:c r="CY108" s="1"/>
      <x:c r="CZ108" s="1"/>
      <x:c r="DA108" s="1"/>
      <x:c r="DB108" s="1"/>
      <x:c r="DC108" s="1"/>
      <x:c r="DD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  <x:c r="CA109" s="1"/>
      <x:c r="CB109" s="1"/>
      <x:c r="CC109" s="1"/>
      <x:c r="CD109" s="1"/>
      <x:c r="CE109" s="1"/>
      <x:c r="CF109" s="1"/>
      <x:c r="CG109" s="1"/>
      <x:c r="CH109" s="1"/>
      <x:c r="CI109" s="1"/>
      <x:c r="CJ109" s="1"/>
      <x:c r="CK109" s="1"/>
      <x:c r="CL109" s="1"/>
      <x:c r="CM109" s="1"/>
      <x:c r="CN109" s="1"/>
      <x:c r="CO109" s="1"/>
      <x:c r="CP109" s="1"/>
      <x:c r="CQ109" s="1"/>
      <x:c r="CR109" s="1"/>
      <x:c r="CS109" s="1"/>
      <x:c r="CT109" s="1"/>
      <x:c r="CU109" s="1"/>
      <x:c r="CV109" s="1"/>
      <x:c r="CW109" s="1"/>
      <x:c r="CX109" s="1"/>
      <x:c r="CY109" s="1"/>
      <x:c r="CZ109" s="1"/>
      <x:c r="DA109" s="1"/>
      <x:c r="DB109" s="1"/>
      <x:c r="DC109" s="1"/>
      <x:c r="DD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  <x:c r="CA110" s="1"/>
      <x:c r="CB110" s="1"/>
      <x:c r="CC110" s="1"/>
      <x:c r="CD110" s="1"/>
      <x:c r="CE110" s="1"/>
      <x:c r="CF110" s="1"/>
      <x:c r="CG110" s="1"/>
      <x:c r="CH110" s="1"/>
      <x:c r="CI110" s="1"/>
      <x:c r="CJ110" s="1"/>
      <x:c r="CK110" s="1"/>
      <x:c r="CL110" s="1"/>
      <x:c r="CM110" s="1"/>
      <x:c r="CN110" s="1"/>
      <x:c r="CO110" s="1"/>
      <x:c r="CP110" s="1"/>
      <x:c r="CQ110" s="1"/>
      <x:c r="CR110" s="1"/>
      <x:c r="CS110" s="1"/>
      <x:c r="CT110" s="1"/>
      <x:c r="CU110" s="1"/>
      <x:c r="CV110" s="1"/>
      <x:c r="CW110" s="1"/>
      <x:c r="CX110" s="1"/>
      <x:c r="CY110" s="1"/>
      <x:c r="CZ110" s="1"/>
      <x:c r="DA110" s="1"/>
      <x:c r="DB110" s="1"/>
      <x:c r="DC110" s="1"/>
      <x:c r="DD110" s="1"/>
    </x:row>
    <x:row r="111" ht="2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  <x:c r="CA111" s="1"/>
      <x:c r="CB111" s="1"/>
      <x:c r="CC111" s="1"/>
      <x:c r="CD111" s="1"/>
      <x:c r="CE111" s="1"/>
      <x:c r="CF111" s="1"/>
      <x:c r="CG111" s="1"/>
      <x:c r="CH111" s="1"/>
      <x:c r="CI111" s="1"/>
      <x:c r="CJ111" s="1"/>
      <x:c r="CK111" s="1"/>
      <x:c r="CL111" s="1"/>
      <x:c r="CM111" s="1"/>
      <x:c r="CN111" s="1"/>
      <x:c r="CO111" s="1"/>
      <x:c r="CP111" s="1"/>
      <x:c r="CQ111" s="1"/>
      <x:c r="CR111" s="1"/>
      <x:c r="CS111" s="1"/>
      <x:c r="CT111" s="1"/>
      <x:c r="CU111" s="1"/>
      <x:c r="CV111" s="1"/>
      <x:c r="CW111" s="1"/>
      <x:c r="CX111" s="1"/>
      <x:c r="CY111" s="1"/>
      <x:c r="CZ111" s="1"/>
      <x:c r="DA111" s="1"/>
      <x:c r="DB111" s="1"/>
      <x:c r="DC111" s="1"/>
      <x:c r="DD111" s="1"/>
    </x:row>
    <x:row r="112" ht="2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  <x:c r="CA112" s="1"/>
      <x:c r="CB112" s="1"/>
      <x:c r="CC112" s="1"/>
      <x:c r="CD112" s="1"/>
      <x:c r="CE112" s="1"/>
      <x:c r="CF112" s="1"/>
      <x:c r="CG112" s="1"/>
      <x:c r="CH112" s="1"/>
      <x:c r="CI112" s="1"/>
      <x:c r="CJ112" s="1"/>
      <x:c r="CK112" s="1"/>
      <x:c r="CL112" s="1"/>
      <x:c r="CM112" s="1"/>
      <x:c r="CN112" s="1"/>
      <x:c r="CO112" s="1"/>
      <x:c r="CP112" s="1"/>
      <x:c r="CQ112" s="1"/>
      <x:c r="CR112" s="1"/>
      <x:c r="CS112" s="1"/>
      <x:c r="CT112" s="1"/>
      <x:c r="CU112" s="1"/>
      <x:c r="CV112" s="1"/>
      <x:c r="CW112" s="1"/>
      <x:c r="CX112" s="1"/>
      <x:c r="CY112" s="1"/>
      <x:c r="CZ112" s="1"/>
      <x:c r="DA112" s="1"/>
      <x:c r="DB112" s="1"/>
      <x:c r="DC112" s="1"/>
      <x:c r="DD112" s="1"/>
    </x:row>
    <x:row r="113" ht="2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  <x:c r="CA113" s="1"/>
      <x:c r="CB113" s="1"/>
      <x:c r="CC113" s="1"/>
      <x:c r="CD113" s="1"/>
      <x:c r="CE113" s="1"/>
      <x:c r="CF113" s="1"/>
      <x:c r="CG113" s="1"/>
      <x:c r="CH113" s="1"/>
      <x:c r="CI113" s="1"/>
      <x:c r="CJ113" s="1"/>
      <x:c r="CK113" s="1"/>
      <x:c r="CL113" s="1"/>
      <x:c r="CM113" s="1"/>
      <x:c r="CN113" s="1"/>
      <x:c r="CO113" s="1"/>
      <x:c r="CP113" s="1"/>
      <x:c r="CQ113" s="1"/>
      <x:c r="CR113" s="1"/>
      <x:c r="CS113" s="1"/>
      <x:c r="CT113" s="1"/>
      <x:c r="CU113" s="1"/>
      <x:c r="CV113" s="1"/>
      <x:c r="CW113" s="1"/>
      <x:c r="CX113" s="1"/>
      <x:c r="CY113" s="1"/>
      <x:c r="CZ113" s="1"/>
      <x:c r="DA113" s="1"/>
      <x:c r="DB113" s="1"/>
      <x:c r="DC113" s="1"/>
      <x:c r="DD113" s="1"/>
    </x:row>
    <x:row r="114" ht="2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  <x:c r="CA114" s="1"/>
      <x:c r="CB114" s="1"/>
      <x:c r="CC114" s="1"/>
      <x:c r="CD114" s="1"/>
      <x:c r="CE114" s="1"/>
      <x:c r="CF114" s="1"/>
      <x:c r="CG114" s="1"/>
      <x:c r="CH114" s="1"/>
      <x:c r="CI114" s="1"/>
      <x:c r="CJ114" s="1"/>
      <x:c r="CK114" s="1"/>
      <x:c r="CL114" s="1"/>
      <x:c r="CM114" s="1"/>
      <x:c r="CN114" s="1"/>
      <x:c r="CO114" s="1"/>
      <x:c r="CP114" s="1"/>
      <x:c r="CQ114" s="1"/>
      <x:c r="CR114" s="1"/>
      <x:c r="CS114" s="1"/>
      <x:c r="CT114" s="1"/>
      <x:c r="CU114" s="1"/>
      <x:c r="CV114" s="1"/>
      <x:c r="CW114" s="1"/>
      <x:c r="CX114" s="1"/>
      <x:c r="CY114" s="1"/>
      <x:c r="CZ114" s="1"/>
      <x:c r="DA114" s="1"/>
      <x:c r="DB114" s="1"/>
      <x:c r="DC114" s="1"/>
      <x:c r="DD114" s="1"/>
    </x:row>
    <x:row r="115" ht="2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  <x:c r="CA115" s="1"/>
      <x:c r="CB115" s="1"/>
      <x:c r="CC115" s="1"/>
      <x:c r="CD115" s="1"/>
      <x:c r="CE115" s="1"/>
      <x:c r="CF115" s="1"/>
      <x:c r="CG115" s="1"/>
      <x:c r="CH115" s="1"/>
      <x:c r="CI115" s="1"/>
      <x:c r="CJ115" s="1"/>
      <x:c r="CK115" s="1"/>
      <x:c r="CL115" s="1"/>
      <x:c r="CM115" s="1"/>
      <x:c r="CN115" s="1"/>
      <x:c r="CO115" s="1"/>
      <x:c r="CP115" s="1"/>
      <x:c r="CQ115" s="1"/>
      <x:c r="CR115" s="1"/>
      <x:c r="CS115" s="1"/>
      <x:c r="CT115" s="1"/>
      <x:c r="CU115" s="1"/>
      <x:c r="CV115" s="1"/>
      <x:c r="CW115" s="1"/>
      <x:c r="CX115" s="1"/>
      <x:c r="CY115" s="1"/>
      <x:c r="CZ115" s="1"/>
      <x:c r="DA115" s="1"/>
      <x:c r="DB115" s="1"/>
      <x:c r="DC115" s="1"/>
      <x:c r="DD115" s="1"/>
    </x:row>
    <x:row r="116" ht="2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  <x:c r="CA116" s="1"/>
      <x:c r="CB116" s="1"/>
      <x:c r="CC116" s="1"/>
      <x:c r="CD116" s="1"/>
      <x:c r="CE116" s="1"/>
      <x:c r="CF116" s="1"/>
      <x:c r="CG116" s="1"/>
      <x:c r="CH116" s="1"/>
      <x:c r="CI116" s="1"/>
      <x:c r="CJ116" s="1"/>
      <x:c r="CK116" s="1"/>
      <x:c r="CL116" s="1"/>
      <x:c r="CM116" s="1"/>
      <x:c r="CN116" s="1"/>
      <x:c r="CO116" s="1"/>
      <x:c r="CP116" s="1"/>
      <x:c r="CQ116" s="1"/>
      <x:c r="CR116" s="1"/>
      <x:c r="CS116" s="1"/>
      <x:c r="CT116" s="1"/>
      <x:c r="CU116" s="1"/>
      <x:c r="CV116" s="1"/>
      <x:c r="CW116" s="1"/>
      <x:c r="CX116" s="1"/>
      <x:c r="CY116" s="1"/>
      <x:c r="CZ116" s="1"/>
      <x:c r="DA116" s="1"/>
      <x:c r="DB116" s="1"/>
      <x:c r="DC116" s="1"/>
      <x:c r="DD116" s="1"/>
    </x:row>
    <x:row r="117" ht="2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  <x:c r="CA117" s="1"/>
      <x:c r="CB117" s="1"/>
      <x:c r="CC117" s="1"/>
      <x:c r="CD117" s="1"/>
      <x:c r="CE117" s="1"/>
      <x:c r="CF117" s="1"/>
      <x:c r="CG117" s="1"/>
      <x:c r="CH117" s="1"/>
      <x:c r="CI117" s="1"/>
      <x:c r="CJ117" s="1"/>
      <x:c r="CK117" s="1"/>
      <x:c r="CL117" s="1"/>
      <x:c r="CM117" s="1"/>
      <x:c r="CN117" s="1"/>
      <x:c r="CO117" s="1"/>
      <x:c r="CP117" s="1"/>
      <x:c r="CQ117" s="1"/>
      <x:c r="CR117" s="1"/>
      <x:c r="CS117" s="1"/>
      <x:c r="CT117" s="1"/>
      <x:c r="CU117" s="1"/>
      <x:c r="CV117" s="1"/>
      <x:c r="CW117" s="1"/>
      <x:c r="CX117" s="1"/>
      <x:c r="CY117" s="1"/>
      <x:c r="CZ117" s="1"/>
      <x:c r="DA117" s="1"/>
      <x:c r="DB117" s="1"/>
      <x:c r="DC117" s="1"/>
      <x:c r="DD117" s="1"/>
    </x:row>
    <x:row r="118" ht="2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  <x:c r="CA118" s="1"/>
      <x:c r="CB118" s="1"/>
      <x:c r="CC118" s="1"/>
      <x:c r="CD118" s="1"/>
      <x:c r="CE118" s="1"/>
      <x:c r="CF118" s="1"/>
      <x:c r="CG118" s="1"/>
      <x:c r="CH118" s="1"/>
      <x:c r="CI118" s="1"/>
      <x:c r="CJ118" s="1"/>
      <x:c r="CK118" s="1"/>
      <x:c r="CL118" s="1"/>
      <x:c r="CM118" s="1"/>
      <x:c r="CN118" s="1"/>
      <x:c r="CO118" s="1"/>
      <x:c r="CP118" s="1"/>
      <x:c r="CQ118" s="1"/>
      <x:c r="CR118" s="1"/>
      <x:c r="CS118" s="1"/>
      <x:c r="CT118" s="1"/>
      <x:c r="CU118" s="1"/>
      <x:c r="CV118" s="1"/>
      <x:c r="CW118" s="1"/>
      <x:c r="CX118" s="1"/>
      <x:c r="CY118" s="1"/>
      <x:c r="CZ118" s="1"/>
      <x:c r="DA118" s="1"/>
      <x:c r="DB118" s="1"/>
      <x:c r="DC118" s="1"/>
      <x:c r="DD118" s="1"/>
    </x:row>
    <x:row r="119" ht="2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  <x:c r="CA119" s="1"/>
      <x:c r="CB119" s="1"/>
      <x:c r="CC119" s="1"/>
      <x:c r="CD119" s="1"/>
      <x:c r="CE119" s="1"/>
      <x:c r="CF119" s="1"/>
      <x:c r="CG119" s="1"/>
      <x:c r="CH119" s="1"/>
      <x:c r="CI119" s="1"/>
      <x:c r="CJ119" s="1"/>
      <x:c r="CK119" s="1"/>
      <x:c r="CL119" s="1"/>
      <x:c r="CM119" s="1"/>
      <x:c r="CN119" s="1"/>
      <x:c r="CO119" s="1"/>
      <x:c r="CP119" s="1"/>
      <x:c r="CQ119" s="1"/>
      <x:c r="CR119" s="1"/>
      <x:c r="CS119" s="1"/>
      <x:c r="CT119" s="1"/>
      <x:c r="CU119" s="1"/>
      <x:c r="CV119" s="1"/>
      <x:c r="CW119" s="1"/>
      <x:c r="CX119" s="1"/>
      <x:c r="CY119" s="1"/>
      <x:c r="CZ119" s="1"/>
      <x:c r="DA119" s="1"/>
      <x:c r="DB119" s="1"/>
      <x:c r="DC119" s="1"/>
      <x:c r="DD119" s="1"/>
    </x:row>
    <x:row r="120" ht="2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  <x:c r="CA120" s="1"/>
      <x:c r="CB120" s="1"/>
      <x:c r="CC120" s="1"/>
      <x:c r="CD120" s="1"/>
      <x:c r="CE120" s="1"/>
      <x:c r="CF120" s="1"/>
      <x:c r="CG120" s="1"/>
      <x:c r="CH120" s="1"/>
      <x:c r="CI120" s="1"/>
      <x:c r="CJ120" s="1"/>
      <x:c r="CK120" s="1"/>
      <x:c r="CL120" s="1"/>
      <x:c r="CM120" s="1"/>
      <x:c r="CN120" s="1"/>
      <x:c r="CO120" s="1"/>
      <x:c r="CP120" s="1"/>
      <x:c r="CQ120" s="1"/>
      <x:c r="CR120" s="1"/>
      <x:c r="CS120" s="1"/>
      <x:c r="CT120" s="1"/>
      <x:c r="CU120" s="1"/>
      <x:c r="CV120" s="1"/>
      <x:c r="CW120" s="1"/>
      <x:c r="CX120" s="1"/>
      <x:c r="CY120" s="1"/>
      <x:c r="CZ120" s="1"/>
      <x:c r="DA120" s="1"/>
      <x:c r="DB120" s="1"/>
      <x:c r="DC120" s="1"/>
      <x:c r="DD120" s="1"/>
    </x:row>
    <x:row r="121" ht="2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  <x:c r="CA121" s="1"/>
      <x:c r="CB121" s="1"/>
      <x:c r="CC121" s="1"/>
      <x:c r="CD121" s="1"/>
      <x:c r="CE121" s="1"/>
      <x:c r="CF121" s="1"/>
      <x:c r="CG121" s="1"/>
      <x:c r="CH121" s="1"/>
      <x:c r="CI121" s="1"/>
      <x:c r="CJ121" s="1"/>
      <x:c r="CK121" s="1"/>
      <x:c r="CL121" s="1"/>
      <x:c r="CM121" s="1"/>
      <x:c r="CN121" s="1"/>
      <x:c r="CO121" s="1"/>
      <x:c r="CP121" s="1"/>
      <x:c r="CQ121" s="1"/>
      <x:c r="CR121" s="1"/>
      <x:c r="CS121" s="1"/>
      <x:c r="CT121" s="1"/>
      <x:c r="CU121" s="1"/>
      <x:c r="CV121" s="1"/>
      <x:c r="CW121" s="1"/>
      <x:c r="CX121" s="1"/>
      <x:c r="CY121" s="1"/>
      <x:c r="CZ121" s="1"/>
      <x:c r="DA121" s="1"/>
      <x:c r="DB121" s="1"/>
      <x:c r="DC121" s="1"/>
      <x:c r="DD121" s="1"/>
    </x:row>
    <x:row r="122" ht="2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  <x:c r="CA122" s="1"/>
      <x:c r="CB122" s="1"/>
      <x:c r="CC122" s="1"/>
      <x:c r="CD122" s="1"/>
      <x:c r="CE122" s="1"/>
      <x:c r="CF122" s="1"/>
      <x:c r="CG122" s="1"/>
      <x:c r="CH122" s="1"/>
      <x:c r="CI122" s="1"/>
      <x:c r="CJ122" s="1"/>
      <x:c r="CK122" s="1"/>
      <x:c r="CL122" s="1"/>
      <x:c r="CM122" s="1"/>
      <x:c r="CN122" s="1"/>
      <x:c r="CO122" s="1"/>
      <x:c r="CP122" s="1"/>
      <x:c r="CQ122" s="1"/>
      <x:c r="CR122" s="1"/>
      <x:c r="CS122" s="1"/>
      <x:c r="CT122" s="1"/>
      <x:c r="CU122" s="1"/>
      <x:c r="CV122" s="1"/>
      <x:c r="CW122" s="1"/>
      <x:c r="CX122" s="1"/>
      <x:c r="CY122" s="1"/>
      <x:c r="CZ122" s="1"/>
      <x:c r="DA122" s="1"/>
      <x:c r="DB122" s="1"/>
      <x:c r="DC122" s="1"/>
      <x:c r="DD122" s="1"/>
    </x:row>
    <x:row r="123" ht="2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  <x:c r="CA123" s="1"/>
      <x:c r="CB123" s="1"/>
      <x:c r="CC123" s="1"/>
      <x:c r="CD123" s="1"/>
      <x:c r="CE123" s="1"/>
      <x:c r="CF123" s="1"/>
      <x:c r="CG123" s="1"/>
      <x:c r="CH123" s="1"/>
      <x:c r="CI123" s="1"/>
      <x:c r="CJ123" s="1"/>
      <x:c r="CK123" s="1"/>
      <x:c r="CL123" s="1"/>
      <x:c r="CM123" s="1"/>
      <x:c r="CN123" s="1"/>
      <x:c r="CO123" s="1"/>
      <x:c r="CP123" s="1"/>
      <x:c r="CQ123" s="1"/>
      <x:c r="CR123" s="1"/>
      <x:c r="CS123" s="1"/>
      <x:c r="CT123" s="1"/>
      <x:c r="CU123" s="1"/>
      <x:c r="CV123" s="1"/>
      <x:c r="CW123" s="1"/>
      <x:c r="CX123" s="1"/>
      <x:c r="CY123" s="1"/>
      <x:c r="CZ123" s="1"/>
      <x:c r="DA123" s="1"/>
      <x:c r="DB123" s="1"/>
      <x:c r="DC123" s="1"/>
      <x:c r="DD123" s="1"/>
    </x:row>
    <x:row r="124" ht="2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  <x:c r="CA124" s="1"/>
      <x:c r="CB124" s="1"/>
      <x:c r="CC124" s="1"/>
      <x:c r="CD124" s="1"/>
      <x:c r="CE124" s="1"/>
      <x:c r="CF124" s="1"/>
      <x:c r="CG124" s="1"/>
      <x:c r="CH124" s="1"/>
      <x:c r="CI124" s="1"/>
      <x:c r="CJ124" s="1"/>
      <x:c r="CK124" s="1"/>
      <x:c r="CL124" s="1"/>
      <x:c r="CM124" s="1"/>
      <x:c r="CN124" s="1"/>
      <x:c r="CO124" s="1"/>
      <x:c r="CP124" s="1"/>
      <x:c r="CQ124" s="1"/>
      <x:c r="CR124" s="1"/>
      <x:c r="CS124" s="1"/>
      <x:c r="CT124" s="1"/>
      <x:c r="CU124" s="1"/>
      <x:c r="CV124" s="1"/>
      <x:c r="CW124" s="1"/>
      <x:c r="CX124" s="1"/>
      <x:c r="CY124" s="1"/>
      <x:c r="CZ124" s="1"/>
      <x:c r="DA124" s="1"/>
      <x:c r="DB124" s="1"/>
      <x:c r="DC124" s="1"/>
      <x:c r="DD124" s="1"/>
    </x:row>
    <x:row r="125" ht="2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  <x:c r="CA125" s="1"/>
      <x:c r="CB125" s="1"/>
      <x:c r="CC125" s="1"/>
      <x:c r="CD125" s="1"/>
      <x:c r="CE125" s="1"/>
      <x:c r="CF125" s="1"/>
      <x:c r="CG125" s="1"/>
      <x:c r="CH125" s="1"/>
      <x:c r="CI125" s="1"/>
      <x:c r="CJ125" s="1"/>
      <x:c r="CK125" s="1"/>
      <x:c r="CL125" s="1"/>
      <x:c r="CM125" s="1"/>
      <x:c r="CN125" s="1"/>
      <x:c r="CO125" s="1"/>
      <x:c r="CP125" s="1"/>
      <x:c r="CQ125" s="1"/>
      <x:c r="CR125" s="1"/>
      <x:c r="CS125" s="1"/>
      <x:c r="CT125" s="1"/>
      <x:c r="CU125" s="1"/>
      <x:c r="CV125" s="1"/>
      <x:c r="CW125" s="1"/>
      <x:c r="CX125" s="1"/>
      <x:c r="CY125" s="1"/>
      <x:c r="CZ125" s="1"/>
      <x:c r="DA125" s="1"/>
      <x:c r="DB125" s="1"/>
      <x:c r="DC125" s="1"/>
      <x:c r="DD125" s="1"/>
    </x:row>
    <x:row r="126" ht="2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  <x:c r="CA126" s="1"/>
      <x:c r="CB126" s="1"/>
      <x:c r="CC126" s="1"/>
      <x:c r="CD126" s="1"/>
      <x:c r="CE126" s="1"/>
      <x:c r="CF126" s="1"/>
      <x:c r="CG126" s="1"/>
      <x:c r="CH126" s="1"/>
      <x:c r="CI126" s="1"/>
      <x:c r="CJ126" s="1"/>
      <x:c r="CK126" s="1"/>
      <x:c r="CL126" s="1"/>
      <x:c r="CM126" s="1"/>
      <x:c r="CN126" s="1"/>
      <x:c r="CO126" s="1"/>
      <x:c r="CP126" s="1"/>
      <x:c r="CQ126" s="1"/>
      <x:c r="CR126" s="1"/>
      <x:c r="CS126" s="1"/>
      <x:c r="CT126" s="1"/>
      <x:c r="CU126" s="1"/>
      <x:c r="CV126" s="1"/>
      <x:c r="CW126" s="1"/>
      <x:c r="CX126" s="1"/>
      <x:c r="CY126" s="1"/>
      <x:c r="CZ126" s="1"/>
      <x:c r="DA126" s="1"/>
      <x:c r="DB126" s="1"/>
      <x:c r="DC126" s="1"/>
      <x:c r="DD126" s="1"/>
    </x:row>
    <x:row r="127" ht="2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  <x:c r="CA127" s="1"/>
      <x:c r="CB127" s="1"/>
      <x:c r="CC127" s="1"/>
      <x:c r="CD127" s="1"/>
      <x:c r="CE127" s="1"/>
      <x:c r="CF127" s="1"/>
      <x:c r="CG127" s="1"/>
      <x:c r="CH127" s="1"/>
      <x:c r="CI127" s="1"/>
      <x:c r="CJ127" s="1"/>
      <x:c r="CK127" s="1"/>
      <x:c r="CL127" s="1"/>
      <x:c r="CM127" s="1"/>
      <x:c r="CN127" s="1"/>
      <x:c r="CO127" s="1"/>
      <x:c r="CP127" s="1"/>
      <x:c r="CQ127" s="1"/>
      <x:c r="CR127" s="1"/>
      <x:c r="CS127" s="1"/>
      <x:c r="CT127" s="1"/>
      <x:c r="CU127" s="1"/>
      <x:c r="CV127" s="1"/>
      <x:c r="CW127" s="1"/>
      <x:c r="CX127" s="1"/>
      <x:c r="CY127" s="1"/>
      <x:c r="CZ127" s="1"/>
      <x:c r="DA127" s="1"/>
      <x:c r="DB127" s="1"/>
      <x:c r="DC127" s="1"/>
      <x:c r="DD127" s="1"/>
    </x:row>
    <x:row r="128" ht="2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  <x:c r="CA128" s="1"/>
      <x:c r="CB128" s="1"/>
      <x:c r="CC128" s="1"/>
      <x:c r="CD128" s="1"/>
      <x:c r="CE128" s="1"/>
      <x:c r="CF128" s="1"/>
      <x:c r="CG128" s="1"/>
      <x:c r="CH128" s="1"/>
      <x:c r="CI128" s="1"/>
      <x:c r="CJ128" s="1"/>
      <x:c r="CK128" s="1"/>
      <x:c r="CL128" s="1"/>
      <x:c r="CM128" s="1"/>
      <x:c r="CN128" s="1"/>
      <x:c r="CO128" s="1"/>
      <x:c r="CP128" s="1"/>
      <x:c r="CQ128" s="1"/>
      <x:c r="CR128" s="1"/>
      <x:c r="CS128" s="1"/>
      <x:c r="CT128" s="1"/>
      <x:c r="CU128" s="1"/>
      <x:c r="CV128" s="1"/>
      <x:c r="CW128" s="1"/>
      <x:c r="CX128" s="1"/>
      <x:c r="CY128" s="1"/>
      <x:c r="CZ128" s="1"/>
      <x:c r="DA128" s="1"/>
      <x:c r="DB128" s="1"/>
      <x:c r="DC128" s="1"/>
      <x:c r="DD128" s="1"/>
    </x:row>
    <x:row r="129" ht="2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  <x:c r="CA129" s="1"/>
      <x:c r="CB129" s="1"/>
      <x:c r="CC129" s="1"/>
      <x:c r="CD129" s="1"/>
      <x:c r="CE129" s="1"/>
      <x:c r="CF129" s="1"/>
      <x:c r="CG129" s="1"/>
      <x:c r="CH129" s="1"/>
      <x:c r="CI129" s="1"/>
      <x:c r="CJ129" s="1"/>
      <x:c r="CK129" s="1"/>
      <x:c r="CL129" s="1"/>
      <x:c r="CM129" s="1"/>
      <x:c r="CN129" s="1"/>
      <x:c r="CO129" s="1"/>
      <x:c r="CP129" s="1"/>
      <x:c r="CQ129" s="1"/>
      <x:c r="CR129" s="1"/>
      <x:c r="CS129" s="1"/>
      <x:c r="CT129" s="1"/>
      <x:c r="CU129" s="1"/>
      <x:c r="CV129" s="1"/>
      <x:c r="CW129" s="1"/>
      <x:c r="CX129" s="1"/>
      <x:c r="CY129" s="1"/>
      <x:c r="CZ129" s="1"/>
      <x:c r="DA129" s="1"/>
      <x:c r="DB129" s="1"/>
      <x:c r="DC129" s="1"/>
      <x:c r="DD129" s="1"/>
    </x:row>
    <x:row r="130" ht="2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  <x:c r="CA130" s="1"/>
      <x:c r="CB130" s="1"/>
      <x:c r="CC130" s="1"/>
      <x:c r="CD130" s="1"/>
      <x:c r="CE130" s="1"/>
      <x:c r="CF130" s="1"/>
      <x:c r="CG130" s="1"/>
      <x:c r="CH130" s="1"/>
      <x:c r="CI130" s="1"/>
      <x:c r="CJ130" s="1"/>
      <x:c r="CK130" s="1"/>
      <x:c r="CL130" s="1"/>
      <x:c r="CM130" s="1"/>
      <x:c r="CN130" s="1"/>
      <x:c r="CO130" s="1"/>
      <x:c r="CP130" s="1"/>
      <x:c r="CQ130" s="1"/>
      <x:c r="CR130" s="1"/>
      <x:c r="CS130" s="1"/>
      <x:c r="CT130" s="1"/>
      <x:c r="CU130" s="1"/>
      <x:c r="CV130" s="1"/>
      <x:c r="CW130" s="1"/>
      <x:c r="CX130" s="1"/>
      <x:c r="CY130" s="1"/>
      <x:c r="CZ130" s="1"/>
      <x:c r="DA130" s="1"/>
      <x:c r="DB130" s="1"/>
      <x:c r="DC130" s="1"/>
      <x:c r="DD130" s="1"/>
    </x:row>
    <x:row r="131" ht="2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  <x:c r="CA131" s="1"/>
      <x:c r="CB131" s="1"/>
      <x:c r="CC131" s="1"/>
      <x:c r="CD131" s="1"/>
      <x:c r="CE131" s="1"/>
      <x:c r="CF131" s="1"/>
      <x:c r="CG131" s="1"/>
      <x:c r="CH131" s="1"/>
      <x:c r="CI131" s="1"/>
      <x:c r="CJ131" s="1"/>
      <x:c r="CK131" s="1"/>
      <x:c r="CL131" s="1"/>
      <x:c r="CM131" s="1"/>
      <x:c r="CN131" s="1"/>
      <x:c r="CO131" s="1"/>
      <x:c r="CP131" s="1"/>
      <x:c r="CQ131" s="1"/>
      <x:c r="CR131" s="1"/>
      <x:c r="CS131" s="1"/>
      <x:c r="CT131" s="1"/>
      <x:c r="CU131" s="1"/>
      <x:c r="CV131" s="1"/>
      <x:c r="CW131" s="1"/>
      <x:c r="CX131" s="1"/>
      <x:c r="CY131" s="1"/>
      <x:c r="CZ131" s="1"/>
      <x:c r="DA131" s="1"/>
      <x:c r="DB131" s="1"/>
      <x:c r="DC131" s="1"/>
      <x:c r="DD131" s="1"/>
    </x:row>
    <x:row r="132" ht="2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  <x:c r="CA132" s="1"/>
      <x:c r="CB132" s="1"/>
      <x:c r="CC132" s="1"/>
      <x:c r="CD132" s="1"/>
      <x:c r="CE132" s="1"/>
      <x:c r="CF132" s="1"/>
      <x:c r="CG132" s="1"/>
      <x:c r="CH132" s="1"/>
      <x:c r="CI132" s="1"/>
      <x:c r="CJ132" s="1"/>
      <x:c r="CK132" s="1"/>
      <x:c r="CL132" s="1"/>
      <x:c r="CM132" s="1"/>
      <x:c r="CN132" s="1"/>
      <x:c r="CO132" s="1"/>
      <x:c r="CP132" s="1"/>
      <x:c r="CQ132" s="1"/>
      <x:c r="CR132" s="1"/>
      <x:c r="CS132" s="1"/>
      <x:c r="CT132" s="1"/>
      <x:c r="CU132" s="1"/>
      <x:c r="CV132" s="1"/>
      <x:c r="CW132" s="1"/>
      <x:c r="CX132" s="1"/>
      <x:c r="CY132" s="1"/>
      <x:c r="CZ132" s="1"/>
      <x:c r="DA132" s="1"/>
      <x:c r="DB132" s="1"/>
      <x:c r="DC132" s="1"/>
      <x:c r="DD132" s="1"/>
    </x:row>
    <x:row r="133" ht="2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  <x:c r="CA133" s="1"/>
      <x:c r="CB133" s="1"/>
      <x:c r="CC133" s="1"/>
      <x:c r="CD133" s="1"/>
      <x:c r="CE133" s="1"/>
      <x:c r="CF133" s="1"/>
      <x:c r="CG133" s="1"/>
      <x:c r="CH133" s="1"/>
      <x:c r="CI133" s="1"/>
      <x:c r="CJ133" s="1"/>
      <x:c r="CK133" s="1"/>
      <x:c r="CL133" s="1"/>
      <x:c r="CM133" s="1"/>
      <x:c r="CN133" s="1"/>
      <x:c r="CO133" s="1"/>
      <x:c r="CP133" s="1"/>
      <x:c r="CQ133" s="1"/>
      <x:c r="CR133" s="1"/>
      <x:c r="CS133" s="1"/>
      <x:c r="CT133" s="1"/>
      <x:c r="CU133" s="1"/>
      <x:c r="CV133" s="1"/>
      <x:c r="CW133" s="1"/>
      <x:c r="CX133" s="1"/>
      <x:c r="CY133" s="1"/>
      <x:c r="CZ133" s="1"/>
      <x:c r="DA133" s="1"/>
      <x:c r="DB133" s="1"/>
      <x:c r="DC133" s="1"/>
      <x:c r="DD133" s="1"/>
    </x:row>
    <x:row r="134" ht="2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  <x:c r="CA134" s="1"/>
      <x:c r="CB134" s="1"/>
      <x:c r="CC134" s="1"/>
      <x:c r="CD134" s="1"/>
      <x:c r="CE134" s="1"/>
      <x:c r="CF134" s="1"/>
      <x:c r="CG134" s="1"/>
      <x:c r="CH134" s="1"/>
      <x:c r="CI134" s="1"/>
      <x:c r="CJ134" s="1"/>
      <x:c r="CK134" s="1"/>
      <x:c r="CL134" s="1"/>
      <x:c r="CM134" s="1"/>
      <x:c r="CN134" s="1"/>
      <x:c r="CO134" s="1"/>
      <x:c r="CP134" s="1"/>
      <x:c r="CQ134" s="1"/>
      <x:c r="CR134" s="1"/>
      <x:c r="CS134" s="1"/>
      <x:c r="CT134" s="1"/>
      <x:c r="CU134" s="1"/>
      <x:c r="CV134" s="1"/>
      <x:c r="CW134" s="1"/>
      <x:c r="CX134" s="1"/>
      <x:c r="CY134" s="1"/>
      <x:c r="CZ134" s="1"/>
      <x:c r="DA134" s="1"/>
      <x:c r="DB134" s="1"/>
      <x:c r="DC134" s="1"/>
      <x:c r="DD134" s="1"/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  <x:c r="CA135" s="1"/>
      <x:c r="CB135" s="1"/>
      <x:c r="CC135" s="1"/>
      <x:c r="CD135" s="1"/>
      <x:c r="CE135" s="1"/>
      <x:c r="CF135" s="1"/>
      <x:c r="CG135" s="1"/>
      <x:c r="CH135" s="1"/>
      <x:c r="CI135" s="1"/>
      <x:c r="CJ135" s="1"/>
      <x:c r="CK135" s="1"/>
      <x:c r="CL135" s="1"/>
      <x:c r="CM135" s="1"/>
      <x:c r="CN135" s="1"/>
      <x:c r="CO135" s="1"/>
      <x:c r="CP135" s="1"/>
      <x:c r="CQ135" s="1"/>
      <x:c r="CR135" s="1"/>
      <x:c r="CS135" s="1"/>
      <x:c r="CT135" s="1"/>
      <x:c r="CU135" s="1"/>
      <x:c r="CV135" s="1"/>
      <x:c r="CW135" s="1"/>
      <x:c r="CX135" s="1"/>
      <x:c r="CY135" s="1"/>
      <x:c r="CZ135" s="1"/>
      <x:c r="DA135" s="1"/>
      <x:c r="DB135" s="1"/>
      <x:c r="DC135" s="1"/>
      <x:c r="DD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  <x:c r="CA136" s="1"/>
      <x:c r="CB136" s="1"/>
      <x:c r="CC136" s="1"/>
      <x:c r="CD136" s="1"/>
      <x:c r="CE136" s="1"/>
      <x:c r="CF136" s="1"/>
      <x:c r="CG136" s="1"/>
      <x:c r="CH136" s="1"/>
      <x:c r="CI136" s="1"/>
      <x:c r="CJ136" s="1"/>
      <x:c r="CK136" s="1"/>
      <x:c r="CL136" s="1"/>
      <x:c r="CM136" s="1"/>
      <x:c r="CN136" s="1"/>
      <x:c r="CO136" s="1"/>
      <x:c r="CP136" s="1"/>
      <x:c r="CQ136" s="1"/>
      <x:c r="CR136" s="1"/>
      <x:c r="CS136" s="1"/>
      <x:c r="CT136" s="1"/>
      <x:c r="CU136" s="1"/>
      <x:c r="CV136" s="1"/>
      <x:c r="CW136" s="1"/>
      <x:c r="CX136" s="1"/>
      <x:c r="CY136" s="1"/>
      <x:c r="CZ136" s="1"/>
      <x:c r="DA136" s="1"/>
      <x:c r="DB136" s="1"/>
      <x:c r="DC136" s="1"/>
      <x:c r="DD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  <x:c r="CA137" s="1"/>
      <x:c r="CB137" s="1"/>
      <x:c r="CC137" s="1"/>
      <x:c r="CD137" s="1"/>
      <x:c r="CE137" s="1"/>
      <x:c r="CF137" s="1"/>
      <x:c r="CG137" s="1"/>
      <x:c r="CH137" s="1"/>
      <x:c r="CI137" s="1"/>
      <x:c r="CJ137" s="1"/>
      <x:c r="CK137" s="1"/>
      <x:c r="CL137" s="1"/>
      <x:c r="CM137" s="1"/>
      <x:c r="CN137" s="1"/>
      <x:c r="CO137" s="1"/>
      <x:c r="CP137" s="1"/>
      <x:c r="CQ137" s="1"/>
      <x:c r="CR137" s="1"/>
      <x:c r="CS137" s="1"/>
      <x:c r="CT137" s="1"/>
      <x:c r="CU137" s="1"/>
      <x:c r="CV137" s="1"/>
      <x:c r="CW137" s="1"/>
      <x:c r="CX137" s="1"/>
      <x:c r="CY137" s="1"/>
      <x:c r="CZ137" s="1"/>
      <x:c r="DA137" s="1"/>
      <x:c r="DB137" s="1"/>
      <x:c r="DC137" s="1"/>
      <x:c r="DD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  <x:c r="CA138" s="1"/>
      <x:c r="CB138" s="1"/>
      <x:c r="CC138" s="1"/>
      <x:c r="CD138" s="1"/>
      <x:c r="CE138" s="1"/>
      <x:c r="CF138" s="1"/>
      <x:c r="CG138" s="1"/>
      <x:c r="CH138" s="1"/>
      <x:c r="CI138" s="1"/>
      <x:c r="CJ138" s="1"/>
      <x:c r="CK138" s="1"/>
      <x:c r="CL138" s="1"/>
      <x:c r="CM138" s="1"/>
      <x:c r="CN138" s="1"/>
      <x:c r="CO138" s="1"/>
      <x:c r="CP138" s="1"/>
      <x:c r="CQ138" s="1"/>
      <x:c r="CR138" s="1"/>
      <x:c r="CS138" s="1"/>
      <x:c r="CT138" s="1"/>
      <x:c r="CU138" s="1"/>
      <x:c r="CV138" s="1"/>
      <x:c r="CW138" s="1"/>
      <x:c r="CX138" s="1"/>
      <x:c r="CY138" s="1"/>
      <x:c r="CZ138" s="1"/>
      <x:c r="DA138" s="1"/>
      <x:c r="DB138" s="1"/>
      <x:c r="DC138" s="1"/>
      <x:c r="DD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  <x:c r="CA139" s="1"/>
      <x:c r="CB139" s="1"/>
      <x:c r="CC139" s="1"/>
      <x:c r="CD139" s="1"/>
      <x:c r="CE139" s="1"/>
      <x:c r="CF139" s="1"/>
      <x:c r="CG139" s="1"/>
      <x:c r="CH139" s="1"/>
      <x:c r="CI139" s="1"/>
      <x:c r="CJ139" s="1"/>
      <x:c r="CK139" s="1"/>
      <x:c r="CL139" s="1"/>
      <x:c r="CM139" s="1"/>
      <x:c r="CN139" s="1"/>
      <x:c r="CO139" s="1"/>
      <x:c r="CP139" s="1"/>
      <x:c r="CQ139" s="1"/>
      <x:c r="CR139" s="1"/>
      <x:c r="CS139" s="1"/>
      <x:c r="CT139" s="1"/>
      <x:c r="CU139" s="1"/>
      <x:c r="CV139" s="1"/>
      <x:c r="CW139" s="1"/>
      <x:c r="CX139" s="1"/>
      <x:c r="CY139" s="1"/>
      <x:c r="CZ139" s="1"/>
      <x:c r="DA139" s="1"/>
      <x:c r="DB139" s="1"/>
      <x:c r="DC139" s="1"/>
      <x:c r="DD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  <x:c r="CA140" s="1"/>
      <x:c r="CB140" s="1"/>
      <x:c r="CC140" s="1"/>
      <x:c r="CD140" s="1"/>
      <x:c r="CE140" s="1"/>
      <x:c r="CF140" s="1"/>
      <x:c r="CG140" s="1"/>
      <x:c r="CH140" s="1"/>
      <x:c r="CI140" s="1"/>
      <x:c r="CJ140" s="1"/>
      <x:c r="CK140" s="1"/>
      <x:c r="CL140" s="1"/>
      <x:c r="CM140" s="1"/>
      <x:c r="CN140" s="1"/>
      <x:c r="CO140" s="1"/>
      <x:c r="CP140" s="1"/>
      <x:c r="CQ140" s="1"/>
      <x:c r="CR140" s="1"/>
      <x:c r="CS140" s="1"/>
      <x:c r="CT140" s="1"/>
      <x:c r="CU140" s="1"/>
      <x:c r="CV140" s="1"/>
      <x:c r="CW140" s="1"/>
      <x:c r="CX140" s="1"/>
      <x:c r="CY140" s="1"/>
      <x:c r="CZ140" s="1"/>
      <x:c r="DA140" s="1"/>
      <x:c r="DB140" s="1"/>
      <x:c r="DC140" s="1"/>
      <x:c r="DD140" s="1"/>
    </x:row>
    <x:row r="141" ht="2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  <x:c r="CA141" s="1"/>
      <x:c r="CB141" s="1"/>
      <x:c r="CC141" s="1"/>
      <x:c r="CD141" s="1"/>
      <x:c r="CE141" s="1"/>
      <x:c r="CF141" s="1"/>
      <x:c r="CG141" s="1"/>
      <x:c r="CH141" s="1"/>
      <x:c r="CI141" s="1"/>
      <x:c r="CJ141" s="1"/>
      <x:c r="CK141" s="1"/>
      <x:c r="CL141" s="1"/>
      <x:c r="CM141" s="1"/>
      <x:c r="CN141" s="1"/>
      <x:c r="CO141" s="1"/>
      <x:c r="CP141" s="1"/>
      <x:c r="CQ141" s="1"/>
      <x:c r="CR141" s="1"/>
      <x:c r="CS141" s="1"/>
      <x:c r="CT141" s="1"/>
      <x:c r="CU141" s="1"/>
      <x:c r="CV141" s="1"/>
      <x:c r="CW141" s="1"/>
      <x:c r="CX141" s="1"/>
      <x:c r="CY141" s="1"/>
      <x:c r="CZ141" s="1"/>
      <x:c r="DA141" s="1"/>
      <x:c r="DB141" s="1"/>
      <x:c r="DC141" s="1"/>
      <x:c r="DD141" s="1"/>
    </x:row>
    <x:row r="142" ht="2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  <x:c r="CA142" s="1"/>
      <x:c r="CB142" s="1"/>
      <x:c r="CC142" s="1"/>
      <x:c r="CD142" s="1"/>
      <x:c r="CE142" s="1"/>
      <x:c r="CF142" s="1"/>
      <x:c r="CG142" s="1"/>
      <x:c r="CH142" s="1"/>
      <x:c r="CI142" s="1"/>
      <x:c r="CJ142" s="1"/>
      <x:c r="CK142" s="1"/>
      <x:c r="CL142" s="1"/>
      <x:c r="CM142" s="1"/>
      <x:c r="CN142" s="1"/>
      <x:c r="CO142" s="1"/>
      <x:c r="CP142" s="1"/>
      <x:c r="CQ142" s="1"/>
      <x:c r="CR142" s="1"/>
      <x:c r="CS142" s="1"/>
      <x:c r="CT142" s="1"/>
      <x:c r="CU142" s="1"/>
      <x:c r="CV142" s="1"/>
      <x:c r="CW142" s="1"/>
      <x:c r="CX142" s="1"/>
      <x:c r="CY142" s="1"/>
      <x:c r="CZ142" s="1"/>
      <x:c r="DA142" s="1"/>
      <x:c r="DB142" s="1"/>
      <x:c r="DC142" s="1"/>
      <x:c r="DD142" s="1"/>
    </x:row>
    <x:row r="143" ht="2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  <x:c r="CA143" s="1"/>
      <x:c r="CB143" s="1"/>
      <x:c r="CC143" s="1"/>
      <x:c r="CD143" s="1"/>
      <x:c r="CE143" s="1"/>
      <x:c r="CF143" s="1"/>
      <x:c r="CG143" s="1"/>
      <x:c r="CH143" s="1"/>
      <x:c r="CI143" s="1"/>
      <x:c r="CJ143" s="1"/>
      <x:c r="CK143" s="1"/>
      <x:c r="CL143" s="1"/>
      <x:c r="CM143" s="1"/>
      <x:c r="CN143" s="1"/>
      <x:c r="CO143" s="1"/>
      <x:c r="CP143" s="1"/>
      <x:c r="CQ143" s="1"/>
      <x:c r="CR143" s="1"/>
      <x:c r="CS143" s="1"/>
      <x:c r="CT143" s="1"/>
      <x:c r="CU143" s="1"/>
      <x:c r="CV143" s="1"/>
      <x:c r="CW143" s="1"/>
      <x:c r="CX143" s="1"/>
      <x:c r="CY143" s="1"/>
      <x:c r="CZ143" s="1"/>
      <x:c r="DA143" s="1"/>
      <x:c r="DB143" s="1"/>
      <x:c r="DC143" s="1"/>
      <x:c r="DD143" s="1"/>
    </x:row>
    <x:row r="144" ht="2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  <x:c r="CA144" s="1"/>
      <x:c r="CB144" s="1"/>
      <x:c r="CC144" s="1"/>
      <x:c r="CD144" s="1"/>
      <x:c r="CE144" s="1"/>
      <x:c r="CF144" s="1"/>
      <x:c r="CG144" s="1"/>
      <x:c r="CH144" s="1"/>
      <x:c r="CI144" s="1"/>
      <x:c r="CJ144" s="1"/>
      <x:c r="CK144" s="1"/>
      <x:c r="CL144" s="1"/>
      <x:c r="CM144" s="1"/>
      <x:c r="CN144" s="1"/>
      <x:c r="CO144" s="1"/>
      <x:c r="CP144" s="1"/>
      <x:c r="CQ144" s="1"/>
      <x:c r="CR144" s="1"/>
      <x:c r="CS144" s="1"/>
      <x:c r="CT144" s="1"/>
      <x:c r="CU144" s="1"/>
      <x:c r="CV144" s="1"/>
      <x:c r="CW144" s="1"/>
      <x:c r="CX144" s="1"/>
      <x:c r="CY144" s="1"/>
      <x:c r="CZ144" s="1"/>
      <x:c r="DA144" s="1"/>
      <x:c r="DB144" s="1"/>
      <x:c r="DC144" s="1"/>
      <x:c r="DD144" s="1"/>
    </x:row>
    <x:row r="145" ht="2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  <x:c r="CA145" s="1"/>
      <x:c r="CB145" s="1"/>
      <x:c r="CC145" s="1"/>
      <x:c r="CD145" s="1"/>
      <x:c r="CE145" s="1"/>
      <x:c r="CF145" s="1"/>
      <x:c r="CG145" s="1"/>
      <x:c r="CH145" s="1"/>
      <x:c r="CI145" s="1"/>
      <x:c r="CJ145" s="1"/>
      <x:c r="CK145" s="1"/>
      <x:c r="CL145" s="1"/>
      <x:c r="CM145" s="1"/>
      <x:c r="CN145" s="1"/>
      <x:c r="CO145" s="1"/>
      <x:c r="CP145" s="1"/>
      <x:c r="CQ145" s="1"/>
      <x:c r="CR145" s="1"/>
      <x:c r="CS145" s="1"/>
      <x:c r="CT145" s="1"/>
      <x:c r="CU145" s="1"/>
      <x:c r="CV145" s="1"/>
      <x:c r="CW145" s="1"/>
      <x:c r="CX145" s="1"/>
      <x:c r="CY145" s="1"/>
      <x:c r="CZ145" s="1"/>
      <x:c r="DA145" s="1"/>
      <x:c r="DB145" s="1"/>
      <x:c r="DC145" s="1"/>
      <x:c r="DD145" s="1"/>
    </x:row>
    <x:row r="146" ht="2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  <x:c r="CA146" s="1"/>
      <x:c r="CB146" s="1"/>
      <x:c r="CC146" s="1"/>
      <x:c r="CD146" s="1"/>
      <x:c r="CE146" s="1"/>
      <x:c r="CF146" s="1"/>
      <x:c r="CG146" s="1"/>
      <x:c r="CH146" s="1"/>
      <x:c r="CI146" s="1"/>
      <x:c r="CJ146" s="1"/>
      <x:c r="CK146" s="1"/>
      <x:c r="CL146" s="1"/>
      <x:c r="CM146" s="1"/>
      <x:c r="CN146" s="1"/>
      <x:c r="CO146" s="1"/>
      <x:c r="CP146" s="1"/>
      <x:c r="CQ146" s="1"/>
      <x:c r="CR146" s="1"/>
      <x:c r="CS146" s="1"/>
      <x:c r="CT146" s="1"/>
      <x:c r="CU146" s="1"/>
      <x:c r="CV146" s="1"/>
      <x:c r="CW146" s="1"/>
      <x:c r="CX146" s="1"/>
      <x:c r="CY146" s="1"/>
      <x:c r="CZ146" s="1"/>
      <x:c r="DA146" s="1"/>
      <x:c r="DB146" s="1"/>
      <x:c r="DC146" s="1"/>
      <x:c r="DD146" s="1"/>
    </x:row>
    <x:row r="147" ht="2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  <x:c r="CA147" s="1"/>
      <x:c r="CB147" s="1"/>
      <x:c r="CC147" s="1"/>
      <x:c r="CD147" s="1"/>
      <x:c r="CE147" s="1"/>
      <x:c r="CF147" s="1"/>
      <x:c r="CG147" s="1"/>
      <x:c r="CH147" s="1"/>
      <x:c r="CI147" s="1"/>
      <x:c r="CJ147" s="1"/>
      <x:c r="CK147" s="1"/>
      <x:c r="CL147" s="1"/>
      <x:c r="CM147" s="1"/>
      <x:c r="CN147" s="1"/>
      <x:c r="CO147" s="1"/>
      <x:c r="CP147" s="1"/>
      <x:c r="CQ147" s="1"/>
      <x:c r="CR147" s="1"/>
      <x:c r="CS147" s="1"/>
      <x:c r="CT147" s="1"/>
      <x:c r="CU147" s="1"/>
      <x:c r="CV147" s="1"/>
      <x:c r="CW147" s="1"/>
      <x:c r="CX147" s="1"/>
      <x:c r="CY147" s="1"/>
      <x:c r="CZ147" s="1"/>
      <x:c r="DA147" s="1"/>
      <x:c r="DB147" s="1"/>
      <x:c r="DC147" s="1"/>
      <x:c r="DD147" s="1"/>
    </x:row>
    <x:row r="148" ht="2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  <x:c r="CA148" s="1"/>
      <x:c r="CB148" s="1"/>
      <x:c r="CC148" s="1"/>
      <x:c r="CD148" s="1"/>
      <x:c r="CE148" s="1"/>
      <x:c r="CF148" s="1"/>
      <x:c r="CG148" s="1"/>
      <x:c r="CH148" s="1"/>
      <x:c r="CI148" s="1"/>
      <x:c r="CJ148" s="1"/>
      <x:c r="CK148" s="1"/>
      <x:c r="CL148" s="1"/>
      <x:c r="CM148" s="1"/>
      <x:c r="CN148" s="1"/>
      <x:c r="CO148" s="1"/>
      <x:c r="CP148" s="1"/>
      <x:c r="CQ148" s="1"/>
      <x:c r="CR148" s="1"/>
      <x:c r="CS148" s="1"/>
      <x:c r="CT148" s="1"/>
      <x:c r="CU148" s="1"/>
      <x:c r="CV148" s="1"/>
      <x:c r="CW148" s="1"/>
      <x:c r="CX148" s="1"/>
      <x:c r="CY148" s="1"/>
      <x:c r="CZ148" s="1"/>
      <x:c r="DA148" s="1"/>
      <x:c r="DB148" s="1"/>
      <x:c r="DC148" s="1"/>
      <x:c r="DD148" s="1"/>
    </x:row>
    <x:row r="149" ht="2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  <x:c r="CA149" s="1"/>
      <x:c r="CB149" s="1"/>
      <x:c r="CC149" s="1"/>
      <x:c r="CD149" s="1"/>
      <x:c r="CE149" s="1"/>
      <x:c r="CF149" s="1"/>
      <x:c r="CG149" s="1"/>
      <x:c r="CH149" s="1"/>
      <x:c r="CI149" s="1"/>
      <x:c r="CJ149" s="1"/>
      <x:c r="CK149" s="1"/>
      <x:c r="CL149" s="1"/>
      <x:c r="CM149" s="1"/>
      <x:c r="CN149" s="1"/>
      <x:c r="CO149" s="1"/>
      <x:c r="CP149" s="1"/>
      <x:c r="CQ149" s="1"/>
      <x:c r="CR149" s="1"/>
      <x:c r="CS149" s="1"/>
      <x:c r="CT149" s="1"/>
      <x:c r="CU149" s="1"/>
      <x:c r="CV149" s="1"/>
      <x:c r="CW149" s="1"/>
      <x:c r="CX149" s="1"/>
      <x:c r="CY149" s="1"/>
      <x:c r="CZ149" s="1"/>
      <x:c r="DA149" s="1"/>
      <x:c r="DB149" s="1"/>
      <x:c r="DC149" s="1"/>
      <x:c r="DD149" s="1"/>
    </x:row>
    <x:row r="150" ht="2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  <x:c r="CA150" s="1"/>
      <x:c r="CB150" s="1"/>
      <x:c r="CC150" s="1"/>
      <x:c r="CD150" s="1"/>
      <x:c r="CE150" s="1"/>
      <x:c r="CF150" s="1"/>
      <x:c r="CG150" s="1"/>
      <x:c r="CH150" s="1"/>
      <x:c r="CI150" s="1"/>
      <x:c r="CJ150" s="1"/>
      <x:c r="CK150" s="1"/>
      <x:c r="CL150" s="1"/>
      <x:c r="CM150" s="1"/>
      <x:c r="CN150" s="1"/>
      <x:c r="CO150" s="1"/>
      <x:c r="CP150" s="1"/>
      <x:c r="CQ150" s="1"/>
      <x:c r="CR150" s="1"/>
      <x:c r="CS150" s="1"/>
      <x:c r="CT150" s="1"/>
      <x:c r="CU150" s="1"/>
      <x:c r="CV150" s="1"/>
      <x:c r="CW150" s="1"/>
      <x:c r="CX150" s="1"/>
      <x:c r="CY150" s="1"/>
      <x:c r="CZ150" s="1"/>
      <x:c r="DA150" s="1"/>
      <x:c r="DB150" s="1"/>
      <x:c r="DC150" s="1"/>
      <x:c r="DD150" s="1"/>
    </x:row>
    <x:row r="151" ht="2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  <x:c r="CA151" s="1"/>
      <x:c r="CB151" s="1"/>
      <x:c r="CC151" s="1"/>
      <x:c r="CD151" s="1"/>
      <x:c r="CE151" s="1"/>
      <x:c r="CF151" s="1"/>
      <x:c r="CG151" s="1"/>
      <x:c r="CH151" s="1"/>
      <x:c r="CI151" s="1"/>
      <x:c r="CJ151" s="1"/>
      <x:c r="CK151" s="1"/>
      <x:c r="CL151" s="1"/>
      <x:c r="CM151" s="1"/>
      <x:c r="CN151" s="1"/>
      <x:c r="CO151" s="1"/>
      <x:c r="CP151" s="1"/>
      <x:c r="CQ151" s="1"/>
      <x:c r="CR151" s="1"/>
      <x:c r="CS151" s="1"/>
      <x:c r="CT151" s="1"/>
      <x:c r="CU151" s="1"/>
      <x:c r="CV151" s="1"/>
      <x:c r="CW151" s="1"/>
      <x:c r="CX151" s="1"/>
      <x:c r="CY151" s="1"/>
      <x:c r="CZ151" s="1"/>
      <x:c r="DA151" s="1"/>
      <x:c r="DB151" s="1"/>
      <x:c r="DC151" s="1"/>
      <x:c r="DD151" s="1"/>
    </x:row>
    <x:row r="152" ht="2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  <x:c r="CA152" s="1"/>
      <x:c r="CB152" s="1"/>
      <x:c r="CC152" s="1"/>
      <x:c r="CD152" s="1"/>
      <x:c r="CE152" s="1"/>
      <x:c r="CF152" s="1"/>
      <x:c r="CG152" s="1"/>
      <x:c r="CH152" s="1"/>
      <x:c r="CI152" s="1"/>
      <x:c r="CJ152" s="1"/>
      <x:c r="CK152" s="1"/>
      <x:c r="CL152" s="1"/>
      <x:c r="CM152" s="1"/>
      <x:c r="CN152" s="1"/>
      <x:c r="CO152" s="1"/>
      <x:c r="CP152" s="1"/>
      <x:c r="CQ152" s="1"/>
      <x:c r="CR152" s="1"/>
      <x:c r="CS152" s="1"/>
      <x:c r="CT152" s="1"/>
      <x:c r="CU152" s="1"/>
      <x:c r="CV152" s="1"/>
      <x:c r="CW152" s="1"/>
      <x:c r="CX152" s="1"/>
      <x:c r="CY152" s="1"/>
      <x:c r="CZ152" s="1"/>
      <x:c r="DA152" s="1"/>
      <x:c r="DB152" s="1"/>
      <x:c r="DC152" s="1"/>
      <x:c r="DD152" s="1"/>
    </x:row>
    <x:row r="153" ht="2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  <x:c r="CA153" s="1"/>
      <x:c r="CB153" s="1"/>
      <x:c r="CC153" s="1"/>
      <x:c r="CD153" s="1"/>
      <x:c r="CE153" s="1"/>
      <x:c r="CF153" s="1"/>
      <x:c r="CG153" s="1"/>
      <x:c r="CH153" s="1"/>
      <x:c r="CI153" s="1"/>
      <x:c r="CJ153" s="1"/>
      <x:c r="CK153" s="1"/>
      <x:c r="CL153" s="1"/>
      <x:c r="CM153" s="1"/>
      <x:c r="CN153" s="1"/>
      <x:c r="CO153" s="1"/>
      <x:c r="CP153" s="1"/>
      <x:c r="CQ153" s="1"/>
      <x:c r="CR153" s="1"/>
      <x:c r="CS153" s="1"/>
      <x:c r="CT153" s="1"/>
      <x:c r="CU153" s="1"/>
      <x:c r="CV153" s="1"/>
      <x:c r="CW153" s="1"/>
      <x:c r="CX153" s="1"/>
      <x:c r="CY153" s="1"/>
      <x:c r="CZ153" s="1"/>
      <x:c r="DA153" s="1"/>
      <x:c r="DB153" s="1"/>
      <x:c r="DC153" s="1"/>
      <x:c r="DD153" s="1"/>
    </x:row>
    <x:row r="154" ht="2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  <x:c r="CA154" s="1"/>
      <x:c r="CB154" s="1"/>
      <x:c r="CC154" s="1"/>
      <x:c r="CD154" s="1"/>
      <x:c r="CE154" s="1"/>
      <x:c r="CF154" s="1"/>
      <x:c r="CG154" s="1"/>
      <x:c r="CH154" s="1"/>
      <x:c r="CI154" s="1"/>
      <x:c r="CJ154" s="1"/>
      <x:c r="CK154" s="1"/>
      <x:c r="CL154" s="1"/>
      <x:c r="CM154" s="1"/>
      <x:c r="CN154" s="1"/>
      <x:c r="CO154" s="1"/>
      <x:c r="CP154" s="1"/>
      <x:c r="CQ154" s="1"/>
      <x:c r="CR154" s="1"/>
      <x:c r="CS154" s="1"/>
      <x:c r="CT154" s="1"/>
      <x:c r="CU154" s="1"/>
      <x:c r="CV154" s="1"/>
      <x:c r="CW154" s="1"/>
      <x:c r="CX154" s="1"/>
      <x:c r="CY154" s="1"/>
      <x:c r="CZ154" s="1"/>
      <x:c r="DA154" s="1"/>
      <x:c r="DB154" s="1"/>
      <x:c r="DC154" s="1"/>
      <x:c r="DD154" s="1"/>
    </x:row>
    <x:row r="155" ht="2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  <x:c r="CA155" s="1"/>
      <x:c r="CB155" s="1"/>
      <x:c r="CC155" s="1"/>
      <x:c r="CD155" s="1"/>
      <x:c r="CE155" s="1"/>
      <x:c r="CF155" s="1"/>
      <x:c r="CG155" s="1"/>
      <x:c r="CH155" s="1"/>
      <x:c r="CI155" s="1"/>
      <x:c r="CJ155" s="1"/>
      <x:c r="CK155" s="1"/>
      <x:c r="CL155" s="1"/>
      <x:c r="CM155" s="1"/>
      <x:c r="CN155" s="1"/>
      <x:c r="CO155" s="1"/>
      <x:c r="CP155" s="1"/>
      <x:c r="CQ155" s="1"/>
      <x:c r="CR155" s="1"/>
      <x:c r="CS155" s="1"/>
      <x:c r="CT155" s="1"/>
      <x:c r="CU155" s="1"/>
      <x:c r="CV155" s="1"/>
      <x:c r="CW155" s="1"/>
      <x:c r="CX155" s="1"/>
      <x:c r="CY155" s="1"/>
      <x:c r="CZ155" s="1"/>
      <x:c r="DA155" s="1"/>
      <x:c r="DB155" s="1"/>
      <x:c r="DC155" s="1"/>
      <x:c r="DD155" s="1"/>
    </x:row>
    <x:row r="156" ht="2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  <x:c r="CA156" s="1"/>
      <x:c r="CB156" s="1"/>
      <x:c r="CC156" s="1"/>
      <x:c r="CD156" s="1"/>
      <x:c r="CE156" s="1"/>
      <x:c r="CF156" s="1"/>
      <x:c r="CG156" s="1"/>
      <x:c r="CH156" s="1"/>
      <x:c r="CI156" s="1"/>
      <x:c r="CJ156" s="1"/>
      <x:c r="CK156" s="1"/>
      <x:c r="CL156" s="1"/>
      <x:c r="CM156" s="1"/>
      <x:c r="CN156" s="1"/>
      <x:c r="CO156" s="1"/>
      <x:c r="CP156" s="1"/>
      <x:c r="CQ156" s="1"/>
      <x:c r="CR156" s="1"/>
      <x:c r="CS156" s="1"/>
      <x:c r="CT156" s="1"/>
      <x:c r="CU156" s="1"/>
      <x:c r="CV156" s="1"/>
      <x:c r="CW156" s="1"/>
      <x:c r="CX156" s="1"/>
      <x:c r="CY156" s="1"/>
      <x:c r="CZ156" s="1"/>
      <x:c r="DA156" s="1"/>
      <x:c r="DB156" s="1"/>
      <x:c r="DC156" s="1"/>
      <x:c r="DD156" s="1"/>
    </x:row>
    <x:row r="157" ht="2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  <x:c r="CA157" s="1"/>
      <x:c r="CB157" s="1"/>
      <x:c r="CC157" s="1"/>
      <x:c r="CD157" s="1"/>
      <x:c r="CE157" s="1"/>
      <x:c r="CF157" s="1"/>
      <x:c r="CG157" s="1"/>
      <x:c r="CH157" s="1"/>
      <x:c r="CI157" s="1"/>
      <x:c r="CJ157" s="1"/>
      <x:c r="CK157" s="1"/>
      <x:c r="CL157" s="1"/>
      <x:c r="CM157" s="1"/>
      <x:c r="CN157" s="1"/>
      <x:c r="CO157" s="1"/>
      <x:c r="CP157" s="1"/>
      <x:c r="CQ157" s="1"/>
      <x:c r="CR157" s="1"/>
      <x:c r="CS157" s="1"/>
      <x:c r="CT157" s="1"/>
      <x:c r="CU157" s="1"/>
      <x:c r="CV157" s="1"/>
      <x:c r="CW157" s="1"/>
      <x:c r="CX157" s="1"/>
      <x:c r="CY157" s="1"/>
      <x:c r="CZ157" s="1"/>
      <x:c r="DA157" s="1"/>
      <x:c r="DB157" s="1"/>
      <x:c r="DC157" s="1"/>
      <x:c r="DD157" s="1"/>
    </x:row>
    <x:row r="158" ht="2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  <x:c r="CA158" s="1"/>
      <x:c r="CB158" s="1"/>
      <x:c r="CC158" s="1"/>
      <x:c r="CD158" s="1"/>
      <x:c r="CE158" s="1"/>
      <x:c r="CF158" s="1"/>
      <x:c r="CG158" s="1"/>
      <x:c r="CH158" s="1"/>
      <x:c r="CI158" s="1"/>
      <x:c r="CJ158" s="1"/>
      <x:c r="CK158" s="1"/>
      <x:c r="CL158" s="1"/>
      <x:c r="CM158" s="1"/>
      <x:c r="CN158" s="1"/>
      <x:c r="CO158" s="1"/>
      <x:c r="CP158" s="1"/>
      <x:c r="CQ158" s="1"/>
      <x:c r="CR158" s="1"/>
      <x:c r="CS158" s="1"/>
      <x:c r="CT158" s="1"/>
      <x:c r="CU158" s="1"/>
      <x:c r="CV158" s="1"/>
      <x:c r="CW158" s="1"/>
      <x:c r="CX158" s="1"/>
      <x:c r="CY158" s="1"/>
      <x:c r="CZ158" s="1"/>
      <x:c r="DA158" s="1"/>
      <x:c r="DB158" s="1"/>
      <x:c r="DC158" s="1"/>
      <x:c r="DD158" s="1"/>
    </x:row>
    <x:row r="159" ht="2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  <x:c r="CA159" s="1"/>
      <x:c r="CB159" s="1"/>
      <x:c r="CC159" s="1"/>
      <x:c r="CD159" s="1"/>
      <x:c r="CE159" s="1"/>
      <x:c r="CF159" s="1"/>
      <x:c r="CG159" s="1"/>
      <x:c r="CH159" s="1"/>
      <x:c r="CI159" s="1"/>
      <x:c r="CJ159" s="1"/>
      <x:c r="CK159" s="1"/>
      <x:c r="CL159" s="1"/>
      <x:c r="CM159" s="1"/>
      <x:c r="CN159" s="1"/>
      <x:c r="CO159" s="1"/>
      <x:c r="CP159" s="1"/>
      <x:c r="CQ159" s="1"/>
      <x:c r="CR159" s="1"/>
      <x:c r="CS159" s="1"/>
      <x:c r="CT159" s="1"/>
      <x:c r="CU159" s="1"/>
      <x:c r="CV159" s="1"/>
      <x:c r="CW159" s="1"/>
      <x:c r="CX159" s="1"/>
      <x:c r="CY159" s="1"/>
      <x:c r="CZ159" s="1"/>
      <x:c r="DA159" s="1"/>
      <x:c r="DB159" s="1"/>
      <x:c r="DC159" s="1"/>
      <x:c r="DD159" s="1"/>
    </x:row>
    <x:row r="160" ht="2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  <x:c r="CA160" s="1"/>
      <x:c r="CB160" s="1"/>
      <x:c r="CC160" s="1"/>
      <x:c r="CD160" s="1"/>
      <x:c r="CE160" s="1"/>
      <x:c r="CF160" s="1"/>
      <x:c r="CG160" s="1"/>
      <x:c r="CH160" s="1"/>
      <x:c r="CI160" s="1"/>
      <x:c r="CJ160" s="1"/>
      <x:c r="CK160" s="1"/>
      <x:c r="CL160" s="1"/>
      <x:c r="CM160" s="1"/>
      <x:c r="CN160" s="1"/>
      <x:c r="CO160" s="1"/>
      <x:c r="CP160" s="1"/>
      <x:c r="CQ160" s="1"/>
      <x:c r="CR160" s="1"/>
      <x:c r="CS160" s="1"/>
      <x:c r="CT160" s="1"/>
      <x:c r="CU160" s="1"/>
      <x:c r="CV160" s="1"/>
      <x:c r="CW160" s="1"/>
      <x:c r="CX160" s="1"/>
      <x:c r="CY160" s="1"/>
      <x:c r="CZ160" s="1"/>
      <x:c r="DA160" s="1"/>
      <x:c r="DB160" s="1"/>
      <x:c r="DC160" s="1"/>
      <x:c r="DD160" s="1"/>
    </x:row>
    <x:row r="161" ht="2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  <x:c r="CA161" s="1"/>
      <x:c r="CB161" s="1"/>
      <x:c r="CC161" s="1"/>
      <x:c r="CD161" s="1"/>
      <x:c r="CE161" s="1"/>
      <x:c r="CF161" s="1"/>
      <x:c r="CG161" s="1"/>
      <x:c r="CH161" s="1"/>
      <x:c r="CI161" s="1"/>
      <x:c r="CJ161" s="1"/>
      <x:c r="CK161" s="1"/>
      <x:c r="CL161" s="1"/>
      <x:c r="CM161" s="1"/>
      <x:c r="CN161" s="1"/>
      <x:c r="CO161" s="1"/>
      <x:c r="CP161" s="1"/>
      <x:c r="CQ161" s="1"/>
      <x:c r="CR161" s="1"/>
      <x:c r="CS161" s="1"/>
      <x:c r="CT161" s="1"/>
      <x:c r="CU161" s="1"/>
      <x:c r="CV161" s="1"/>
      <x:c r="CW161" s="1"/>
      <x:c r="CX161" s="1"/>
      <x:c r="CY161" s="1"/>
      <x:c r="CZ161" s="1"/>
      <x:c r="DA161" s="1"/>
      <x:c r="DB161" s="1"/>
      <x:c r="DC161" s="1"/>
      <x:c r="DD161" s="1"/>
    </x:row>
    <x:row r="162" ht="2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  <x:c r="CA162" s="1"/>
      <x:c r="CB162" s="1"/>
      <x:c r="CC162" s="1"/>
      <x:c r="CD162" s="1"/>
      <x:c r="CE162" s="1"/>
      <x:c r="CF162" s="1"/>
      <x:c r="CG162" s="1"/>
      <x:c r="CH162" s="1"/>
      <x:c r="CI162" s="1"/>
      <x:c r="CJ162" s="1"/>
      <x:c r="CK162" s="1"/>
      <x:c r="CL162" s="1"/>
      <x:c r="CM162" s="1"/>
      <x:c r="CN162" s="1"/>
      <x:c r="CO162" s="1"/>
      <x:c r="CP162" s="1"/>
      <x:c r="CQ162" s="1"/>
      <x:c r="CR162" s="1"/>
      <x:c r="CS162" s="1"/>
      <x:c r="CT162" s="1"/>
      <x:c r="CU162" s="1"/>
      <x:c r="CV162" s="1"/>
      <x:c r="CW162" s="1"/>
      <x:c r="CX162" s="1"/>
      <x:c r="CY162" s="1"/>
      <x:c r="CZ162" s="1"/>
      <x:c r="DA162" s="1"/>
      <x:c r="DB162" s="1"/>
      <x:c r="DC162" s="1"/>
      <x:c r="DD162" s="1"/>
    </x:row>
    <x:row r="163" ht="2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  <x:c r="CA163" s="1"/>
      <x:c r="CB163" s="1"/>
      <x:c r="CC163" s="1"/>
      <x:c r="CD163" s="1"/>
      <x:c r="CE163" s="1"/>
      <x:c r="CF163" s="1"/>
      <x:c r="CG163" s="1"/>
      <x:c r="CH163" s="1"/>
      <x:c r="CI163" s="1"/>
      <x:c r="CJ163" s="1"/>
      <x:c r="CK163" s="1"/>
      <x:c r="CL163" s="1"/>
      <x:c r="CM163" s="1"/>
      <x:c r="CN163" s="1"/>
      <x:c r="CO163" s="1"/>
      <x:c r="CP163" s="1"/>
      <x:c r="CQ163" s="1"/>
      <x:c r="CR163" s="1"/>
      <x:c r="CS163" s="1"/>
      <x:c r="CT163" s="1"/>
      <x:c r="CU163" s="1"/>
      <x:c r="CV163" s="1"/>
      <x:c r="CW163" s="1"/>
      <x:c r="CX163" s="1"/>
      <x:c r="CY163" s="1"/>
      <x:c r="CZ163" s="1"/>
      <x:c r="DA163" s="1"/>
      <x:c r="DB163" s="1"/>
      <x:c r="DC163" s="1"/>
      <x:c r="DD163" s="1"/>
    </x:row>
    <x:row r="164" ht="2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  <x:c r="CA164" s="1"/>
      <x:c r="CB164" s="1"/>
      <x:c r="CC164" s="1"/>
      <x:c r="CD164" s="1"/>
      <x:c r="CE164" s="1"/>
      <x:c r="CF164" s="1"/>
      <x:c r="CG164" s="1"/>
      <x:c r="CH164" s="1"/>
      <x:c r="CI164" s="1"/>
      <x:c r="CJ164" s="1"/>
      <x:c r="CK164" s="1"/>
      <x:c r="CL164" s="1"/>
      <x:c r="CM164" s="1"/>
      <x:c r="CN164" s="1"/>
      <x:c r="CO164" s="1"/>
      <x:c r="CP164" s="1"/>
      <x:c r="CQ164" s="1"/>
      <x:c r="CR164" s="1"/>
      <x:c r="CS164" s="1"/>
      <x:c r="CT164" s="1"/>
      <x:c r="CU164" s="1"/>
      <x:c r="CV164" s="1"/>
      <x:c r="CW164" s="1"/>
      <x:c r="CX164" s="1"/>
      <x:c r="CY164" s="1"/>
      <x:c r="CZ164" s="1"/>
      <x:c r="DA164" s="1"/>
      <x:c r="DB164" s="1"/>
      <x:c r="DC164" s="1"/>
      <x:c r="DD164" s="1"/>
    </x:row>
    <x:row r="165" ht="2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  <x:c r="CA165" s="1"/>
      <x:c r="CB165" s="1"/>
      <x:c r="CC165" s="1"/>
      <x:c r="CD165" s="1"/>
      <x:c r="CE165" s="1"/>
      <x:c r="CF165" s="1"/>
      <x:c r="CG165" s="1"/>
      <x:c r="CH165" s="1"/>
      <x:c r="CI165" s="1"/>
      <x:c r="CJ165" s="1"/>
      <x:c r="CK165" s="1"/>
      <x:c r="CL165" s="1"/>
      <x:c r="CM165" s="1"/>
      <x:c r="CN165" s="1"/>
      <x:c r="CO165" s="1"/>
      <x:c r="CP165" s="1"/>
      <x:c r="CQ165" s="1"/>
      <x:c r="CR165" s="1"/>
      <x:c r="CS165" s="1"/>
      <x:c r="CT165" s="1"/>
      <x:c r="CU165" s="1"/>
      <x:c r="CV165" s="1"/>
      <x:c r="CW165" s="1"/>
      <x:c r="CX165" s="1"/>
      <x:c r="CY165" s="1"/>
      <x:c r="CZ165" s="1"/>
      <x:c r="DA165" s="1"/>
      <x:c r="DB165" s="1"/>
      <x:c r="DC165" s="1"/>
      <x:c r="DD165" s="1"/>
    </x:row>
    <x:row r="166" ht="2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  <x:c r="CA166" s="1"/>
      <x:c r="CB166" s="1"/>
      <x:c r="CC166" s="1"/>
      <x:c r="CD166" s="1"/>
      <x:c r="CE166" s="1"/>
      <x:c r="CF166" s="1"/>
      <x:c r="CG166" s="1"/>
      <x:c r="CH166" s="1"/>
      <x:c r="CI166" s="1"/>
      <x:c r="CJ166" s="1"/>
      <x:c r="CK166" s="1"/>
      <x:c r="CL166" s="1"/>
      <x:c r="CM166" s="1"/>
      <x:c r="CN166" s="1"/>
      <x:c r="CO166" s="1"/>
      <x:c r="CP166" s="1"/>
      <x:c r="CQ166" s="1"/>
      <x:c r="CR166" s="1"/>
      <x:c r="CS166" s="1"/>
      <x:c r="CT166" s="1"/>
      <x:c r="CU166" s="1"/>
      <x:c r="CV166" s="1"/>
      <x:c r="CW166" s="1"/>
      <x:c r="CX166" s="1"/>
      <x:c r="CY166" s="1"/>
      <x:c r="CZ166" s="1"/>
      <x:c r="DA166" s="1"/>
      <x:c r="DB166" s="1"/>
      <x:c r="DC166" s="1"/>
      <x:c r="DD166" s="1"/>
    </x:row>
    <x:row r="167" ht="2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  <x:c r="CA167" s="1"/>
      <x:c r="CB167" s="1"/>
      <x:c r="CC167" s="1"/>
      <x:c r="CD167" s="1"/>
      <x:c r="CE167" s="1"/>
      <x:c r="CF167" s="1"/>
      <x:c r="CG167" s="1"/>
      <x:c r="CH167" s="1"/>
      <x:c r="CI167" s="1"/>
      <x:c r="CJ167" s="1"/>
      <x:c r="CK167" s="1"/>
      <x:c r="CL167" s="1"/>
      <x:c r="CM167" s="1"/>
      <x:c r="CN167" s="1"/>
      <x:c r="CO167" s="1"/>
      <x:c r="CP167" s="1"/>
      <x:c r="CQ167" s="1"/>
      <x:c r="CR167" s="1"/>
      <x:c r="CS167" s="1"/>
      <x:c r="CT167" s="1"/>
      <x:c r="CU167" s="1"/>
      <x:c r="CV167" s="1"/>
      <x:c r="CW167" s="1"/>
      <x:c r="CX167" s="1"/>
      <x:c r="CY167" s="1"/>
      <x:c r="CZ167" s="1"/>
      <x:c r="DA167" s="1"/>
      <x:c r="DB167" s="1"/>
      <x:c r="DC167" s="1"/>
      <x:c r="DD167" s="1"/>
    </x:row>
    <x:row r="168" ht="2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  <x:c r="CA168" s="1"/>
      <x:c r="CB168" s="1"/>
      <x:c r="CC168" s="1"/>
      <x:c r="CD168" s="1"/>
      <x:c r="CE168" s="1"/>
      <x:c r="CF168" s="1"/>
      <x:c r="CG168" s="1"/>
      <x:c r="CH168" s="1"/>
      <x:c r="CI168" s="1"/>
      <x:c r="CJ168" s="1"/>
      <x:c r="CK168" s="1"/>
      <x:c r="CL168" s="1"/>
      <x:c r="CM168" s="1"/>
      <x:c r="CN168" s="1"/>
      <x:c r="CO168" s="1"/>
      <x:c r="CP168" s="1"/>
      <x:c r="CQ168" s="1"/>
      <x:c r="CR168" s="1"/>
      <x:c r="CS168" s="1"/>
      <x:c r="CT168" s="1"/>
      <x:c r="CU168" s="1"/>
      <x:c r="CV168" s="1"/>
      <x:c r="CW168" s="1"/>
      <x:c r="CX168" s="1"/>
      <x:c r="CY168" s="1"/>
      <x:c r="CZ168" s="1"/>
      <x:c r="DA168" s="1"/>
      <x:c r="DB168" s="1"/>
      <x:c r="DC168" s="1"/>
      <x:c r="DD168" s="1"/>
    </x:row>
    <x:row r="169" ht="2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  <x:c r="CA169" s="1"/>
      <x:c r="CB169" s="1"/>
      <x:c r="CC169" s="1"/>
      <x:c r="CD169" s="1"/>
      <x:c r="CE169" s="1"/>
      <x:c r="CF169" s="1"/>
      <x:c r="CG169" s="1"/>
      <x:c r="CH169" s="1"/>
      <x:c r="CI169" s="1"/>
      <x:c r="CJ169" s="1"/>
      <x:c r="CK169" s="1"/>
      <x:c r="CL169" s="1"/>
      <x:c r="CM169" s="1"/>
      <x:c r="CN169" s="1"/>
      <x:c r="CO169" s="1"/>
      <x:c r="CP169" s="1"/>
      <x:c r="CQ169" s="1"/>
      <x:c r="CR169" s="1"/>
      <x:c r="CS169" s="1"/>
      <x:c r="CT169" s="1"/>
      <x:c r="CU169" s="1"/>
      <x:c r="CV169" s="1"/>
      <x:c r="CW169" s="1"/>
      <x:c r="CX169" s="1"/>
      <x:c r="CY169" s="1"/>
      <x:c r="CZ169" s="1"/>
      <x:c r="DA169" s="1"/>
      <x:c r="DB169" s="1"/>
      <x:c r="DC169" s="1"/>
      <x:c r="DD169" s="1"/>
    </x:row>
    <x:row r="170" ht="2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  <x:c r="CA170" s="1"/>
      <x:c r="CB170" s="1"/>
      <x:c r="CC170" s="1"/>
      <x:c r="CD170" s="1"/>
      <x:c r="CE170" s="1"/>
      <x:c r="CF170" s="1"/>
      <x:c r="CG170" s="1"/>
      <x:c r="CH170" s="1"/>
      <x:c r="CI170" s="1"/>
      <x:c r="CJ170" s="1"/>
      <x:c r="CK170" s="1"/>
      <x:c r="CL170" s="1"/>
      <x:c r="CM170" s="1"/>
      <x:c r="CN170" s="1"/>
      <x:c r="CO170" s="1"/>
      <x:c r="CP170" s="1"/>
      <x:c r="CQ170" s="1"/>
      <x:c r="CR170" s="1"/>
      <x:c r="CS170" s="1"/>
      <x:c r="CT170" s="1"/>
      <x:c r="CU170" s="1"/>
      <x:c r="CV170" s="1"/>
      <x:c r="CW170" s="1"/>
      <x:c r="CX170" s="1"/>
      <x:c r="CY170" s="1"/>
      <x:c r="CZ170" s="1"/>
      <x:c r="DA170" s="1"/>
      <x:c r="DB170" s="1"/>
      <x:c r="DC170" s="1"/>
      <x:c r="DD170" s="1"/>
    </x:row>
    <x:row r="171" ht="2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  <x:c r="CA171" s="1"/>
      <x:c r="CB171" s="1"/>
      <x:c r="CC171" s="1"/>
      <x:c r="CD171" s="1"/>
      <x:c r="CE171" s="1"/>
      <x:c r="CF171" s="1"/>
      <x:c r="CG171" s="1"/>
      <x:c r="CH171" s="1"/>
      <x:c r="CI171" s="1"/>
      <x:c r="CJ171" s="1"/>
      <x:c r="CK171" s="1"/>
      <x:c r="CL171" s="1"/>
      <x:c r="CM171" s="1"/>
      <x:c r="CN171" s="1"/>
      <x:c r="CO171" s="1"/>
      <x:c r="CP171" s="1"/>
      <x:c r="CQ171" s="1"/>
      <x:c r="CR171" s="1"/>
      <x:c r="CS171" s="1"/>
      <x:c r="CT171" s="1"/>
      <x:c r="CU171" s="1"/>
      <x:c r="CV171" s="1"/>
      <x:c r="CW171" s="1"/>
      <x:c r="CX171" s="1"/>
      <x:c r="CY171" s="1"/>
      <x:c r="CZ171" s="1"/>
      <x:c r="DA171" s="1"/>
      <x:c r="DB171" s="1"/>
      <x:c r="DC171" s="1"/>
      <x:c r="DD171" s="1"/>
    </x:row>
    <x:row r="172" ht="2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  <x:c r="CA172" s="1"/>
      <x:c r="CB172" s="1"/>
      <x:c r="CC172" s="1"/>
      <x:c r="CD172" s="1"/>
      <x:c r="CE172" s="1"/>
      <x:c r="CF172" s="1"/>
      <x:c r="CG172" s="1"/>
      <x:c r="CH172" s="1"/>
      <x:c r="CI172" s="1"/>
      <x:c r="CJ172" s="1"/>
      <x:c r="CK172" s="1"/>
      <x:c r="CL172" s="1"/>
      <x:c r="CM172" s="1"/>
      <x:c r="CN172" s="1"/>
      <x:c r="CO172" s="1"/>
      <x:c r="CP172" s="1"/>
      <x:c r="CQ172" s="1"/>
      <x:c r="CR172" s="1"/>
      <x:c r="CS172" s="1"/>
      <x:c r="CT172" s="1"/>
      <x:c r="CU172" s="1"/>
      <x:c r="CV172" s="1"/>
      <x:c r="CW172" s="1"/>
      <x:c r="CX172" s="1"/>
      <x:c r="CY172" s="1"/>
      <x:c r="CZ172" s="1"/>
      <x:c r="DA172" s="1"/>
      <x:c r="DB172" s="1"/>
      <x:c r="DC172" s="1"/>
      <x:c r="DD172" s="1"/>
    </x:row>
    <x:row r="173" ht="2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  <x:c r="CA173" s="1"/>
      <x:c r="CB173" s="1"/>
      <x:c r="CC173" s="1"/>
      <x:c r="CD173" s="1"/>
      <x:c r="CE173" s="1"/>
      <x:c r="CF173" s="1"/>
      <x:c r="CG173" s="1"/>
      <x:c r="CH173" s="1"/>
      <x:c r="CI173" s="1"/>
      <x:c r="CJ173" s="1"/>
      <x:c r="CK173" s="1"/>
      <x:c r="CL173" s="1"/>
      <x:c r="CM173" s="1"/>
      <x:c r="CN173" s="1"/>
      <x:c r="CO173" s="1"/>
      <x:c r="CP173" s="1"/>
      <x:c r="CQ173" s="1"/>
      <x:c r="CR173" s="1"/>
      <x:c r="CS173" s="1"/>
      <x:c r="CT173" s="1"/>
      <x:c r="CU173" s="1"/>
      <x:c r="CV173" s="1"/>
      <x:c r="CW173" s="1"/>
      <x:c r="CX173" s="1"/>
      <x:c r="CY173" s="1"/>
      <x:c r="CZ173" s="1"/>
      <x:c r="DA173" s="1"/>
      <x:c r="DB173" s="1"/>
      <x:c r="DC173" s="1"/>
      <x:c r="DD173" s="1"/>
    </x:row>
    <x:row r="174" ht="2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  <x:c r="CA174" s="1"/>
      <x:c r="CB174" s="1"/>
      <x:c r="CC174" s="1"/>
      <x:c r="CD174" s="1"/>
      <x:c r="CE174" s="1"/>
      <x:c r="CF174" s="1"/>
      <x:c r="CG174" s="1"/>
      <x:c r="CH174" s="1"/>
      <x:c r="CI174" s="1"/>
      <x:c r="CJ174" s="1"/>
      <x:c r="CK174" s="1"/>
      <x:c r="CL174" s="1"/>
      <x:c r="CM174" s="1"/>
      <x:c r="CN174" s="1"/>
      <x:c r="CO174" s="1"/>
      <x:c r="CP174" s="1"/>
      <x:c r="CQ174" s="1"/>
      <x:c r="CR174" s="1"/>
      <x:c r="CS174" s="1"/>
      <x:c r="CT174" s="1"/>
      <x:c r="CU174" s="1"/>
      <x:c r="CV174" s="1"/>
      <x:c r="CW174" s="1"/>
      <x:c r="CX174" s="1"/>
      <x:c r="CY174" s="1"/>
      <x:c r="CZ174" s="1"/>
      <x:c r="DA174" s="1"/>
      <x:c r="DB174" s="1"/>
      <x:c r="DC174" s="1"/>
      <x:c r="DD174" s="1"/>
    </x:row>
    <x:row r="175" ht="2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  <x:c r="CA175" s="1"/>
      <x:c r="CB175" s="1"/>
      <x:c r="CC175" s="1"/>
      <x:c r="CD175" s="1"/>
      <x:c r="CE175" s="1"/>
      <x:c r="CF175" s="1"/>
      <x:c r="CG175" s="1"/>
      <x:c r="CH175" s="1"/>
      <x:c r="CI175" s="1"/>
      <x:c r="CJ175" s="1"/>
      <x:c r="CK175" s="1"/>
      <x:c r="CL175" s="1"/>
      <x:c r="CM175" s="1"/>
      <x:c r="CN175" s="1"/>
      <x:c r="CO175" s="1"/>
      <x:c r="CP175" s="1"/>
      <x:c r="CQ175" s="1"/>
      <x:c r="CR175" s="1"/>
      <x:c r="CS175" s="1"/>
      <x:c r="CT175" s="1"/>
      <x:c r="CU175" s="1"/>
      <x:c r="CV175" s="1"/>
      <x:c r="CW175" s="1"/>
      <x:c r="CX175" s="1"/>
      <x:c r="CY175" s="1"/>
      <x:c r="CZ175" s="1"/>
      <x:c r="DA175" s="1"/>
      <x:c r="DB175" s="1"/>
      <x:c r="DC175" s="1"/>
      <x:c r="DD175" s="1"/>
    </x:row>
    <x:row r="176" ht="2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  <x:c r="CA176" s="1"/>
      <x:c r="CB176" s="1"/>
      <x:c r="CC176" s="1"/>
      <x:c r="CD176" s="1"/>
      <x:c r="CE176" s="1"/>
      <x:c r="CF176" s="1"/>
      <x:c r="CG176" s="1"/>
      <x:c r="CH176" s="1"/>
      <x:c r="CI176" s="1"/>
      <x:c r="CJ176" s="1"/>
      <x:c r="CK176" s="1"/>
      <x:c r="CL176" s="1"/>
      <x:c r="CM176" s="1"/>
      <x:c r="CN176" s="1"/>
      <x:c r="CO176" s="1"/>
      <x:c r="CP176" s="1"/>
      <x:c r="CQ176" s="1"/>
      <x:c r="CR176" s="1"/>
      <x:c r="CS176" s="1"/>
      <x:c r="CT176" s="1"/>
      <x:c r="CU176" s="1"/>
      <x:c r="CV176" s="1"/>
      <x:c r="CW176" s="1"/>
      <x:c r="CX176" s="1"/>
      <x:c r="CY176" s="1"/>
      <x:c r="CZ176" s="1"/>
      <x:c r="DA176" s="1"/>
      <x:c r="DB176" s="1"/>
      <x:c r="DC176" s="1"/>
      <x:c r="DD176" s="1"/>
    </x:row>
    <x:row r="177" ht="2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  <x:c r="CA177" s="1"/>
      <x:c r="CB177" s="1"/>
      <x:c r="CC177" s="1"/>
      <x:c r="CD177" s="1"/>
      <x:c r="CE177" s="1"/>
      <x:c r="CF177" s="1"/>
      <x:c r="CG177" s="1"/>
      <x:c r="CH177" s="1"/>
      <x:c r="CI177" s="1"/>
      <x:c r="CJ177" s="1"/>
      <x:c r="CK177" s="1"/>
      <x:c r="CL177" s="1"/>
      <x:c r="CM177" s="1"/>
      <x:c r="CN177" s="1"/>
      <x:c r="CO177" s="1"/>
      <x:c r="CP177" s="1"/>
      <x:c r="CQ177" s="1"/>
      <x:c r="CR177" s="1"/>
      <x:c r="CS177" s="1"/>
      <x:c r="CT177" s="1"/>
      <x:c r="CU177" s="1"/>
      <x:c r="CV177" s="1"/>
      <x:c r="CW177" s="1"/>
      <x:c r="CX177" s="1"/>
      <x:c r="CY177" s="1"/>
      <x:c r="CZ177" s="1"/>
      <x:c r="DA177" s="1"/>
      <x:c r="DB177" s="1"/>
      <x:c r="DC177" s="1"/>
      <x:c r="DD177" s="1"/>
    </x:row>
    <x:row r="178" ht="2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  <x:c r="CA178" s="1"/>
      <x:c r="CB178" s="1"/>
      <x:c r="CC178" s="1"/>
      <x:c r="CD178" s="1"/>
      <x:c r="CE178" s="1"/>
      <x:c r="CF178" s="1"/>
      <x:c r="CG178" s="1"/>
      <x:c r="CH178" s="1"/>
      <x:c r="CI178" s="1"/>
      <x:c r="CJ178" s="1"/>
      <x:c r="CK178" s="1"/>
      <x:c r="CL178" s="1"/>
      <x:c r="CM178" s="1"/>
      <x:c r="CN178" s="1"/>
      <x:c r="CO178" s="1"/>
      <x:c r="CP178" s="1"/>
      <x:c r="CQ178" s="1"/>
      <x:c r="CR178" s="1"/>
      <x:c r="CS178" s="1"/>
      <x:c r="CT178" s="1"/>
      <x:c r="CU178" s="1"/>
      <x:c r="CV178" s="1"/>
      <x:c r="CW178" s="1"/>
      <x:c r="CX178" s="1"/>
      <x:c r="CY178" s="1"/>
      <x:c r="CZ178" s="1"/>
      <x:c r="DA178" s="1"/>
      <x:c r="DB178" s="1"/>
      <x:c r="DC178" s="1"/>
      <x:c r="DD178" s="1"/>
    </x:row>
    <x:row r="179" ht="2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  <x:c r="CA179" s="1"/>
      <x:c r="CB179" s="1"/>
      <x:c r="CC179" s="1"/>
      <x:c r="CD179" s="1"/>
      <x:c r="CE179" s="1"/>
      <x:c r="CF179" s="1"/>
      <x:c r="CG179" s="1"/>
      <x:c r="CH179" s="1"/>
      <x:c r="CI179" s="1"/>
      <x:c r="CJ179" s="1"/>
      <x:c r="CK179" s="1"/>
      <x:c r="CL179" s="1"/>
      <x:c r="CM179" s="1"/>
      <x:c r="CN179" s="1"/>
      <x:c r="CO179" s="1"/>
      <x:c r="CP179" s="1"/>
      <x:c r="CQ179" s="1"/>
      <x:c r="CR179" s="1"/>
      <x:c r="CS179" s="1"/>
      <x:c r="CT179" s="1"/>
      <x:c r="CU179" s="1"/>
      <x:c r="CV179" s="1"/>
      <x:c r="CW179" s="1"/>
      <x:c r="CX179" s="1"/>
      <x:c r="CY179" s="1"/>
      <x:c r="CZ179" s="1"/>
      <x:c r="DA179" s="1"/>
      <x:c r="DB179" s="1"/>
      <x:c r="DC179" s="1"/>
      <x:c r="DD179" s="1"/>
    </x:row>
    <x:row r="180" ht="2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  <x:c r="CA180" s="1"/>
      <x:c r="CB180" s="1"/>
      <x:c r="CC180" s="1"/>
      <x:c r="CD180" s="1"/>
      <x:c r="CE180" s="1"/>
      <x:c r="CF180" s="1"/>
      <x:c r="CG180" s="1"/>
      <x:c r="CH180" s="1"/>
      <x:c r="CI180" s="1"/>
      <x:c r="CJ180" s="1"/>
      <x:c r="CK180" s="1"/>
      <x:c r="CL180" s="1"/>
      <x:c r="CM180" s="1"/>
      <x:c r="CN180" s="1"/>
      <x:c r="CO180" s="1"/>
      <x:c r="CP180" s="1"/>
      <x:c r="CQ180" s="1"/>
      <x:c r="CR180" s="1"/>
      <x:c r="CS180" s="1"/>
      <x:c r="CT180" s="1"/>
      <x:c r="CU180" s="1"/>
      <x:c r="CV180" s="1"/>
      <x:c r="CW180" s="1"/>
      <x:c r="CX180" s="1"/>
      <x:c r="CY180" s="1"/>
      <x:c r="CZ180" s="1"/>
      <x:c r="DA180" s="1"/>
      <x:c r="DB180" s="1"/>
      <x:c r="DC180" s="1"/>
      <x:c r="DD180" s="1"/>
    </x:row>
    <x:row r="181" ht="2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  <x:c r="CA181" s="1"/>
      <x:c r="CB181" s="1"/>
      <x:c r="CC181" s="1"/>
      <x:c r="CD181" s="1"/>
      <x:c r="CE181" s="1"/>
      <x:c r="CF181" s="1"/>
      <x:c r="CG181" s="1"/>
      <x:c r="CH181" s="1"/>
      <x:c r="CI181" s="1"/>
      <x:c r="CJ181" s="1"/>
      <x:c r="CK181" s="1"/>
      <x:c r="CL181" s="1"/>
      <x:c r="CM181" s="1"/>
      <x:c r="CN181" s="1"/>
      <x:c r="CO181" s="1"/>
      <x:c r="CP181" s="1"/>
      <x:c r="CQ181" s="1"/>
      <x:c r="CR181" s="1"/>
      <x:c r="CS181" s="1"/>
      <x:c r="CT181" s="1"/>
      <x:c r="CU181" s="1"/>
      <x:c r="CV181" s="1"/>
      <x:c r="CW181" s="1"/>
      <x:c r="CX181" s="1"/>
      <x:c r="CY181" s="1"/>
      <x:c r="CZ181" s="1"/>
      <x:c r="DA181" s="1"/>
      <x:c r="DB181" s="1"/>
      <x:c r="DC181" s="1"/>
      <x:c r="DD181" s="1"/>
    </x:row>
    <x:row r="182" ht="2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  <x:c r="CA182" s="1"/>
      <x:c r="CB182" s="1"/>
      <x:c r="CC182" s="1"/>
      <x:c r="CD182" s="1"/>
      <x:c r="CE182" s="1"/>
      <x:c r="CF182" s="1"/>
      <x:c r="CG182" s="1"/>
      <x:c r="CH182" s="1"/>
      <x:c r="CI182" s="1"/>
      <x:c r="CJ182" s="1"/>
      <x:c r="CK182" s="1"/>
      <x:c r="CL182" s="1"/>
      <x:c r="CM182" s="1"/>
      <x:c r="CN182" s="1"/>
      <x:c r="CO182" s="1"/>
      <x:c r="CP182" s="1"/>
      <x:c r="CQ182" s="1"/>
      <x:c r="CR182" s="1"/>
      <x:c r="CS182" s="1"/>
      <x:c r="CT182" s="1"/>
      <x:c r="CU182" s="1"/>
      <x:c r="CV182" s="1"/>
      <x:c r="CW182" s="1"/>
      <x:c r="CX182" s="1"/>
      <x:c r="CY182" s="1"/>
      <x:c r="CZ182" s="1"/>
      <x:c r="DA182" s="1"/>
      <x:c r="DB182" s="1"/>
      <x:c r="DC182" s="1"/>
      <x:c r="DD182" s="1"/>
    </x:row>
    <x:row r="183" ht="2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  <x:c r="CA183" s="1"/>
      <x:c r="CB183" s="1"/>
      <x:c r="CC183" s="1"/>
      <x:c r="CD183" s="1"/>
      <x:c r="CE183" s="1"/>
      <x:c r="CF183" s="1"/>
      <x:c r="CG183" s="1"/>
      <x:c r="CH183" s="1"/>
      <x:c r="CI183" s="1"/>
      <x:c r="CJ183" s="1"/>
      <x:c r="CK183" s="1"/>
      <x:c r="CL183" s="1"/>
      <x:c r="CM183" s="1"/>
      <x:c r="CN183" s="1"/>
      <x:c r="CO183" s="1"/>
      <x:c r="CP183" s="1"/>
      <x:c r="CQ183" s="1"/>
      <x:c r="CR183" s="1"/>
      <x:c r="CS183" s="1"/>
      <x:c r="CT183" s="1"/>
      <x:c r="CU183" s="1"/>
      <x:c r="CV183" s="1"/>
      <x:c r="CW183" s="1"/>
      <x:c r="CX183" s="1"/>
      <x:c r="CY183" s="1"/>
      <x:c r="CZ183" s="1"/>
      <x:c r="DA183" s="1"/>
      <x:c r="DB183" s="1"/>
      <x:c r="DC183" s="1"/>
      <x:c r="DD183" s="1"/>
    </x:row>
    <x:row r="184" ht="2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  <x:c r="CA184" s="1"/>
      <x:c r="CB184" s="1"/>
      <x:c r="CC184" s="1"/>
      <x:c r="CD184" s="1"/>
      <x:c r="CE184" s="1"/>
      <x:c r="CF184" s="1"/>
      <x:c r="CG184" s="1"/>
      <x:c r="CH184" s="1"/>
      <x:c r="CI184" s="1"/>
      <x:c r="CJ184" s="1"/>
      <x:c r="CK184" s="1"/>
      <x:c r="CL184" s="1"/>
      <x:c r="CM184" s="1"/>
      <x:c r="CN184" s="1"/>
      <x:c r="CO184" s="1"/>
      <x:c r="CP184" s="1"/>
      <x:c r="CQ184" s="1"/>
      <x:c r="CR184" s="1"/>
      <x:c r="CS184" s="1"/>
      <x:c r="CT184" s="1"/>
      <x:c r="CU184" s="1"/>
      <x:c r="CV184" s="1"/>
      <x:c r="CW184" s="1"/>
      <x:c r="CX184" s="1"/>
      <x:c r="CY184" s="1"/>
      <x:c r="CZ184" s="1"/>
      <x:c r="DA184" s="1"/>
      <x:c r="DB184" s="1"/>
      <x:c r="DC184" s="1"/>
      <x:c r="DD184" s="1"/>
    </x:row>
    <x:row r="185" ht="2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  <x:c r="CA185" s="1"/>
      <x:c r="CB185" s="1"/>
      <x:c r="CC185" s="1"/>
      <x:c r="CD185" s="1"/>
      <x:c r="CE185" s="1"/>
      <x:c r="CF185" s="1"/>
      <x:c r="CG185" s="1"/>
      <x:c r="CH185" s="1"/>
      <x:c r="CI185" s="1"/>
      <x:c r="CJ185" s="1"/>
      <x:c r="CK185" s="1"/>
      <x:c r="CL185" s="1"/>
      <x:c r="CM185" s="1"/>
      <x:c r="CN185" s="1"/>
      <x:c r="CO185" s="1"/>
      <x:c r="CP185" s="1"/>
      <x:c r="CQ185" s="1"/>
      <x:c r="CR185" s="1"/>
      <x:c r="CS185" s="1"/>
      <x:c r="CT185" s="1"/>
      <x:c r="CU185" s="1"/>
      <x:c r="CV185" s="1"/>
      <x:c r="CW185" s="1"/>
      <x:c r="CX185" s="1"/>
      <x:c r="CY185" s="1"/>
      <x:c r="CZ185" s="1"/>
      <x:c r="DA185" s="1"/>
      <x:c r="DB185" s="1"/>
      <x:c r="DC185" s="1"/>
      <x:c r="DD185" s="1"/>
    </x:row>
    <x:row r="186" ht="2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  <x:c r="CA186" s="1"/>
      <x:c r="CB186" s="1"/>
      <x:c r="CC186" s="1"/>
      <x:c r="CD186" s="1"/>
      <x:c r="CE186" s="1"/>
      <x:c r="CF186" s="1"/>
      <x:c r="CG186" s="1"/>
      <x:c r="CH186" s="1"/>
      <x:c r="CI186" s="1"/>
      <x:c r="CJ186" s="1"/>
      <x:c r="CK186" s="1"/>
      <x:c r="CL186" s="1"/>
      <x:c r="CM186" s="1"/>
      <x:c r="CN186" s="1"/>
      <x:c r="CO186" s="1"/>
      <x:c r="CP186" s="1"/>
      <x:c r="CQ186" s="1"/>
      <x:c r="CR186" s="1"/>
      <x:c r="CS186" s="1"/>
      <x:c r="CT186" s="1"/>
      <x:c r="CU186" s="1"/>
      <x:c r="CV186" s="1"/>
      <x:c r="CW186" s="1"/>
      <x:c r="CX186" s="1"/>
      <x:c r="CY186" s="1"/>
      <x:c r="CZ186" s="1"/>
      <x:c r="DA186" s="1"/>
      <x:c r="DB186" s="1"/>
      <x:c r="DC186" s="1"/>
      <x:c r="DD186" s="1"/>
    </x:row>
    <x:row r="187" ht="2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  <x:c r="CA187" s="1"/>
      <x:c r="CB187" s="1"/>
      <x:c r="CC187" s="1"/>
      <x:c r="CD187" s="1"/>
      <x:c r="CE187" s="1"/>
      <x:c r="CF187" s="1"/>
      <x:c r="CG187" s="1"/>
      <x:c r="CH187" s="1"/>
      <x:c r="CI187" s="1"/>
      <x:c r="CJ187" s="1"/>
      <x:c r="CK187" s="1"/>
      <x:c r="CL187" s="1"/>
      <x:c r="CM187" s="1"/>
      <x:c r="CN187" s="1"/>
      <x:c r="CO187" s="1"/>
      <x:c r="CP187" s="1"/>
      <x:c r="CQ187" s="1"/>
      <x:c r="CR187" s="1"/>
      <x:c r="CS187" s="1"/>
      <x:c r="CT187" s="1"/>
      <x:c r="CU187" s="1"/>
      <x:c r="CV187" s="1"/>
      <x:c r="CW187" s="1"/>
      <x:c r="CX187" s="1"/>
      <x:c r="CY187" s="1"/>
      <x:c r="CZ187" s="1"/>
      <x:c r="DA187" s="1"/>
      <x:c r="DB187" s="1"/>
      <x:c r="DC187" s="1"/>
      <x:c r="DD187" s="1"/>
    </x:row>
    <x:row r="188" ht="2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  <x:c r="CA188" s="1"/>
      <x:c r="CB188" s="1"/>
      <x:c r="CC188" s="1"/>
      <x:c r="CD188" s="1"/>
      <x:c r="CE188" s="1"/>
      <x:c r="CF188" s="1"/>
      <x:c r="CG188" s="1"/>
      <x:c r="CH188" s="1"/>
      <x:c r="CI188" s="1"/>
      <x:c r="CJ188" s="1"/>
      <x:c r="CK188" s="1"/>
      <x:c r="CL188" s="1"/>
      <x:c r="CM188" s="1"/>
      <x:c r="CN188" s="1"/>
      <x:c r="CO188" s="1"/>
      <x:c r="CP188" s="1"/>
      <x:c r="CQ188" s="1"/>
      <x:c r="CR188" s="1"/>
      <x:c r="CS188" s="1"/>
      <x:c r="CT188" s="1"/>
      <x:c r="CU188" s="1"/>
      <x:c r="CV188" s="1"/>
      <x:c r="CW188" s="1"/>
      <x:c r="CX188" s="1"/>
      <x:c r="CY188" s="1"/>
      <x:c r="CZ188" s="1"/>
      <x:c r="DA188" s="1"/>
      <x:c r="DB188" s="1"/>
      <x:c r="DC188" s="1"/>
      <x:c r="DD188" s="1"/>
    </x:row>
    <x:row r="189" ht="2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  <x:c r="CA189" s="1"/>
      <x:c r="CB189" s="1"/>
      <x:c r="CC189" s="1"/>
      <x:c r="CD189" s="1"/>
      <x:c r="CE189" s="1"/>
      <x:c r="CF189" s="1"/>
      <x:c r="CG189" s="1"/>
      <x:c r="CH189" s="1"/>
      <x:c r="CI189" s="1"/>
      <x:c r="CJ189" s="1"/>
      <x:c r="CK189" s="1"/>
      <x:c r="CL189" s="1"/>
      <x:c r="CM189" s="1"/>
      <x:c r="CN189" s="1"/>
      <x:c r="CO189" s="1"/>
      <x:c r="CP189" s="1"/>
      <x:c r="CQ189" s="1"/>
      <x:c r="CR189" s="1"/>
      <x:c r="CS189" s="1"/>
      <x:c r="CT189" s="1"/>
      <x:c r="CU189" s="1"/>
      <x:c r="CV189" s="1"/>
      <x:c r="CW189" s="1"/>
      <x:c r="CX189" s="1"/>
      <x:c r="CY189" s="1"/>
      <x:c r="CZ189" s="1"/>
      <x:c r="DA189" s="1"/>
      <x:c r="DB189" s="1"/>
      <x:c r="DC189" s="1"/>
      <x:c r="DD189" s="1"/>
    </x:row>
    <x:row r="190" ht="2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  <x:c r="CA190" s="1"/>
      <x:c r="CB190" s="1"/>
      <x:c r="CC190" s="1"/>
      <x:c r="CD190" s="1"/>
      <x:c r="CE190" s="1"/>
      <x:c r="CF190" s="1"/>
      <x:c r="CG190" s="1"/>
      <x:c r="CH190" s="1"/>
      <x:c r="CI190" s="1"/>
      <x:c r="CJ190" s="1"/>
      <x:c r="CK190" s="1"/>
      <x:c r="CL190" s="1"/>
      <x:c r="CM190" s="1"/>
      <x:c r="CN190" s="1"/>
      <x:c r="CO190" s="1"/>
      <x:c r="CP190" s="1"/>
      <x:c r="CQ190" s="1"/>
      <x:c r="CR190" s="1"/>
      <x:c r="CS190" s="1"/>
      <x:c r="CT190" s="1"/>
      <x:c r="CU190" s="1"/>
      <x:c r="CV190" s="1"/>
      <x:c r="CW190" s="1"/>
      <x:c r="CX190" s="1"/>
      <x:c r="CY190" s="1"/>
      <x:c r="CZ190" s="1"/>
      <x:c r="DA190" s="1"/>
      <x:c r="DB190" s="1"/>
      <x:c r="DC190" s="1"/>
      <x:c r="DD190" s="1"/>
    </x:row>
    <x:row r="191" ht="2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  <x:c r="CA191" s="1"/>
      <x:c r="CB191" s="1"/>
      <x:c r="CC191" s="1"/>
      <x:c r="CD191" s="1"/>
      <x:c r="CE191" s="1"/>
      <x:c r="CF191" s="1"/>
      <x:c r="CG191" s="1"/>
      <x:c r="CH191" s="1"/>
      <x:c r="CI191" s="1"/>
      <x:c r="CJ191" s="1"/>
      <x:c r="CK191" s="1"/>
      <x:c r="CL191" s="1"/>
      <x:c r="CM191" s="1"/>
      <x:c r="CN191" s="1"/>
      <x:c r="CO191" s="1"/>
      <x:c r="CP191" s="1"/>
      <x:c r="CQ191" s="1"/>
      <x:c r="CR191" s="1"/>
      <x:c r="CS191" s="1"/>
      <x:c r="CT191" s="1"/>
      <x:c r="CU191" s="1"/>
      <x:c r="CV191" s="1"/>
      <x:c r="CW191" s="1"/>
      <x:c r="CX191" s="1"/>
      <x:c r="CY191" s="1"/>
      <x:c r="CZ191" s="1"/>
      <x:c r="DA191" s="1"/>
      <x:c r="DB191" s="1"/>
      <x:c r="DC191" s="1"/>
      <x:c r="DD191" s="1"/>
    </x:row>
    <x:row r="192" ht="2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  <x:c r="CA192" s="1"/>
      <x:c r="CB192" s="1"/>
      <x:c r="CC192" s="1"/>
      <x:c r="CD192" s="1"/>
      <x:c r="CE192" s="1"/>
      <x:c r="CF192" s="1"/>
      <x:c r="CG192" s="1"/>
      <x:c r="CH192" s="1"/>
      <x:c r="CI192" s="1"/>
      <x:c r="CJ192" s="1"/>
      <x:c r="CK192" s="1"/>
      <x:c r="CL192" s="1"/>
      <x:c r="CM192" s="1"/>
      <x:c r="CN192" s="1"/>
      <x:c r="CO192" s="1"/>
      <x:c r="CP192" s="1"/>
      <x:c r="CQ192" s="1"/>
      <x:c r="CR192" s="1"/>
      <x:c r="CS192" s="1"/>
      <x:c r="CT192" s="1"/>
      <x:c r="CU192" s="1"/>
      <x:c r="CV192" s="1"/>
      <x:c r="CW192" s="1"/>
      <x:c r="CX192" s="1"/>
      <x:c r="CY192" s="1"/>
      <x:c r="CZ192" s="1"/>
      <x:c r="DA192" s="1"/>
      <x:c r="DB192" s="1"/>
      <x:c r="DC192" s="1"/>
      <x:c r="DD192" s="1"/>
    </x:row>
    <x:row r="193" ht="2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  <x:c r="CA193" s="1"/>
      <x:c r="CB193" s="1"/>
      <x:c r="CC193" s="1"/>
      <x:c r="CD193" s="1"/>
      <x:c r="CE193" s="1"/>
      <x:c r="CF193" s="1"/>
      <x:c r="CG193" s="1"/>
      <x:c r="CH193" s="1"/>
      <x:c r="CI193" s="1"/>
      <x:c r="CJ193" s="1"/>
      <x:c r="CK193" s="1"/>
      <x:c r="CL193" s="1"/>
      <x:c r="CM193" s="1"/>
      <x:c r="CN193" s="1"/>
      <x:c r="CO193" s="1"/>
      <x:c r="CP193" s="1"/>
      <x:c r="CQ193" s="1"/>
      <x:c r="CR193" s="1"/>
      <x:c r="CS193" s="1"/>
      <x:c r="CT193" s="1"/>
      <x:c r="CU193" s="1"/>
      <x:c r="CV193" s="1"/>
      <x:c r="CW193" s="1"/>
      <x:c r="CX193" s="1"/>
      <x:c r="CY193" s="1"/>
      <x:c r="CZ193" s="1"/>
      <x:c r="DA193" s="1"/>
      <x:c r="DB193" s="1"/>
      <x:c r="DC193" s="1"/>
      <x:c r="DD193" s="1"/>
    </x:row>
    <x:row r="194" ht="2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  <x:c r="CA194" s="1"/>
      <x:c r="CB194" s="1"/>
      <x:c r="CC194" s="1"/>
      <x:c r="CD194" s="1"/>
      <x:c r="CE194" s="1"/>
      <x:c r="CF194" s="1"/>
      <x:c r="CG194" s="1"/>
      <x:c r="CH194" s="1"/>
      <x:c r="CI194" s="1"/>
      <x:c r="CJ194" s="1"/>
      <x:c r="CK194" s="1"/>
      <x:c r="CL194" s="1"/>
      <x:c r="CM194" s="1"/>
      <x:c r="CN194" s="1"/>
      <x:c r="CO194" s="1"/>
      <x:c r="CP194" s="1"/>
      <x:c r="CQ194" s="1"/>
      <x:c r="CR194" s="1"/>
      <x:c r="CS194" s="1"/>
      <x:c r="CT194" s="1"/>
      <x:c r="CU194" s="1"/>
      <x:c r="CV194" s="1"/>
      <x:c r="CW194" s="1"/>
      <x:c r="CX194" s="1"/>
      <x:c r="CY194" s="1"/>
      <x:c r="CZ194" s="1"/>
      <x:c r="DA194" s="1"/>
      <x:c r="DB194" s="1"/>
      <x:c r="DC194" s="1"/>
      <x:c r="DD194" s="1"/>
    </x:row>
    <x:row r="195" ht="2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  <x:c r="CA195" s="1"/>
      <x:c r="CB195" s="1"/>
      <x:c r="CC195" s="1"/>
      <x:c r="CD195" s="1"/>
      <x:c r="CE195" s="1"/>
      <x:c r="CF195" s="1"/>
      <x:c r="CG195" s="1"/>
      <x:c r="CH195" s="1"/>
      <x:c r="CI195" s="1"/>
      <x:c r="CJ195" s="1"/>
      <x:c r="CK195" s="1"/>
      <x:c r="CL195" s="1"/>
      <x:c r="CM195" s="1"/>
      <x:c r="CN195" s="1"/>
      <x:c r="CO195" s="1"/>
      <x:c r="CP195" s="1"/>
      <x:c r="CQ195" s="1"/>
      <x:c r="CR195" s="1"/>
      <x:c r="CS195" s="1"/>
      <x:c r="CT195" s="1"/>
      <x:c r="CU195" s="1"/>
      <x:c r="CV195" s="1"/>
      <x:c r="CW195" s="1"/>
      <x:c r="CX195" s="1"/>
      <x:c r="CY195" s="1"/>
      <x:c r="CZ195" s="1"/>
      <x:c r="DA195" s="1"/>
      <x:c r="DB195" s="1"/>
      <x:c r="DC195" s="1"/>
      <x:c r="DD195" s="1"/>
    </x:row>
    <x:row r="196" ht="2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  <x:c r="CA196" s="1"/>
      <x:c r="CB196" s="1"/>
      <x:c r="CC196" s="1"/>
      <x:c r="CD196" s="1"/>
      <x:c r="CE196" s="1"/>
      <x:c r="CF196" s="1"/>
      <x:c r="CG196" s="1"/>
      <x:c r="CH196" s="1"/>
      <x:c r="CI196" s="1"/>
      <x:c r="CJ196" s="1"/>
      <x:c r="CK196" s="1"/>
      <x:c r="CL196" s="1"/>
      <x:c r="CM196" s="1"/>
      <x:c r="CN196" s="1"/>
      <x:c r="CO196" s="1"/>
      <x:c r="CP196" s="1"/>
      <x:c r="CQ196" s="1"/>
      <x:c r="CR196" s="1"/>
      <x:c r="CS196" s="1"/>
      <x:c r="CT196" s="1"/>
      <x:c r="CU196" s="1"/>
      <x:c r="CV196" s="1"/>
      <x:c r="CW196" s="1"/>
      <x:c r="CX196" s="1"/>
      <x:c r="CY196" s="1"/>
      <x:c r="CZ196" s="1"/>
      <x:c r="DA196" s="1"/>
      <x:c r="DB196" s="1"/>
      <x:c r="DC196" s="1"/>
      <x:c r="DD196" s="1"/>
    </x:row>
    <x:row r="197" ht="2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  <x:c r="CA197" s="1"/>
      <x:c r="CB197" s="1"/>
      <x:c r="CC197" s="1"/>
      <x:c r="CD197" s="1"/>
      <x:c r="CE197" s="1"/>
      <x:c r="CF197" s="1"/>
      <x:c r="CG197" s="1"/>
      <x:c r="CH197" s="1"/>
      <x:c r="CI197" s="1"/>
      <x:c r="CJ197" s="1"/>
      <x:c r="CK197" s="1"/>
      <x:c r="CL197" s="1"/>
      <x:c r="CM197" s="1"/>
      <x:c r="CN197" s="1"/>
      <x:c r="CO197" s="1"/>
      <x:c r="CP197" s="1"/>
      <x:c r="CQ197" s="1"/>
      <x:c r="CR197" s="1"/>
      <x:c r="CS197" s="1"/>
      <x:c r="CT197" s="1"/>
      <x:c r="CU197" s="1"/>
      <x:c r="CV197" s="1"/>
      <x:c r="CW197" s="1"/>
      <x:c r="CX197" s="1"/>
      <x:c r="CY197" s="1"/>
      <x:c r="CZ197" s="1"/>
      <x:c r="DA197" s="1"/>
      <x:c r="DB197" s="1"/>
      <x:c r="DC197" s="1"/>
      <x:c r="DD197" s="1"/>
    </x:row>
    <x:row r="198" ht="2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  <x:c r="CA198" s="1"/>
      <x:c r="CB198" s="1"/>
      <x:c r="CC198" s="1"/>
      <x:c r="CD198" s="1"/>
      <x:c r="CE198" s="1"/>
      <x:c r="CF198" s="1"/>
      <x:c r="CG198" s="1"/>
      <x:c r="CH198" s="1"/>
      <x:c r="CI198" s="1"/>
      <x:c r="CJ198" s="1"/>
      <x:c r="CK198" s="1"/>
      <x:c r="CL198" s="1"/>
      <x:c r="CM198" s="1"/>
      <x:c r="CN198" s="1"/>
      <x:c r="CO198" s="1"/>
      <x:c r="CP198" s="1"/>
      <x:c r="CQ198" s="1"/>
      <x:c r="CR198" s="1"/>
      <x:c r="CS198" s="1"/>
      <x:c r="CT198" s="1"/>
      <x:c r="CU198" s="1"/>
      <x:c r="CV198" s="1"/>
      <x:c r="CW198" s="1"/>
      <x:c r="CX198" s="1"/>
      <x:c r="CY198" s="1"/>
      <x:c r="CZ198" s="1"/>
      <x:c r="DA198" s="1"/>
      <x:c r="DB198" s="1"/>
      <x:c r="DC198" s="1"/>
      <x:c r="DD198" s="1"/>
    </x:row>
    <x:row r="199" ht="2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  <x:c r="CA199" s="1"/>
      <x:c r="CB199" s="1"/>
      <x:c r="CC199" s="1"/>
      <x:c r="CD199" s="1"/>
      <x:c r="CE199" s="1"/>
      <x:c r="CF199" s="1"/>
      <x:c r="CG199" s="1"/>
      <x:c r="CH199" s="1"/>
      <x:c r="CI199" s="1"/>
      <x:c r="CJ199" s="1"/>
      <x:c r="CK199" s="1"/>
      <x:c r="CL199" s="1"/>
      <x:c r="CM199" s="1"/>
      <x:c r="CN199" s="1"/>
      <x:c r="CO199" s="1"/>
      <x:c r="CP199" s="1"/>
      <x:c r="CQ199" s="1"/>
      <x:c r="CR199" s="1"/>
      <x:c r="CS199" s="1"/>
      <x:c r="CT199" s="1"/>
      <x:c r="CU199" s="1"/>
      <x:c r="CV199" s="1"/>
      <x:c r="CW199" s="1"/>
      <x:c r="CX199" s="1"/>
      <x:c r="CY199" s="1"/>
      <x:c r="CZ199" s="1"/>
      <x:c r="DA199" s="1"/>
      <x:c r="DB199" s="1"/>
      <x:c r="DC199" s="1"/>
      <x:c r="DD199" s="1"/>
    </x:row>
    <x:row r="200" ht="2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  <x:c r="CA200" s="1"/>
      <x:c r="CB200" s="1"/>
      <x:c r="CC200" s="1"/>
      <x:c r="CD200" s="1"/>
      <x:c r="CE200" s="1"/>
      <x:c r="CF200" s="1"/>
      <x:c r="CG200" s="1"/>
      <x:c r="CH200" s="1"/>
      <x:c r="CI200" s="1"/>
      <x:c r="CJ200" s="1"/>
      <x:c r="CK200" s="1"/>
      <x:c r="CL200" s="1"/>
      <x:c r="CM200" s="1"/>
      <x:c r="CN200" s="1"/>
      <x:c r="CO200" s="1"/>
      <x:c r="CP200" s="1"/>
      <x:c r="CQ200" s="1"/>
      <x:c r="CR200" s="1"/>
      <x:c r="CS200" s="1"/>
      <x:c r="CT200" s="1"/>
      <x:c r="CU200" s="1"/>
      <x:c r="CV200" s="1"/>
      <x:c r="CW200" s="1"/>
      <x:c r="CX200" s="1"/>
      <x:c r="CY200" s="1"/>
      <x:c r="CZ200" s="1"/>
      <x:c r="DA200" s="1"/>
      <x:c r="DB200" s="1"/>
      <x:c r="DC200" s="1"/>
      <x:c r="DD200" s="1"/>
    </x:row>
    <x:row r="201" ht="23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  <x:c r="CA201" s="1"/>
      <x:c r="CB201" s="1"/>
      <x:c r="CC201" s="1"/>
      <x:c r="CD201" s="1"/>
      <x:c r="CE201" s="1"/>
      <x:c r="CF201" s="1"/>
      <x:c r="CG201" s="1"/>
      <x:c r="CH201" s="1"/>
      <x:c r="CI201" s="1"/>
      <x:c r="CJ201" s="1"/>
      <x:c r="CK201" s="1"/>
      <x:c r="CL201" s="1"/>
      <x:c r="CM201" s="1"/>
      <x:c r="CN201" s="1"/>
      <x:c r="CO201" s="1"/>
      <x:c r="CP201" s="1"/>
      <x:c r="CQ201" s="1"/>
      <x:c r="CR201" s="1"/>
      <x:c r="CS201" s="1"/>
      <x:c r="CT201" s="1"/>
      <x:c r="CU201" s="1"/>
      <x:c r="CV201" s="1"/>
      <x:c r="CW201" s="1"/>
      <x:c r="CX201" s="1"/>
      <x:c r="CY201" s="1"/>
      <x:c r="CZ201" s="1"/>
      <x:c r="DA201" s="1"/>
      <x:c r="DB201" s="1"/>
      <x:c r="DC201" s="1"/>
      <x:c r="DD201" s="1"/>
    </x:row>
    <x:row r="202" ht="23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  <x:c r="CA202" s="1"/>
      <x:c r="CB202" s="1"/>
      <x:c r="CC202" s="1"/>
      <x:c r="CD202" s="1"/>
      <x:c r="CE202" s="1"/>
      <x:c r="CF202" s="1"/>
      <x:c r="CG202" s="1"/>
      <x:c r="CH202" s="1"/>
      <x:c r="CI202" s="1"/>
      <x:c r="CJ202" s="1"/>
      <x:c r="CK202" s="1"/>
      <x:c r="CL202" s="1"/>
      <x:c r="CM202" s="1"/>
      <x:c r="CN202" s="1"/>
      <x:c r="CO202" s="1"/>
      <x:c r="CP202" s="1"/>
      <x:c r="CQ202" s="1"/>
      <x:c r="CR202" s="1"/>
      <x:c r="CS202" s="1"/>
      <x:c r="CT202" s="1"/>
      <x:c r="CU202" s="1"/>
      <x:c r="CV202" s="1"/>
      <x:c r="CW202" s="1"/>
      <x:c r="CX202" s="1"/>
      <x:c r="CY202" s="1"/>
      <x:c r="CZ202" s="1"/>
      <x:c r="DA202" s="1"/>
      <x:c r="DB202" s="1"/>
      <x:c r="DC202" s="1"/>
      <x:c r="DD202" s="1"/>
    </x:row>
    <x:row r="203" ht="23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  <x:c r="CA203" s="1"/>
      <x:c r="CB203" s="1"/>
      <x:c r="CC203" s="1"/>
      <x:c r="CD203" s="1"/>
      <x:c r="CE203" s="1"/>
      <x:c r="CF203" s="1"/>
      <x:c r="CG203" s="1"/>
      <x:c r="CH203" s="1"/>
      <x:c r="CI203" s="1"/>
      <x:c r="CJ203" s="1"/>
      <x:c r="CK203" s="1"/>
      <x:c r="CL203" s="1"/>
      <x:c r="CM203" s="1"/>
      <x:c r="CN203" s="1"/>
      <x:c r="CO203" s="1"/>
      <x:c r="CP203" s="1"/>
      <x:c r="CQ203" s="1"/>
      <x:c r="CR203" s="1"/>
      <x:c r="CS203" s="1"/>
      <x:c r="CT203" s="1"/>
      <x:c r="CU203" s="1"/>
      <x:c r="CV203" s="1"/>
      <x:c r="CW203" s="1"/>
      <x:c r="CX203" s="1"/>
      <x:c r="CY203" s="1"/>
      <x:c r="CZ203" s="1"/>
      <x:c r="DA203" s="1"/>
      <x:c r="DB203" s="1"/>
      <x:c r="DC203" s="1"/>
      <x:c r="DD203" s="1"/>
    </x:row>
    <x:row r="204" ht="23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  <x:c r="CA204" s="1"/>
      <x:c r="CB204" s="1"/>
      <x:c r="CC204" s="1"/>
      <x:c r="CD204" s="1"/>
      <x:c r="CE204" s="1"/>
      <x:c r="CF204" s="1"/>
      <x:c r="CG204" s="1"/>
      <x:c r="CH204" s="1"/>
      <x:c r="CI204" s="1"/>
      <x:c r="CJ204" s="1"/>
      <x:c r="CK204" s="1"/>
      <x:c r="CL204" s="1"/>
      <x:c r="CM204" s="1"/>
      <x:c r="CN204" s="1"/>
      <x:c r="CO204" s="1"/>
      <x:c r="CP204" s="1"/>
      <x:c r="CQ204" s="1"/>
      <x:c r="CR204" s="1"/>
      <x:c r="CS204" s="1"/>
      <x:c r="CT204" s="1"/>
      <x:c r="CU204" s="1"/>
      <x:c r="CV204" s="1"/>
      <x:c r="CW204" s="1"/>
      <x:c r="CX204" s="1"/>
      <x:c r="CY204" s="1"/>
      <x:c r="CZ204" s="1"/>
      <x:c r="DA204" s="1"/>
      <x:c r="DB204" s="1"/>
      <x:c r="DC204" s="1"/>
      <x:c r="DD204" s="1"/>
    </x:row>
    <x:row r="205" ht="23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  <x:c r="CA205" s="1"/>
      <x:c r="CB205" s="1"/>
      <x:c r="CC205" s="1"/>
      <x:c r="CD205" s="1"/>
      <x:c r="CE205" s="1"/>
      <x:c r="CF205" s="1"/>
      <x:c r="CG205" s="1"/>
      <x:c r="CH205" s="1"/>
      <x:c r="CI205" s="1"/>
      <x:c r="CJ205" s="1"/>
      <x:c r="CK205" s="1"/>
      <x:c r="CL205" s="1"/>
      <x:c r="CM205" s="1"/>
      <x:c r="CN205" s="1"/>
      <x:c r="CO205" s="1"/>
      <x:c r="CP205" s="1"/>
      <x:c r="CQ205" s="1"/>
      <x:c r="CR205" s="1"/>
      <x:c r="CS205" s="1"/>
      <x:c r="CT205" s="1"/>
      <x:c r="CU205" s="1"/>
      <x:c r="CV205" s="1"/>
      <x:c r="CW205" s="1"/>
      <x:c r="CX205" s="1"/>
      <x:c r="CY205" s="1"/>
      <x:c r="CZ205" s="1"/>
      <x:c r="DA205" s="1"/>
      <x:c r="DB205" s="1"/>
      <x:c r="DC205" s="1"/>
      <x:c r="DD205" s="1"/>
    </x:row>
    <x:row r="206" ht="23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  <x:c r="CA206" s="1"/>
      <x:c r="CB206" s="1"/>
      <x:c r="CC206" s="1"/>
      <x:c r="CD206" s="1"/>
      <x:c r="CE206" s="1"/>
      <x:c r="CF206" s="1"/>
      <x:c r="CG206" s="1"/>
      <x:c r="CH206" s="1"/>
      <x:c r="CI206" s="1"/>
      <x:c r="CJ206" s="1"/>
      <x:c r="CK206" s="1"/>
      <x:c r="CL206" s="1"/>
      <x:c r="CM206" s="1"/>
      <x:c r="CN206" s="1"/>
      <x:c r="CO206" s="1"/>
      <x:c r="CP206" s="1"/>
      <x:c r="CQ206" s="1"/>
      <x:c r="CR206" s="1"/>
      <x:c r="CS206" s="1"/>
      <x:c r="CT206" s="1"/>
      <x:c r="CU206" s="1"/>
      <x:c r="CV206" s="1"/>
      <x:c r="CW206" s="1"/>
      <x:c r="CX206" s="1"/>
      <x:c r="CY206" s="1"/>
      <x:c r="CZ206" s="1"/>
      <x:c r="DA206" s="1"/>
      <x:c r="DB206" s="1"/>
      <x:c r="DC206" s="1"/>
      <x:c r="DD206" s="1"/>
    </x:row>
    <x:row r="207" ht="23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  <x:c r="CA207" s="1"/>
      <x:c r="CB207" s="1"/>
      <x:c r="CC207" s="1"/>
      <x:c r="CD207" s="1"/>
      <x:c r="CE207" s="1"/>
      <x:c r="CF207" s="1"/>
      <x:c r="CG207" s="1"/>
      <x:c r="CH207" s="1"/>
      <x:c r="CI207" s="1"/>
      <x:c r="CJ207" s="1"/>
      <x:c r="CK207" s="1"/>
      <x:c r="CL207" s="1"/>
      <x:c r="CM207" s="1"/>
      <x:c r="CN207" s="1"/>
      <x:c r="CO207" s="1"/>
      <x:c r="CP207" s="1"/>
      <x:c r="CQ207" s="1"/>
      <x:c r="CR207" s="1"/>
      <x:c r="CS207" s="1"/>
      <x:c r="CT207" s="1"/>
      <x:c r="CU207" s="1"/>
      <x:c r="CV207" s="1"/>
      <x:c r="CW207" s="1"/>
      <x:c r="CX207" s="1"/>
      <x:c r="CY207" s="1"/>
      <x:c r="CZ207" s="1"/>
      <x:c r="DA207" s="1"/>
      <x:c r="DB207" s="1"/>
      <x:c r="DC207" s="1"/>
      <x:c r="DD207" s="1"/>
    </x:row>
    <x:row r="208" ht="23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  <x:c r="CA208" s="1"/>
      <x:c r="CB208" s="1"/>
      <x:c r="CC208" s="1"/>
      <x:c r="CD208" s="1"/>
      <x:c r="CE208" s="1"/>
      <x:c r="CF208" s="1"/>
      <x:c r="CG208" s="1"/>
      <x:c r="CH208" s="1"/>
      <x:c r="CI208" s="1"/>
      <x:c r="CJ208" s="1"/>
      <x:c r="CK208" s="1"/>
      <x:c r="CL208" s="1"/>
      <x:c r="CM208" s="1"/>
      <x:c r="CN208" s="1"/>
      <x:c r="CO208" s="1"/>
      <x:c r="CP208" s="1"/>
      <x:c r="CQ208" s="1"/>
      <x:c r="CR208" s="1"/>
      <x:c r="CS208" s="1"/>
      <x:c r="CT208" s="1"/>
      <x:c r="CU208" s="1"/>
      <x:c r="CV208" s="1"/>
      <x:c r="CW208" s="1"/>
      <x:c r="CX208" s="1"/>
      <x:c r="CY208" s="1"/>
      <x:c r="CZ208" s="1"/>
      <x:c r="DA208" s="1"/>
      <x:c r="DB208" s="1"/>
      <x:c r="DC208" s="1"/>
      <x:c r="DD208" s="1"/>
    </x:row>
    <x:row r="209" ht="23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  <x:c r="CA209" s="1"/>
      <x:c r="CB209" s="1"/>
      <x:c r="CC209" s="1"/>
      <x:c r="CD209" s="1"/>
      <x:c r="CE209" s="1"/>
      <x:c r="CF209" s="1"/>
      <x:c r="CG209" s="1"/>
      <x:c r="CH209" s="1"/>
      <x:c r="CI209" s="1"/>
      <x:c r="CJ209" s="1"/>
      <x:c r="CK209" s="1"/>
      <x:c r="CL209" s="1"/>
      <x:c r="CM209" s="1"/>
      <x:c r="CN209" s="1"/>
      <x:c r="CO209" s="1"/>
      <x:c r="CP209" s="1"/>
      <x:c r="CQ209" s="1"/>
      <x:c r="CR209" s="1"/>
      <x:c r="CS209" s="1"/>
      <x:c r="CT209" s="1"/>
      <x:c r="CU209" s="1"/>
      <x:c r="CV209" s="1"/>
      <x:c r="CW209" s="1"/>
      <x:c r="CX209" s="1"/>
      <x:c r="CY209" s="1"/>
      <x:c r="CZ209" s="1"/>
      <x:c r="DA209" s="1"/>
      <x:c r="DB209" s="1"/>
      <x:c r="DC209" s="1"/>
      <x:c r="DD209" s="1"/>
    </x:row>
    <x:row r="210" ht="23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  <x:c r="CA210" s="1"/>
      <x:c r="CB210" s="1"/>
      <x:c r="CC210" s="1"/>
      <x:c r="CD210" s="1"/>
      <x:c r="CE210" s="1"/>
      <x:c r="CF210" s="1"/>
      <x:c r="CG210" s="1"/>
      <x:c r="CH210" s="1"/>
      <x:c r="CI210" s="1"/>
      <x:c r="CJ210" s="1"/>
      <x:c r="CK210" s="1"/>
      <x:c r="CL210" s="1"/>
      <x:c r="CM210" s="1"/>
      <x:c r="CN210" s="1"/>
      <x:c r="CO210" s="1"/>
      <x:c r="CP210" s="1"/>
      <x:c r="CQ210" s="1"/>
      <x:c r="CR210" s="1"/>
      <x:c r="CS210" s="1"/>
      <x:c r="CT210" s="1"/>
      <x:c r="CU210" s="1"/>
      <x:c r="CV210" s="1"/>
      <x:c r="CW210" s="1"/>
      <x:c r="CX210" s="1"/>
      <x:c r="CY210" s="1"/>
      <x:c r="CZ210" s="1"/>
      <x:c r="DA210" s="1"/>
      <x:c r="DB210" s="1"/>
      <x:c r="DC210" s="1"/>
      <x:c r="DD210" s="1"/>
    </x:row>
    <x:row r="211" ht="23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  <x:c r="CA211" s="1"/>
      <x:c r="CB211" s="1"/>
      <x:c r="CC211" s="1"/>
      <x:c r="CD211" s="1"/>
      <x:c r="CE211" s="1"/>
      <x:c r="CF211" s="1"/>
      <x:c r="CG211" s="1"/>
      <x:c r="CH211" s="1"/>
      <x:c r="CI211" s="1"/>
      <x:c r="CJ211" s="1"/>
      <x:c r="CK211" s="1"/>
      <x:c r="CL211" s="1"/>
      <x:c r="CM211" s="1"/>
      <x:c r="CN211" s="1"/>
      <x:c r="CO211" s="1"/>
      <x:c r="CP211" s="1"/>
      <x:c r="CQ211" s="1"/>
      <x:c r="CR211" s="1"/>
      <x:c r="CS211" s="1"/>
      <x:c r="CT211" s="1"/>
      <x:c r="CU211" s="1"/>
      <x:c r="CV211" s="1"/>
      <x:c r="CW211" s="1"/>
      <x:c r="CX211" s="1"/>
      <x:c r="CY211" s="1"/>
      <x:c r="CZ211" s="1"/>
      <x:c r="DA211" s="1"/>
      <x:c r="DB211" s="1"/>
      <x:c r="DC211" s="1"/>
      <x:c r="DD211" s="1"/>
    </x:row>
    <x:row r="212" ht="23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  <x:c r="CA212" s="1"/>
      <x:c r="CB212" s="1"/>
      <x:c r="CC212" s="1"/>
      <x:c r="CD212" s="1"/>
      <x:c r="CE212" s="1"/>
      <x:c r="CF212" s="1"/>
      <x:c r="CG212" s="1"/>
      <x:c r="CH212" s="1"/>
      <x:c r="CI212" s="1"/>
      <x:c r="CJ212" s="1"/>
      <x:c r="CK212" s="1"/>
      <x:c r="CL212" s="1"/>
      <x:c r="CM212" s="1"/>
      <x:c r="CN212" s="1"/>
      <x:c r="CO212" s="1"/>
      <x:c r="CP212" s="1"/>
      <x:c r="CQ212" s="1"/>
      <x:c r="CR212" s="1"/>
      <x:c r="CS212" s="1"/>
      <x:c r="CT212" s="1"/>
      <x:c r="CU212" s="1"/>
      <x:c r="CV212" s="1"/>
      <x:c r="CW212" s="1"/>
      <x:c r="CX212" s="1"/>
      <x:c r="CY212" s="1"/>
      <x:c r="CZ212" s="1"/>
      <x:c r="DA212" s="1"/>
      <x:c r="DB212" s="1"/>
      <x:c r="DC212" s="1"/>
      <x:c r="DD212" s="1"/>
    </x:row>
    <x:row r="213" ht="23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  <x:c r="CA213" s="1"/>
      <x:c r="CB213" s="1"/>
      <x:c r="CC213" s="1"/>
      <x:c r="CD213" s="1"/>
      <x:c r="CE213" s="1"/>
      <x:c r="CF213" s="1"/>
      <x:c r="CG213" s="1"/>
      <x:c r="CH213" s="1"/>
      <x:c r="CI213" s="1"/>
      <x:c r="CJ213" s="1"/>
      <x:c r="CK213" s="1"/>
      <x:c r="CL213" s="1"/>
      <x:c r="CM213" s="1"/>
      <x:c r="CN213" s="1"/>
      <x:c r="CO213" s="1"/>
      <x:c r="CP213" s="1"/>
      <x:c r="CQ213" s="1"/>
      <x:c r="CR213" s="1"/>
      <x:c r="CS213" s="1"/>
      <x:c r="CT213" s="1"/>
      <x:c r="CU213" s="1"/>
      <x:c r="CV213" s="1"/>
      <x:c r="CW213" s="1"/>
      <x:c r="CX213" s="1"/>
      <x:c r="CY213" s="1"/>
      <x:c r="CZ213" s="1"/>
      <x:c r="DA213" s="1"/>
      <x:c r="DB213" s="1"/>
      <x:c r="DC213" s="1"/>
      <x:c r="DD213" s="1"/>
    </x:row>
    <x:row r="214" ht="23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  <x:c r="CA214" s="1"/>
      <x:c r="CB214" s="1"/>
      <x:c r="CC214" s="1"/>
      <x:c r="CD214" s="1"/>
      <x:c r="CE214" s="1"/>
      <x:c r="CF214" s="1"/>
      <x:c r="CG214" s="1"/>
      <x:c r="CH214" s="1"/>
      <x:c r="CI214" s="1"/>
      <x:c r="CJ214" s="1"/>
      <x:c r="CK214" s="1"/>
      <x:c r="CL214" s="1"/>
      <x:c r="CM214" s="1"/>
      <x:c r="CN214" s="1"/>
      <x:c r="CO214" s="1"/>
      <x:c r="CP214" s="1"/>
      <x:c r="CQ214" s="1"/>
      <x:c r="CR214" s="1"/>
      <x:c r="CS214" s="1"/>
      <x:c r="CT214" s="1"/>
      <x:c r="CU214" s="1"/>
      <x:c r="CV214" s="1"/>
      <x:c r="CW214" s="1"/>
      <x:c r="CX214" s="1"/>
      <x:c r="CY214" s="1"/>
      <x:c r="CZ214" s="1"/>
      <x:c r="DA214" s="1"/>
      <x:c r="DB214" s="1"/>
      <x:c r="DC214" s="1"/>
      <x:c r="DD214" s="1"/>
    </x:row>
    <x:row r="215" ht="23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  <x:c r="CA215" s="1"/>
      <x:c r="CB215" s="1"/>
      <x:c r="CC215" s="1"/>
      <x:c r="CD215" s="1"/>
      <x:c r="CE215" s="1"/>
      <x:c r="CF215" s="1"/>
      <x:c r="CG215" s="1"/>
      <x:c r="CH215" s="1"/>
      <x:c r="CI215" s="1"/>
      <x:c r="CJ215" s="1"/>
      <x:c r="CK215" s="1"/>
      <x:c r="CL215" s="1"/>
      <x:c r="CM215" s="1"/>
      <x:c r="CN215" s="1"/>
      <x:c r="CO215" s="1"/>
      <x:c r="CP215" s="1"/>
      <x:c r="CQ215" s="1"/>
      <x:c r="CR215" s="1"/>
      <x:c r="CS215" s="1"/>
      <x:c r="CT215" s="1"/>
      <x:c r="CU215" s="1"/>
      <x:c r="CV215" s="1"/>
      <x:c r="CW215" s="1"/>
      <x:c r="CX215" s="1"/>
      <x:c r="CY215" s="1"/>
      <x:c r="CZ215" s="1"/>
      <x:c r="DA215" s="1"/>
      <x:c r="DB215" s="1"/>
      <x:c r="DC215" s="1"/>
      <x:c r="DD215" s="1"/>
    </x:row>
    <x:row r="216" ht="23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  <x:c r="CA216" s="1"/>
      <x:c r="CB216" s="1"/>
      <x:c r="CC216" s="1"/>
      <x:c r="CD216" s="1"/>
      <x:c r="CE216" s="1"/>
      <x:c r="CF216" s="1"/>
      <x:c r="CG216" s="1"/>
      <x:c r="CH216" s="1"/>
      <x:c r="CI216" s="1"/>
      <x:c r="CJ216" s="1"/>
      <x:c r="CK216" s="1"/>
      <x:c r="CL216" s="1"/>
      <x:c r="CM216" s="1"/>
      <x:c r="CN216" s="1"/>
      <x:c r="CO216" s="1"/>
      <x:c r="CP216" s="1"/>
      <x:c r="CQ216" s="1"/>
      <x:c r="CR216" s="1"/>
      <x:c r="CS216" s="1"/>
      <x:c r="CT216" s="1"/>
      <x:c r="CU216" s="1"/>
      <x:c r="CV216" s="1"/>
      <x:c r="CW216" s="1"/>
      <x:c r="CX216" s="1"/>
      <x:c r="CY216" s="1"/>
      <x:c r="CZ216" s="1"/>
      <x:c r="DA216" s="1"/>
      <x:c r="DB216" s="1"/>
      <x:c r="DC216" s="1"/>
      <x:c r="DD216" s="1"/>
    </x:row>
    <x:row r="217" ht="23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  <x:c r="CA217" s="1"/>
      <x:c r="CB217" s="1"/>
      <x:c r="CC217" s="1"/>
      <x:c r="CD217" s="1"/>
      <x:c r="CE217" s="1"/>
      <x:c r="CF217" s="1"/>
      <x:c r="CG217" s="1"/>
      <x:c r="CH217" s="1"/>
      <x:c r="CI217" s="1"/>
      <x:c r="CJ217" s="1"/>
      <x:c r="CK217" s="1"/>
      <x:c r="CL217" s="1"/>
      <x:c r="CM217" s="1"/>
      <x:c r="CN217" s="1"/>
      <x:c r="CO217" s="1"/>
      <x:c r="CP217" s="1"/>
      <x:c r="CQ217" s="1"/>
      <x:c r="CR217" s="1"/>
      <x:c r="CS217" s="1"/>
      <x:c r="CT217" s="1"/>
      <x:c r="CU217" s="1"/>
      <x:c r="CV217" s="1"/>
      <x:c r="CW217" s="1"/>
      <x:c r="CX217" s="1"/>
      <x:c r="CY217" s="1"/>
      <x:c r="CZ217" s="1"/>
      <x:c r="DA217" s="1"/>
      <x:c r="DB217" s="1"/>
      <x:c r="DC217" s="1"/>
      <x:c r="DD217" s="1"/>
    </x:row>
    <x:row r="218" ht="23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  <x:c r="CA218" s="1"/>
      <x:c r="CB218" s="1"/>
      <x:c r="CC218" s="1"/>
      <x:c r="CD218" s="1"/>
      <x:c r="CE218" s="1"/>
      <x:c r="CF218" s="1"/>
      <x:c r="CG218" s="1"/>
      <x:c r="CH218" s="1"/>
      <x:c r="CI218" s="1"/>
      <x:c r="CJ218" s="1"/>
      <x:c r="CK218" s="1"/>
      <x:c r="CL218" s="1"/>
      <x:c r="CM218" s="1"/>
      <x:c r="CN218" s="1"/>
      <x:c r="CO218" s="1"/>
      <x:c r="CP218" s="1"/>
      <x:c r="CQ218" s="1"/>
      <x:c r="CR218" s="1"/>
      <x:c r="CS218" s="1"/>
      <x:c r="CT218" s="1"/>
      <x:c r="CU218" s="1"/>
      <x:c r="CV218" s="1"/>
      <x:c r="CW218" s="1"/>
      <x:c r="CX218" s="1"/>
      <x:c r="CY218" s="1"/>
      <x:c r="CZ218" s="1"/>
      <x:c r="DA218" s="1"/>
      <x:c r="DB218" s="1"/>
      <x:c r="DC218" s="1"/>
      <x:c r="DD218" s="1"/>
    </x:row>
    <x:row r="219" ht="23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  <x:c r="CA219" s="1"/>
      <x:c r="CB219" s="1"/>
      <x:c r="CC219" s="1"/>
      <x:c r="CD219" s="1"/>
      <x:c r="CE219" s="1"/>
      <x:c r="CF219" s="1"/>
      <x:c r="CG219" s="1"/>
      <x:c r="CH219" s="1"/>
      <x:c r="CI219" s="1"/>
      <x:c r="CJ219" s="1"/>
      <x:c r="CK219" s="1"/>
      <x:c r="CL219" s="1"/>
      <x:c r="CM219" s="1"/>
      <x:c r="CN219" s="1"/>
      <x:c r="CO219" s="1"/>
      <x:c r="CP219" s="1"/>
      <x:c r="CQ219" s="1"/>
      <x:c r="CR219" s="1"/>
      <x:c r="CS219" s="1"/>
      <x:c r="CT219" s="1"/>
      <x:c r="CU219" s="1"/>
      <x:c r="CV219" s="1"/>
      <x:c r="CW219" s="1"/>
      <x:c r="CX219" s="1"/>
      <x:c r="CY219" s="1"/>
      <x:c r="CZ219" s="1"/>
      <x:c r="DA219" s="1"/>
      <x:c r="DB219" s="1"/>
      <x:c r="DC219" s="1"/>
      <x:c r="DD219" s="1"/>
    </x:row>
    <x:row r="220" ht="23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  <x:c r="CA220" s="1"/>
      <x:c r="CB220" s="1"/>
      <x:c r="CC220" s="1"/>
      <x:c r="CD220" s="1"/>
      <x:c r="CE220" s="1"/>
      <x:c r="CF220" s="1"/>
      <x:c r="CG220" s="1"/>
      <x:c r="CH220" s="1"/>
      <x:c r="CI220" s="1"/>
      <x:c r="CJ220" s="1"/>
      <x:c r="CK220" s="1"/>
      <x:c r="CL220" s="1"/>
      <x:c r="CM220" s="1"/>
      <x:c r="CN220" s="1"/>
      <x:c r="CO220" s="1"/>
      <x:c r="CP220" s="1"/>
      <x:c r="CQ220" s="1"/>
      <x:c r="CR220" s="1"/>
      <x:c r="CS220" s="1"/>
      <x:c r="CT220" s="1"/>
      <x:c r="CU220" s="1"/>
      <x:c r="CV220" s="1"/>
      <x:c r="CW220" s="1"/>
      <x:c r="CX220" s="1"/>
      <x:c r="CY220" s="1"/>
      <x:c r="CZ220" s="1"/>
      <x:c r="DA220" s="1"/>
      <x:c r="DB220" s="1"/>
      <x:c r="DC220" s="1"/>
      <x:c r="DD220" s="1"/>
    </x:row>
    <x:row r="221" ht="23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  <x:c r="CA221" s="1"/>
      <x:c r="CB221" s="1"/>
      <x:c r="CC221" s="1"/>
      <x:c r="CD221" s="1"/>
      <x:c r="CE221" s="1"/>
      <x:c r="CF221" s="1"/>
      <x:c r="CG221" s="1"/>
      <x:c r="CH221" s="1"/>
      <x:c r="CI221" s="1"/>
      <x:c r="CJ221" s="1"/>
      <x:c r="CK221" s="1"/>
      <x:c r="CL221" s="1"/>
      <x:c r="CM221" s="1"/>
      <x:c r="CN221" s="1"/>
      <x:c r="CO221" s="1"/>
      <x:c r="CP221" s="1"/>
      <x:c r="CQ221" s="1"/>
      <x:c r="CR221" s="1"/>
      <x:c r="CS221" s="1"/>
      <x:c r="CT221" s="1"/>
      <x:c r="CU221" s="1"/>
      <x:c r="CV221" s="1"/>
      <x:c r="CW221" s="1"/>
      <x:c r="CX221" s="1"/>
      <x:c r="CY221" s="1"/>
      <x:c r="CZ221" s="1"/>
      <x:c r="DA221" s="1"/>
      <x:c r="DB221" s="1"/>
      <x:c r="DC221" s="1"/>
      <x:c r="DD221" s="1"/>
    </x:row>
    <x:row r="222" ht="23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  <x:c r="CA222" s="1"/>
      <x:c r="CB222" s="1"/>
      <x:c r="CC222" s="1"/>
      <x:c r="CD222" s="1"/>
      <x:c r="CE222" s="1"/>
      <x:c r="CF222" s="1"/>
      <x:c r="CG222" s="1"/>
      <x:c r="CH222" s="1"/>
      <x:c r="CI222" s="1"/>
      <x:c r="CJ222" s="1"/>
      <x:c r="CK222" s="1"/>
      <x:c r="CL222" s="1"/>
      <x:c r="CM222" s="1"/>
      <x:c r="CN222" s="1"/>
      <x:c r="CO222" s="1"/>
      <x:c r="CP222" s="1"/>
      <x:c r="CQ222" s="1"/>
      <x:c r="CR222" s="1"/>
      <x:c r="CS222" s="1"/>
      <x:c r="CT222" s="1"/>
      <x:c r="CU222" s="1"/>
      <x:c r="CV222" s="1"/>
      <x:c r="CW222" s="1"/>
      <x:c r="CX222" s="1"/>
      <x:c r="CY222" s="1"/>
      <x:c r="CZ222" s="1"/>
      <x:c r="DA222" s="1"/>
      <x:c r="DB222" s="1"/>
      <x:c r="DC222" s="1"/>
      <x:c r="DD222" s="1"/>
    </x:row>
    <x:row r="223" ht="23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  <x:c r="CA223" s="1"/>
      <x:c r="CB223" s="1"/>
      <x:c r="CC223" s="1"/>
      <x:c r="CD223" s="1"/>
      <x:c r="CE223" s="1"/>
      <x:c r="CF223" s="1"/>
      <x:c r="CG223" s="1"/>
      <x:c r="CH223" s="1"/>
      <x:c r="CI223" s="1"/>
      <x:c r="CJ223" s="1"/>
      <x:c r="CK223" s="1"/>
      <x:c r="CL223" s="1"/>
      <x:c r="CM223" s="1"/>
      <x:c r="CN223" s="1"/>
      <x:c r="CO223" s="1"/>
      <x:c r="CP223" s="1"/>
      <x:c r="CQ223" s="1"/>
      <x:c r="CR223" s="1"/>
      <x:c r="CS223" s="1"/>
      <x:c r="CT223" s="1"/>
      <x:c r="CU223" s="1"/>
      <x:c r="CV223" s="1"/>
      <x:c r="CW223" s="1"/>
      <x:c r="CX223" s="1"/>
      <x:c r="CY223" s="1"/>
      <x:c r="CZ223" s="1"/>
      <x:c r="DA223" s="1"/>
      <x:c r="DB223" s="1"/>
      <x:c r="DC223" s="1"/>
      <x:c r="DD223" s="1"/>
    </x:row>
    <x:row r="224" ht="23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  <x:c r="CA224" s="1"/>
      <x:c r="CB224" s="1"/>
      <x:c r="CC224" s="1"/>
      <x:c r="CD224" s="1"/>
      <x:c r="CE224" s="1"/>
      <x:c r="CF224" s="1"/>
      <x:c r="CG224" s="1"/>
      <x:c r="CH224" s="1"/>
      <x:c r="CI224" s="1"/>
      <x:c r="CJ224" s="1"/>
      <x:c r="CK224" s="1"/>
      <x:c r="CL224" s="1"/>
      <x:c r="CM224" s="1"/>
      <x:c r="CN224" s="1"/>
      <x:c r="CO224" s="1"/>
      <x:c r="CP224" s="1"/>
      <x:c r="CQ224" s="1"/>
      <x:c r="CR224" s="1"/>
      <x:c r="CS224" s="1"/>
      <x:c r="CT224" s="1"/>
      <x:c r="CU224" s="1"/>
      <x:c r="CV224" s="1"/>
      <x:c r="CW224" s="1"/>
      <x:c r="CX224" s="1"/>
      <x:c r="CY224" s="1"/>
      <x:c r="CZ224" s="1"/>
      <x:c r="DA224" s="1"/>
      <x:c r="DB224" s="1"/>
      <x:c r="DC224" s="1"/>
      <x:c r="DD224" s="1"/>
    </x:row>
    <x:row r="225" ht="23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  <x:c r="CA225" s="1"/>
      <x:c r="CB225" s="1"/>
      <x:c r="CC225" s="1"/>
      <x:c r="CD225" s="1"/>
      <x:c r="CE225" s="1"/>
      <x:c r="CF225" s="1"/>
      <x:c r="CG225" s="1"/>
      <x:c r="CH225" s="1"/>
      <x:c r="CI225" s="1"/>
      <x:c r="CJ225" s="1"/>
      <x:c r="CK225" s="1"/>
      <x:c r="CL225" s="1"/>
      <x:c r="CM225" s="1"/>
      <x:c r="CN225" s="1"/>
      <x:c r="CO225" s="1"/>
      <x:c r="CP225" s="1"/>
      <x:c r="CQ225" s="1"/>
      <x:c r="CR225" s="1"/>
      <x:c r="CS225" s="1"/>
      <x:c r="CT225" s="1"/>
      <x:c r="CU225" s="1"/>
      <x:c r="CV225" s="1"/>
      <x:c r="CW225" s="1"/>
      <x:c r="CX225" s="1"/>
      <x:c r="CY225" s="1"/>
      <x:c r="CZ225" s="1"/>
      <x:c r="DA225" s="1"/>
      <x:c r="DB225" s="1"/>
      <x:c r="DC225" s="1"/>
      <x:c r="DD225" s="1"/>
    </x:row>
    <x:row r="226" ht="23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  <x:c r="CA226" s="1"/>
      <x:c r="CB226" s="1"/>
      <x:c r="CC226" s="1"/>
      <x:c r="CD226" s="1"/>
      <x:c r="CE226" s="1"/>
      <x:c r="CF226" s="1"/>
      <x:c r="CG226" s="1"/>
      <x:c r="CH226" s="1"/>
      <x:c r="CI226" s="1"/>
      <x:c r="CJ226" s="1"/>
      <x:c r="CK226" s="1"/>
      <x:c r="CL226" s="1"/>
      <x:c r="CM226" s="1"/>
      <x:c r="CN226" s="1"/>
      <x:c r="CO226" s="1"/>
      <x:c r="CP226" s="1"/>
      <x:c r="CQ226" s="1"/>
      <x:c r="CR226" s="1"/>
      <x:c r="CS226" s="1"/>
      <x:c r="CT226" s="1"/>
      <x:c r="CU226" s="1"/>
      <x:c r="CV226" s="1"/>
      <x:c r="CW226" s="1"/>
      <x:c r="CX226" s="1"/>
      <x:c r="CY226" s="1"/>
      <x:c r="CZ226" s="1"/>
      <x:c r="DA226" s="1"/>
      <x:c r="DB226" s="1"/>
      <x:c r="DC226" s="1"/>
      <x:c r="DD226" s="1"/>
    </x:row>
    <x:row r="227" ht="23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  <x:c r="CA227" s="1"/>
      <x:c r="CB227" s="1"/>
      <x:c r="CC227" s="1"/>
      <x:c r="CD227" s="1"/>
      <x:c r="CE227" s="1"/>
      <x:c r="CF227" s="1"/>
      <x:c r="CG227" s="1"/>
      <x:c r="CH227" s="1"/>
      <x:c r="CI227" s="1"/>
      <x:c r="CJ227" s="1"/>
      <x:c r="CK227" s="1"/>
      <x:c r="CL227" s="1"/>
      <x:c r="CM227" s="1"/>
      <x:c r="CN227" s="1"/>
      <x:c r="CO227" s="1"/>
      <x:c r="CP227" s="1"/>
      <x:c r="CQ227" s="1"/>
      <x:c r="CR227" s="1"/>
      <x:c r="CS227" s="1"/>
      <x:c r="CT227" s="1"/>
      <x:c r="CU227" s="1"/>
      <x:c r="CV227" s="1"/>
      <x:c r="CW227" s="1"/>
      <x:c r="CX227" s="1"/>
      <x:c r="CY227" s="1"/>
      <x:c r="CZ227" s="1"/>
      <x:c r="DA227" s="1"/>
      <x:c r="DB227" s="1"/>
      <x:c r="DC227" s="1"/>
      <x:c r="DD227" s="1"/>
    </x:row>
    <x:row r="228" ht="23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  <x:c r="CA228" s="1"/>
      <x:c r="CB228" s="1"/>
      <x:c r="CC228" s="1"/>
      <x:c r="CD228" s="1"/>
      <x:c r="CE228" s="1"/>
      <x:c r="CF228" s="1"/>
      <x:c r="CG228" s="1"/>
      <x:c r="CH228" s="1"/>
      <x:c r="CI228" s="1"/>
      <x:c r="CJ228" s="1"/>
      <x:c r="CK228" s="1"/>
      <x:c r="CL228" s="1"/>
      <x:c r="CM228" s="1"/>
      <x:c r="CN228" s="1"/>
      <x:c r="CO228" s="1"/>
      <x:c r="CP228" s="1"/>
      <x:c r="CQ228" s="1"/>
      <x:c r="CR228" s="1"/>
      <x:c r="CS228" s="1"/>
      <x:c r="CT228" s="1"/>
      <x:c r="CU228" s="1"/>
      <x:c r="CV228" s="1"/>
      <x:c r="CW228" s="1"/>
      <x:c r="CX228" s="1"/>
      <x:c r="CY228" s="1"/>
      <x:c r="CZ228" s="1"/>
      <x:c r="DA228" s="1"/>
      <x:c r="DB228" s="1"/>
      <x:c r="DC228" s="1"/>
      <x:c r="DD228" s="1"/>
    </x:row>
    <x:row r="229" ht="23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  <x:c r="CA229" s="1"/>
      <x:c r="CB229" s="1"/>
      <x:c r="CC229" s="1"/>
      <x:c r="CD229" s="1"/>
      <x:c r="CE229" s="1"/>
      <x:c r="CF229" s="1"/>
      <x:c r="CG229" s="1"/>
      <x:c r="CH229" s="1"/>
      <x:c r="CI229" s="1"/>
      <x:c r="CJ229" s="1"/>
      <x:c r="CK229" s="1"/>
      <x:c r="CL229" s="1"/>
      <x:c r="CM229" s="1"/>
      <x:c r="CN229" s="1"/>
      <x:c r="CO229" s="1"/>
      <x:c r="CP229" s="1"/>
      <x:c r="CQ229" s="1"/>
      <x:c r="CR229" s="1"/>
      <x:c r="CS229" s="1"/>
      <x:c r="CT229" s="1"/>
      <x:c r="CU229" s="1"/>
      <x:c r="CV229" s="1"/>
      <x:c r="CW229" s="1"/>
      <x:c r="CX229" s="1"/>
      <x:c r="CY229" s="1"/>
      <x:c r="CZ229" s="1"/>
      <x:c r="DA229" s="1"/>
      <x:c r="DB229" s="1"/>
      <x:c r="DC229" s="1"/>
      <x:c r="DD229" s="1"/>
    </x:row>
    <x:row r="230" ht="23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  <x:c r="CA230" s="1"/>
      <x:c r="CB230" s="1"/>
      <x:c r="CC230" s="1"/>
      <x:c r="CD230" s="1"/>
      <x:c r="CE230" s="1"/>
      <x:c r="CF230" s="1"/>
      <x:c r="CG230" s="1"/>
      <x:c r="CH230" s="1"/>
      <x:c r="CI230" s="1"/>
      <x:c r="CJ230" s="1"/>
      <x:c r="CK230" s="1"/>
      <x:c r="CL230" s="1"/>
      <x:c r="CM230" s="1"/>
      <x:c r="CN230" s="1"/>
      <x:c r="CO230" s="1"/>
      <x:c r="CP230" s="1"/>
      <x:c r="CQ230" s="1"/>
      <x:c r="CR230" s="1"/>
      <x:c r="CS230" s="1"/>
      <x:c r="CT230" s="1"/>
      <x:c r="CU230" s="1"/>
      <x:c r="CV230" s="1"/>
      <x:c r="CW230" s="1"/>
      <x:c r="CX230" s="1"/>
      <x:c r="CY230" s="1"/>
      <x:c r="CZ230" s="1"/>
      <x:c r="DA230" s="1"/>
      <x:c r="DB230" s="1"/>
      <x:c r="DC230" s="1"/>
      <x:c r="DD230" s="1"/>
    </x:row>
    <x:row r="231" ht="23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  <x:c r="CA231" s="1"/>
      <x:c r="CB231" s="1"/>
      <x:c r="CC231" s="1"/>
      <x:c r="CD231" s="1"/>
      <x:c r="CE231" s="1"/>
      <x:c r="CF231" s="1"/>
      <x:c r="CG231" s="1"/>
      <x:c r="CH231" s="1"/>
      <x:c r="CI231" s="1"/>
      <x:c r="CJ231" s="1"/>
      <x:c r="CK231" s="1"/>
      <x:c r="CL231" s="1"/>
      <x:c r="CM231" s="1"/>
      <x:c r="CN231" s="1"/>
      <x:c r="CO231" s="1"/>
      <x:c r="CP231" s="1"/>
      <x:c r="CQ231" s="1"/>
      <x:c r="CR231" s="1"/>
      <x:c r="CS231" s="1"/>
      <x:c r="CT231" s="1"/>
      <x:c r="CU231" s="1"/>
      <x:c r="CV231" s="1"/>
      <x:c r="CW231" s="1"/>
      <x:c r="CX231" s="1"/>
      <x:c r="CY231" s="1"/>
      <x:c r="CZ231" s="1"/>
      <x:c r="DA231" s="1"/>
      <x:c r="DB231" s="1"/>
      <x:c r="DC231" s="1"/>
      <x:c r="DD231" s="1"/>
    </x:row>
    <x:row r="232" ht="23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  <x:c r="CA232" s="1"/>
      <x:c r="CB232" s="1"/>
      <x:c r="CC232" s="1"/>
      <x:c r="CD232" s="1"/>
      <x:c r="CE232" s="1"/>
      <x:c r="CF232" s="1"/>
      <x:c r="CG232" s="1"/>
      <x:c r="CH232" s="1"/>
      <x:c r="CI232" s="1"/>
      <x:c r="CJ232" s="1"/>
      <x:c r="CK232" s="1"/>
      <x:c r="CL232" s="1"/>
      <x:c r="CM232" s="1"/>
      <x:c r="CN232" s="1"/>
      <x:c r="CO232" s="1"/>
      <x:c r="CP232" s="1"/>
      <x:c r="CQ232" s="1"/>
      <x:c r="CR232" s="1"/>
      <x:c r="CS232" s="1"/>
      <x:c r="CT232" s="1"/>
      <x:c r="CU232" s="1"/>
      <x:c r="CV232" s="1"/>
      <x:c r="CW232" s="1"/>
      <x:c r="CX232" s="1"/>
      <x:c r="CY232" s="1"/>
      <x:c r="CZ232" s="1"/>
      <x:c r="DA232" s="1"/>
      <x:c r="DB232" s="1"/>
      <x:c r="DC232" s="1"/>
      <x:c r="DD232" s="1"/>
    </x:row>
    <x:row r="233" ht="23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  <x:c r="CA233" s="1"/>
      <x:c r="CB233" s="1"/>
      <x:c r="CC233" s="1"/>
      <x:c r="CD233" s="1"/>
      <x:c r="CE233" s="1"/>
      <x:c r="CF233" s="1"/>
      <x:c r="CG233" s="1"/>
      <x:c r="CH233" s="1"/>
      <x:c r="CI233" s="1"/>
      <x:c r="CJ233" s="1"/>
      <x:c r="CK233" s="1"/>
      <x:c r="CL233" s="1"/>
      <x:c r="CM233" s="1"/>
      <x:c r="CN233" s="1"/>
      <x:c r="CO233" s="1"/>
      <x:c r="CP233" s="1"/>
      <x:c r="CQ233" s="1"/>
      <x:c r="CR233" s="1"/>
      <x:c r="CS233" s="1"/>
      <x:c r="CT233" s="1"/>
      <x:c r="CU233" s="1"/>
      <x:c r="CV233" s="1"/>
      <x:c r="CW233" s="1"/>
      <x:c r="CX233" s="1"/>
      <x:c r="CY233" s="1"/>
      <x:c r="CZ233" s="1"/>
      <x:c r="DA233" s="1"/>
      <x:c r="DB233" s="1"/>
      <x:c r="DC233" s="1"/>
      <x:c r="DD233" s="1"/>
    </x:row>
    <x:row r="234" ht="23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  <x:c r="CA234" s="1"/>
      <x:c r="CB234" s="1"/>
      <x:c r="CC234" s="1"/>
      <x:c r="CD234" s="1"/>
      <x:c r="CE234" s="1"/>
      <x:c r="CF234" s="1"/>
      <x:c r="CG234" s="1"/>
      <x:c r="CH234" s="1"/>
      <x:c r="CI234" s="1"/>
      <x:c r="CJ234" s="1"/>
      <x:c r="CK234" s="1"/>
      <x:c r="CL234" s="1"/>
      <x:c r="CM234" s="1"/>
      <x:c r="CN234" s="1"/>
      <x:c r="CO234" s="1"/>
      <x:c r="CP234" s="1"/>
      <x:c r="CQ234" s="1"/>
      <x:c r="CR234" s="1"/>
      <x:c r="CS234" s="1"/>
      <x:c r="CT234" s="1"/>
      <x:c r="CU234" s="1"/>
      <x:c r="CV234" s="1"/>
      <x:c r="CW234" s="1"/>
      <x:c r="CX234" s="1"/>
      <x:c r="CY234" s="1"/>
      <x:c r="CZ234" s="1"/>
      <x:c r="DA234" s="1"/>
      <x:c r="DB234" s="1"/>
      <x:c r="DC234" s="1"/>
      <x:c r="DD234" s="1"/>
    </x:row>
    <x:row r="235" ht="23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  <x:c r="CA235" s="1"/>
      <x:c r="CB235" s="1"/>
      <x:c r="CC235" s="1"/>
      <x:c r="CD235" s="1"/>
      <x:c r="CE235" s="1"/>
      <x:c r="CF235" s="1"/>
      <x:c r="CG235" s="1"/>
      <x:c r="CH235" s="1"/>
      <x:c r="CI235" s="1"/>
      <x:c r="CJ235" s="1"/>
      <x:c r="CK235" s="1"/>
      <x:c r="CL235" s="1"/>
      <x:c r="CM235" s="1"/>
      <x:c r="CN235" s="1"/>
      <x:c r="CO235" s="1"/>
      <x:c r="CP235" s="1"/>
      <x:c r="CQ235" s="1"/>
      <x:c r="CR235" s="1"/>
      <x:c r="CS235" s="1"/>
      <x:c r="CT235" s="1"/>
      <x:c r="CU235" s="1"/>
      <x:c r="CV235" s="1"/>
      <x:c r="CW235" s="1"/>
      <x:c r="CX235" s="1"/>
      <x:c r="CY235" s="1"/>
      <x:c r="CZ235" s="1"/>
      <x:c r="DA235" s="1"/>
      <x:c r="DB235" s="1"/>
      <x:c r="DC235" s="1"/>
      <x:c r="DD235" s="1"/>
    </x:row>
    <x:row r="236" ht="23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  <x:c r="CA236" s="1"/>
      <x:c r="CB236" s="1"/>
      <x:c r="CC236" s="1"/>
      <x:c r="CD236" s="1"/>
      <x:c r="CE236" s="1"/>
      <x:c r="CF236" s="1"/>
      <x:c r="CG236" s="1"/>
      <x:c r="CH236" s="1"/>
      <x:c r="CI236" s="1"/>
      <x:c r="CJ236" s="1"/>
      <x:c r="CK236" s="1"/>
      <x:c r="CL236" s="1"/>
      <x:c r="CM236" s="1"/>
      <x:c r="CN236" s="1"/>
      <x:c r="CO236" s="1"/>
      <x:c r="CP236" s="1"/>
      <x:c r="CQ236" s="1"/>
      <x:c r="CR236" s="1"/>
      <x:c r="CS236" s="1"/>
      <x:c r="CT236" s="1"/>
      <x:c r="CU236" s="1"/>
      <x:c r="CV236" s="1"/>
      <x:c r="CW236" s="1"/>
      <x:c r="CX236" s="1"/>
      <x:c r="CY236" s="1"/>
      <x:c r="CZ236" s="1"/>
      <x:c r="DA236" s="1"/>
      <x:c r="DB236" s="1"/>
      <x:c r="DC236" s="1"/>
      <x:c r="DD236" s="1"/>
    </x:row>
    <x:row r="237" ht="23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  <x:c r="CA237" s="1"/>
      <x:c r="CB237" s="1"/>
      <x:c r="CC237" s="1"/>
      <x:c r="CD237" s="1"/>
      <x:c r="CE237" s="1"/>
      <x:c r="CF237" s="1"/>
      <x:c r="CG237" s="1"/>
      <x:c r="CH237" s="1"/>
      <x:c r="CI237" s="1"/>
      <x:c r="CJ237" s="1"/>
      <x:c r="CK237" s="1"/>
      <x:c r="CL237" s="1"/>
      <x:c r="CM237" s="1"/>
      <x:c r="CN237" s="1"/>
      <x:c r="CO237" s="1"/>
      <x:c r="CP237" s="1"/>
      <x:c r="CQ237" s="1"/>
      <x:c r="CR237" s="1"/>
      <x:c r="CS237" s="1"/>
      <x:c r="CT237" s="1"/>
      <x:c r="CU237" s="1"/>
      <x:c r="CV237" s="1"/>
      <x:c r="CW237" s="1"/>
      <x:c r="CX237" s="1"/>
      <x:c r="CY237" s="1"/>
      <x:c r="CZ237" s="1"/>
      <x:c r="DA237" s="1"/>
      <x:c r="DB237" s="1"/>
      <x:c r="DC237" s="1"/>
      <x:c r="DD237" s="1"/>
    </x:row>
    <x:row r="238" ht="23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  <x:c r="CA238" s="1"/>
      <x:c r="CB238" s="1"/>
      <x:c r="CC238" s="1"/>
      <x:c r="CD238" s="1"/>
      <x:c r="CE238" s="1"/>
      <x:c r="CF238" s="1"/>
      <x:c r="CG238" s="1"/>
      <x:c r="CH238" s="1"/>
      <x:c r="CI238" s="1"/>
      <x:c r="CJ238" s="1"/>
      <x:c r="CK238" s="1"/>
      <x:c r="CL238" s="1"/>
      <x:c r="CM238" s="1"/>
      <x:c r="CN238" s="1"/>
      <x:c r="CO238" s="1"/>
      <x:c r="CP238" s="1"/>
      <x:c r="CQ238" s="1"/>
      <x:c r="CR238" s="1"/>
      <x:c r="CS238" s="1"/>
      <x:c r="CT238" s="1"/>
      <x:c r="CU238" s="1"/>
      <x:c r="CV238" s="1"/>
      <x:c r="CW238" s="1"/>
      <x:c r="CX238" s="1"/>
      <x:c r="CY238" s="1"/>
      <x:c r="CZ238" s="1"/>
      <x:c r="DA238" s="1"/>
      <x:c r="DB238" s="1"/>
      <x:c r="DC238" s="1"/>
      <x:c r="DD238" s="1"/>
    </x:row>
    <x:row r="239" ht="23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  <x:c r="CA239" s="1"/>
      <x:c r="CB239" s="1"/>
      <x:c r="CC239" s="1"/>
      <x:c r="CD239" s="1"/>
      <x:c r="CE239" s="1"/>
      <x:c r="CF239" s="1"/>
      <x:c r="CG239" s="1"/>
      <x:c r="CH239" s="1"/>
      <x:c r="CI239" s="1"/>
      <x:c r="CJ239" s="1"/>
      <x:c r="CK239" s="1"/>
      <x:c r="CL239" s="1"/>
      <x:c r="CM239" s="1"/>
      <x:c r="CN239" s="1"/>
      <x:c r="CO239" s="1"/>
      <x:c r="CP239" s="1"/>
      <x:c r="CQ239" s="1"/>
      <x:c r="CR239" s="1"/>
      <x:c r="CS239" s="1"/>
      <x:c r="CT239" s="1"/>
      <x:c r="CU239" s="1"/>
      <x:c r="CV239" s="1"/>
      <x:c r="CW239" s="1"/>
      <x:c r="CX239" s="1"/>
      <x:c r="CY239" s="1"/>
      <x:c r="CZ239" s="1"/>
      <x:c r="DA239" s="1"/>
      <x:c r="DB239" s="1"/>
      <x:c r="DC239" s="1"/>
      <x:c r="DD239" s="1"/>
    </x:row>
    <x:row r="240" ht="23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  <x:c r="CA240" s="1"/>
      <x:c r="CB240" s="1"/>
      <x:c r="CC240" s="1"/>
      <x:c r="CD240" s="1"/>
      <x:c r="CE240" s="1"/>
      <x:c r="CF240" s="1"/>
      <x:c r="CG240" s="1"/>
      <x:c r="CH240" s="1"/>
      <x:c r="CI240" s="1"/>
      <x:c r="CJ240" s="1"/>
      <x:c r="CK240" s="1"/>
      <x:c r="CL240" s="1"/>
      <x:c r="CM240" s="1"/>
      <x:c r="CN240" s="1"/>
      <x:c r="CO240" s="1"/>
      <x:c r="CP240" s="1"/>
      <x:c r="CQ240" s="1"/>
      <x:c r="CR240" s="1"/>
      <x:c r="CS240" s="1"/>
      <x:c r="CT240" s="1"/>
      <x:c r="CU240" s="1"/>
      <x:c r="CV240" s="1"/>
      <x:c r="CW240" s="1"/>
      <x:c r="CX240" s="1"/>
      <x:c r="CY240" s="1"/>
      <x:c r="CZ240" s="1"/>
      <x:c r="DA240" s="1"/>
      <x:c r="DB240" s="1"/>
      <x:c r="DC240" s="1"/>
      <x:c r="DD240" s="1"/>
    </x:row>
    <x:row r="241" ht="23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  <x:c r="CA241" s="1"/>
      <x:c r="CB241" s="1"/>
      <x:c r="CC241" s="1"/>
      <x:c r="CD241" s="1"/>
      <x:c r="CE241" s="1"/>
      <x:c r="CF241" s="1"/>
      <x:c r="CG241" s="1"/>
      <x:c r="CH241" s="1"/>
      <x:c r="CI241" s="1"/>
      <x:c r="CJ241" s="1"/>
      <x:c r="CK241" s="1"/>
      <x:c r="CL241" s="1"/>
      <x:c r="CM241" s="1"/>
      <x:c r="CN241" s="1"/>
      <x:c r="CO241" s="1"/>
      <x:c r="CP241" s="1"/>
      <x:c r="CQ241" s="1"/>
      <x:c r="CR241" s="1"/>
      <x:c r="CS241" s="1"/>
      <x:c r="CT241" s="1"/>
      <x:c r="CU241" s="1"/>
      <x:c r="CV241" s="1"/>
      <x:c r="CW241" s="1"/>
      <x:c r="CX241" s="1"/>
      <x:c r="CY241" s="1"/>
      <x:c r="CZ241" s="1"/>
      <x:c r="DA241" s="1"/>
      <x:c r="DB241" s="1"/>
      <x:c r="DC241" s="1"/>
      <x:c r="DD241" s="1"/>
    </x:row>
    <x:row r="242" ht="23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  <x:c r="CA242" s="1"/>
      <x:c r="CB242" s="1"/>
      <x:c r="CC242" s="1"/>
      <x:c r="CD242" s="1"/>
      <x:c r="CE242" s="1"/>
      <x:c r="CF242" s="1"/>
      <x:c r="CG242" s="1"/>
      <x:c r="CH242" s="1"/>
      <x:c r="CI242" s="1"/>
      <x:c r="CJ242" s="1"/>
      <x:c r="CK242" s="1"/>
      <x:c r="CL242" s="1"/>
      <x:c r="CM242" s="1"/>
      <x:c r="CN242" s="1"/>
      <x:c r="CO242" s="1"/>
      <x:c r="CP242" s="1"/>
      <x:c r="CQ242" s="1"/>
      <x:c r="CR242" s="1"/>
      <x:c r="CS242" s="1"/>
      <x:c r="CT242" s="1"/>
      <x:c r="CU242" s="1"/>
      <x:c r="CV242" s="1"/>
      <x:c r="CW242" s="1"/>
      <x:c r="CX242" s="1"/>
      <x:c r="CY242" s="1"/>
      <x:c r="CZ242" s="1"/>
      <x:c r="DA242" s="1"/>
      <x:c r="DB242" s="1"/>
      <x:c r="DC242" s="1"/>
      <x:c r="DD242" s="1"/>
    </x:row>
    <x:row r="243" ht="23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  <x:c r="CA243" s="1"/>
      <x:c r="CB243" s="1"/>
      <x:c r="CC243" s="1"/>
      <x:c r="CD243" s="1"/>
      <x:c r="CE243" s="1"/>
      <x:c r="CF243" s="1"/>
      <x:c r="CG243" s="1"/>
      <x:c r="CH243" s="1"/>
      <x:c r="CI243" s="1"/>
      <x:c r="CJ243" s="1"/>
      <x:c r="CK243" s="1"/>
      <x:c r="CL243" s="1"/>
      <x:c r="CM243" s="1"/>
      <x:c r="CN243" s="1"/>
      <x:c r="CO243" s="1"/>
      <x:c r="CP243" s="1"/>
      <x:c r="CQ243" s="1"/>
      <x:c r="CR243" s="1"/>
      <x:c r="CS243" s="1"/>
      <x:c r="CT243" s="1"/>
      <x:c r="CU243" s="1"/>
      <x:c r="CV243" s="1"/>
      <x:c r="CW243" s="1"/>
      <x:c r="CX243" s="1"/>
      <x:c r="CY243" s="1"/>
      <x:c r="CZ243" s="1"/>
      <x:c r="DA243" s="1"/>
      <x:c r="DB243" s="1"/>
      <x:c r="DC243" s="1"/>
      <x:c r="DD243" s="1"/>
    </x:row>
    <x:row r="244" ht="23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  <x:c r="CA244" s="1"/>
      <x:c r="CB244" s="1"/>
      <x:c r="CC244" s="1"/>
      <x:c r="CD244" s="1"/>
      <x:c r="CE244" s="1"/>
      <x:c r="CF244" s="1"/>
      <x:c r="CG244" s="1"/>
      <x:c r="CH244" s="1"/>
      <x:c r="CI244" s="1"/>
      <x:c r="CJ244" s="1"/>
      <x:c r="CK244" s="1"/>
      <x:c r="CL244" s="1"/>
      <x:c r="CM244" s="1"/>
      <x:c r="CN244" s="1"/>
      <x:c r="CO244" s="1"/>
      <x:c r="CP244" s="1"/>
      <x:c r="CQ244" s="1"/>
      <x:c r="CR244" s="1"/>
      <x:c r="CS244" s="1"/>
      <x:c r="CT244" s="1"/>
      <x:c r="CU244" s="1"/>
      <x:c r="CV244" s="1"/>
      <x:c r="CW244" s="1"/>
      <x:c r="CX244" s="1"/>
      <x:c r="CY244" s="1"/>
      <x:c r="CZ244" s="1"/>
      <x:c r="DA244" s="1"/>
      <x:c r="DB244" s="1"/>
      <x:c r="DC244" s="1"/>
      <x:c r="DD244" s="1"/>
    </x:row>
    <x:row r="245" ht="23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  <x:c r="CA245" s="1"/>
      <x:c r="CB245" s="1"/>
      <x:c r="CC245" s="1"/>
      <x:c r="CD245" s="1"/>
      <x:c r="CE245" s="1"/>
      <x:c r="CF245" s="1"/>
      <x:c r="CG245" s="1"/>
      <x:c r="CH245" s="1"/>
      <x:c r="CI245" s="1"/>
      <x:c r="CJ245" s="1"/>
      <x:c r="CK245" s="1"/>
      <x:c r="CL245" s="1"/>
      <x:c r="CM245" s="1"/>
      <x:c r="CN245" s="1"/>
      <x:c r="CO245" s="1"/>
      <x:c r="CP245" s="1"/>
      <x:c r="CQ245" s="1"/>
      <x:c r="CR245" s="1"/>
      <x:c r="CS245" s="1"/>
      <x:c r="CT245" s="1"/>
      <x:c r="CU245" s="1"/>
      <x:c r="CV245" s="1"/>
      <x:c r="CW245" s="1"/>
      <x:c r="CX245" s="1"/>
      <x:c r="CY245" s="1"/>
      <x:c r="CZ245" s="1"/>
      <x:c r="DA245" s="1"/>
      <x:c r="DB245" s="1"/>
      <x:c r="DC245" s="1"/>
      <x:c r="DD245" s="1"/>
    </x:row>
    <x:row r="246" ht="23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  <x:c r="CA246" s="1"/>
      <x:c r="CB246" s="1"/>
      <x:c r="CC246" s="1"/>
      <x:c r="CD246" s="1"/>
      <x:c r="CE246" s="1"/>
      <x:c r="CF246" s="1"/>
      <x:c r="CG246" s="1"/>
      <x:c r="CH246" s="1"/>
      <x:c r="CI246" s="1"/>
      <x:c r="CJ246" s="1"/>
      <x:c r="CK246" s="1"/>
      <x:c r="CL246" s="1"/>
      <x:c r="CM246" s="1"/>
      <x:c r="CN246" s="1"/>
      <x:c r="CO246" s="1"/>
      <x:c r="CP246" s="1"/>
      <x:c r="CQ246" s="1"/>
      <x:c r="CR246" s="1"/>
      <x:c r="CS246" s="1"/>
      <x:c r="CT246" s="1"/>
      <x:c r="CU246" s="1"/>
      <x:c r="CV246" s="1"/>
      <x:c r="CW246" s="1"/>
      <x:c r="CX246" s="1"/>
      <x:c r="CY246" s="1"/>
      <x:c r="CZ246" s="1"/>
      <x:c r="DA246" s="1"/>
      <x:c r="DB246" s="1"/>
      <x:c r="DC246" s="1"/>
      <x:c r="DD246" s="1"/>
    </x:row>
    <x:row r="247" ht="23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  <x:c r="CA247" s="1"/>
      <x:c r="CB247" s="1"/>
      <x:c r="CC247" s="1"/>
      <x:c r="CD247" s="1"/>
      <x:c r="CE247" s="1"/>
      <x:c r="CF247" s="1"/>
      <x:c r="CG247" s="1"/>
      <x:c r="CH247" s="1"/>
      <x:c r="CI247" s="1"/>
      <x:c r="CJ247" s="1"/>
      <x:c r="CK247" s="1"/>
      <x:c r="CL247" s="1"/>
      <x:c r="CM247" s="1"/>
      <x:c r="CN247" s="1"/>
      <x:c r="CO247" s="1"/>
      <x:c r="CP247" s="1"/>
      <x:c r="CQ247" s="1"/>
      <x:c r="CR247" s="1"/>
      <x:c r="CS247" s="1"/>
      <x:c r="CT247" s="1"/>
      <x:c r="CU247" s="1"/>
      <x:c r="CV247" s="1"/>
      <x:c r="CW247" s="1"/>
      <x:c r="CX247" s="1"/>
      <x:c r="CY247" s="1"/>
      <x:c r="CZ247" s="1"/>
      <x:c r="DA247" s="1"/>
      <x:c r="DB247" s="1"/>
      <x:c r="DC247" s="1"/>
      <x:c r="DD247" s="1"/>
    </x:row>
    <x:row r="248" ht="23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  <x:c r="CA248" s="1"/>
      <x:c r="CB248" s="1"/>
      <x:c r="CC248" s="1"/>
      <x:c r="CD248" s="1"/>
      <x:c r="CE248" s="1"/>
      <x:c r="CF248" s="1"/>
      <x:c r="CG248" s="1"/>
      <x:c r="CH248" s="1"/>
      <x:c r="CI248" s="1"/>
      <x:c r="CJ248" s="1"/>
      <x:c r="CK248" s="1"/>
      <x:c r="CL248" s="1"/>
      <x:c r="CM248" s="1"/>
      <x:c r="CN248" s="1"/>
      <x:c r="CO248" s="1"/>
      <x:c r="CP248" s="1"/>
      <x:c r="CQ248" s="1"/>
      <x:c r="CR248" s="1"/>
      <x:c r="CS248" s="1"/>
      <x:c r="CT248" s="1"/>
      <x:c r="CU248" s="1"/>
      <x:c r="CV248" s="1"/>
      <x:c r="CW248" s="1"/>
      <x:c r="CX248" s="1"/>
      <x:c r="CY248" s="1"/>
      <x:c r="CZ248" s="1"/>
      <x:c r="DA248" s="1"/>
      <x:c r="DB248" s="1"/>
      <x:c r="DC248" s="1"/>
      <x:c r="DD248" s="1"/>
    </x:row>
    <x:row r="249" ht="23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  <x:c r="CA249" s="1"/>
      <x:c r="CB249" s="1"/>
      <x:c r="CC249" s="1"/>
      <x:c r="CD249" s="1"/>
      <x:c r="CE249" s="1"/>
      <x:c r="CF249" s="1"/>
      <x:c r="CG249" s="1"/>
      <x:c r="CH249" s="1"/>
      <x:c r="CI249" s="1"/>
      <x:c r="CJ249" s="1"/>
      <x:c r="CK249" s="1"/>
      <x:c r="CL249" s="1"/>
      <x:c r="CM249" s="1"/>
      <x:c r="CN249" s="1"/>
      <x:c r="CO249" s="1"/>
      <x:c r="CP249" s="1"/>
      <x:c r="CQ249" s="1"/>
      <x:c r="CR249" s="1"/>
      <x:c r="CS249" s="1"/>
      <x:c r="CT249" s="1"/>
      <x:c r="CU249" s="1"/>
      <x:c r="CV249" s="1"/>
      <x:c r="CW249" s="1"/>
      <x:c r="CX249" s="1"/>
      <x:c r="CY249" s="1"/>
      <x:c r="CZ249" s="1"/>
      <x:c r="DA249" s="1"/>
      <x:c r="DB249" s="1"/>
      <x:c r="DC249" s="1"/>
      <x:c r="DD249" s="1"/>
    </x:row>
    <x:row r="250" ht="23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  <x:c r="CA250" s="1"/>
      <x:c r="CB250" s="1"/>
      <x:c r="CC250" s="1"/>
      <x:c r="CD250" s="1"/>
      <x:c r="CE250" s="1"/>
      <x:c r="CF250" s="1"/>
      <x:c r="CG250" s="1"/>
      <x:c r="CH250" s="1"/>
      <x:c r="CI250" s="1"/>
      <x:c r="CJ250" s="1"/>
      <x:c r="CK250" s="1"/>
      <x:c r="CL250" s="1"/>
      <x:c r="CM250" s="1"/>
      <x:c r="CN250" s="1"/>
      <x:c r="CO250" s="1"/>
      <x:c r="CP250" s="1"/>
      <x:c r="CQ250" s="1"/>
      <x:c r="CR250" s="1"/>
      <x:c r="CS250" s="1"/>
      <x:c r="CT250" s="1"/>
      <x:c r="CU250" s="1"/>
      <x:c r="CV250" s="1"/>
      <x:c r="CW250" s="1"/>
      <x:c r="CX250" s="1"/>
      <x:c r="CY250" s="1"/>
      <x:c r="CZ250" s="1"/>
      <x:c r="DA250" s="1"/>
      <x:c r="DB250" s="1"/>
      <x:c r="DC250" s="1"/>
      <x:c r="DD250" s="1"/>
    </x:row>
    <x:row r="251" ht="23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  <x:c r="CA251" s="1"/>
      <x:c r="CB251" s="1"/>
      <x:c r="CC251" s="1"/>
      <x:c r="CD251" s="1"/>
      <x:c r="CE251" s="1"/>
      <x:c r="CF251" s="1"/>
      <x:c r="CG251" s="1"/>
      <x:c r="CH251" s="1"/>
      <x:c r="CI251" s="1"/>
      <x:c r="CJ251" s="1"/>
      <x:c r="CK251" s="1"/>
      <x:c r="CL251" s="1"/>
      <x:c r="CM251" s="1"/>
      <x:c r="CN251" s="1"/>
      <x:c r="CO251" s="1"/>
      <x:c r="CP251" s="1"/>
      <x:c r="CQ251" s="1"/>
      <x:c r="CR251" s="1"/>
      <x:c r="CS251" s="1"/>
      <x:c r="CT251" s="1"/>
      <x:c r="CU251" s="1"/>
      <x:c r="CV251" s="1"/>
      <x:c r="CW251" s="1"/>
      <x:c r="CX251" s="1"/>
      <x:c r="CY251" s="1"/>
      <x:c r="CZ251" s="1"/>
      <x:c r="DA251" s="1"/>
      <x:c r="DB251" s="1"/>
      <x:c r="DC251" s="1"/>
      <x:c r="DD251" s="1"/>
    </x:row>
    <x:row r="252" ht="23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  <x:c r="CA252" s="1"/>
      <x:c r="CB252" s="1"/>
      <x:c r="CC252" s="1"/>
      <x:c r="CD252" s="1"/>
      <x:c r="CE252" s="1"/>
      <x:c r="CF252" s="1"/>
      <x:c r="CG252" s="1"/>
      <x:c r="CH252" s="1"/>
      <x:c r="CI252" s="1"/>
      <x:c r="CJ252" s="1"/>
      <x:c r="CK252" s="1"/>
      <x:c r="CL252" s="1"/>
      <x:c r="CM252" s="1"/>
      <x:c r="CN252" s="1"/>
      <x:c r="CO252" s="1"/>
      <x:c r="CP252" s="1"/>
      <x:c r="CQ252" s="1"/>
      <x:c r="CR252" s="1"/>
      <x:c r="CS252" s="1"/>
      <x:c r="CT252" s="1"/>
      <x:c r="CU252" s="1"/>
      <x:c r="CV252" s="1"/>
      <x:c r="CW252" s="1"/>
      <x:c r="CX252" s="1"/>
      <x:c r="CY252" s="1"/>
      <x:c r="CZ252" s="1"/>
      <x:c r="DA252" s="1"/>
      <x:c r="DB252" s="1"/>
      <x:c r="DC252" s="1"/>
      <x:c r="DD252" s="1"/>
    </x:row>
    <x:row r="253" ht="23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  <x:c r="CA253" s="1"/>
      <x:c r="CB253" s="1"/>
      <x:c r="CC253" s="1"/>
      <x:c r="CD253" s="1"/>
      <x:c r="CE253" s="1"/>
      <x:c r="CF253" s="1"/>
      <x:c r="CG253" s="1"/>
      <x:c r="CH253" s="1"/>
      <x:c r="CI253" s="1"/>
      <x:c r="CJ253" s="1"/>
      <x:c r="CK253" s="1"/>
      <x:c r="CL253" s="1"/>
      <x:c r="CM253" s="1"/>
      <x:c r="CN253" s="1"/>
      <x:c r="CO253" s="1"/>
      <x:c r="CP253" s="1"/>
      <x:c r="CQ253" s="1"/>
      <x:c r="CR253" s="1"/>
      <x:c r="CS253" s="1"/>
      <x:c r="CT253" s="1"/>
      <x:c r="CU253" s="1"/>
      <x:c r="CV253" s="1"/>
      <x:c r="CW253" s="1"/>
      <x:c r="CX253" s="1"/>
      <x:c r="CY253" s="1"/>
      <x:c r="CZ253" s="1"/>
      <x:c r="DA253" s="1"/>
      <x:c r="DB253" s="1"/>
      <x:c r="DC253" s="1"/>
      <x:c r="DD253" s="1"/>
    </x:row>
    <x:row r="254" ht="23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  <x:c r="CA254" s="1"/>
      <x:c r="CB254" s="1"/>
      <x:c r="CC254" s="1"/>
      <x:c r="CD254" s="1"/>
      <x:c r="CE254" s="1"/>
      <x:c r="CF254" s="1"/>
      <x:c r="CG254" s="1"/>
      <x:c r="CH254" s="1"/>
      <x:c r="CI254" s="1"/>
      <x:c r="CJ254" s="1"/>
      <x:c r="CK254" s="1"/>
      <x:c r="CL254" s="1"/>
      <x:c r="CM254" s="1"/>
      <x:c r="CN254" s="1"/>
      <x:c r="CO254" s="1"/>
      <x:c r="CP254" s="1"/>
      <x:c r="CQ254" s="1"/>
      <x:c r="CR254" s="1"/>
      <x:c r="CS254" s="1"/>
      <x:c r="CT254" s="1"/>
      <x:c r="CU254" s="1"/>
      <x:c r="CV254" s="1"/>
      <x:c r="CW254" s="1"/>
      <x:c r="CX254" s="1"/>
      <x:c r="CY254" s="1"/>
      <x:c r="CZ254" s="1"/>
      <x:c r="DA254" s="1"/>
      <x:c r="DB254" s="1"/>
      <x:c r="DC254" s="1"/>
      <x:c r="DD254" s="1"/>
    </x:row>
    <x:row r="255" ht="23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  <x:c r="CA255" s="1"/>
      <x:c r="CB255" s="1"/>
      <x:c r="CC255" s="1"/>
      <x:c r="CD255" s="1"/>
      <x:c r="CE255" s="1"/>
      <x:c r="CF255" s="1"/>
      <x:c r="CG255" s="1"/>
      <x:c r="CH255" s="1"/>
      <x:c r="CI255" s="1"/>
      <x:c r="CJ255" s="1"/>
      <x:c r="CK255" s="1"/>
      <x:c r="CL255" s="1"/>
      <x:c r="CM255" s="1"/>
      <x:c r="CN255" s="1"/>
      <x:c r="CO255" s="1"/>
      <x:c r="CP255" s="1"/>
      <x:c r="CQ255" s="1"/>
      <x:c r="CR255" s="1"/>
      <x:c r="CS255" s="1"/>
      <x:c r="CT255" s="1"/>
      <x:c r="CU255" s="1"/>
      <x:c r="CV255" s="1"/>
      <x:c r="CW255" s="1"/>
      <x:c r="CX255" s="1"/>
      <x:c r="CY255" s="1"/>
      <x:c r="CZ255" s="1"/>
      <x:c r="DA255" s="1"/>
      <x:c r="DB255" s="1"/>
      <x:c r="DC255" s="1"/>
      <x:c r="DD255" s="1"/>
    </x:row>
    <x:row r="256" ht="23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  <x:c r="CA256" s="1"/>
      <x:c r="CB256" s="1"/>
      <x:c r="CC256" s="1"/>
      <x:c r="CD256" s="1"/>
      <x:c r="CE256" s="1"/>
      <x:c r="CF256" s="1"/>
      <x:c r="CG256" s="1"/>
      <x:c r="CH256" s="1"/>
      <x:c r="CI256" s="1"/>
      <x:c r="CJ256" s="1"/>
      <x:c r="CK256" s="1"/>
      <x:c r="CL256" s="1"/>
      <x:c r="CM256" s="1"/>
      <x:c r="CN256" s="1"/>
      <x:c r="CO256" s="1"/>
      <x:c r="CP256" s="1"/>
      <x:c r="CQ256" s="1"/>
      <x:c r="CR256" s="1"/>
      <x:c r="CS256" s="1"/>
      <x:c r="CT256" s="1"/>
      <x:c r="CU256" s="1"/>
      <x:c r="CV256" s="1"/>
      <x:c r="CW256" s="1"/>
      <x:c r="CX256" s="1"/>
      <x:c r="CY256" s="1"/>
      <x:c r="CZ256" s="1"/>
      <x:c r="DA256" s="1"/>
      <x:c r="DB256" s="1"/>
      <x:c r="DC256" s="1"/>
      <x:c r="DD256" s="1"/>
    </x:row>
    <x:row r="257" ht="23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  <x:c r="CA257" s="1"/>
      <x:c r="CB257" s="1"/>
      <x:c r="CC257" s="1"/>
      <x:c r="CD257" s="1"/>
      <x:c r="CE257" s="1"/>
      <x:c r="CF257" s="1"/>
      <x:c r="CG257" s="1"/>
      <x:c r="CH257" s="1"/>
      <x:c r="CI257" s="1"/>
      <x:c r="CJ257" s="1"/>
      <x:c r="CK257" s="1"/>
      <x:c r="CL257" s="1"/>
      <x:c r="CM257" s="1"/>
      <x:c r="CN257" s="1"/>
      <x:c r="CO257" s="1"/>
      <x:c r="CP257" s="1"/>
      <x:c r="CQ257" s="1"/>
      <x:c r="CR257" s="1"/>
      <x:c r="CS257" s="1"/>
      <x:c r="CT257" s="1"/>
      <x:c r="CU257" s="1"/>
      <x:c r="CV257" s="1"/>
      <x:c r="CW257" s="1"/>
      <x:c r="CX257" s="1"/>
      <x:c r="CY257" s="1"/>
      <x:c r="CZ257" s="1"/>
      <x:c r="DA257" s="1"/>
      <x:c r="DB257" s="1"/>
      <x:c r="DC257" s="1"/>
      <x:c r="DD257" s="1"/>
    </x:row>
    <x:row r="258" ht="23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  <x:c r="CA258" s="1"/>
      <x:c r="CB258" s="1"/>
      <x:c r="CC258" s="1"/>
      <x:c r="CD258" s="1"/>
      <x:c r="CE258" s="1"/>
      <x:c r="CF258" s="1"/>
      <x:c r="CG258" s="1"/>
      <x:c r="CH258" s="1"/>
      <x:c r="CI258" s="1"/>
      <x:c r="CJ258" s="1"/>
      <x:c r="CK258" s="1"/>
      <x:c r="CL258" s="1"/>
      <x:c r="CM258" s="1"/>
      <x:c r="CN258" s="1"/>
      <x:c r="CO258" s="1"/>
      <x:c r="CP258" s="1"/>
      <x:c r="CQ258" s="1"/>
      <x:c r="CR258" s="1"/>
      <x:c r="CS258" s="1"/>
      <x:c r="CT258" s="1"/>
      <x:c r="CU258" s="1"/>
      <x:c r="CV258" s="1"/>
      <x:c r="CW258" s="1"/>
      <x:c r="CX258" s="1"/>
      <x:c r="CY258" s="1"/>
      <x:c r="CZ258" s="1"/>
      <x:c r="DA258" s="1"/>
      <x:c r="DB258" s="1"/>
      <x:c r="DC258" s="1"/>
      <x:c r="DD258" s="1"/>
    </x:row>
    <x:row r="259" ht="23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  <x:c r="CA259" s="1"/>
      <x:c r="CB259" s="1"/>
      <x:c r="CC259" s="1"/>
      <x:c r="CD259" s="1"/>
      <x:c r="CE259" s="1"/>
      <x:c r="CF259" s="1"/>
      <x:c r="CG259" s="1"/>
      <x:c r="CH259" s="1"/>
      <x:c r="CI259" s="1"/>
      <x:c r="CJ259" s="1"/>
      <x:c r="CK259" s="1"/>
      <x:c r="CL259" s="1"/>
      <x:c r="CM259" s="1"/>
      <x:c r="CN259" s="1"/>
      <x:c r="CO259" s="1"/>
      <x:c r="CP259" s="1"/>
      <x:c r="CQ259" s="1"/>
      <x:c r="CR259" s="1"/>
      <x:c r="CS259" s="1"/>
      <x:c r="CT259" s="1"/>
      <x:c r="CU259" s="1"/>
      <x:c r="CV259" s="1"/>
      <x:c r="CW259" s="1"/>
      <x:c r="CX259" s="1"/>
      <x:c r="CY259" s="1"/>
      <x:c r="CZ259" s="1"/>
      <x:c r="DA259" s="1"/>
      <x:c r="DB259" s="1"/>
      <x:c r="DC259" s="1"/>
      <x:c r="DD259" s="1"/>
    </x:row>
    <x:row r="260" ht="23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  <x:c r="CA260" s="1"/>
      <x:c r="CB260" s="1"/>
      <x:c r="CC260" s="1"/>
      <x:c r="CD260" s="1"/>
      <x:c r="CE260" s="1"/>
      <x:c r="CF260" s="1"/>
      <x:c r="CG260" s="1"/>
      <x:c r="CH260" s="1"/>
      <x:c r="CI260" s="1"/>
      <x:c r="CJ260" s="1"/>
      <x:c r="CK260" s="1"/>
      <x:c r="CL260" s="1"/>
      <x:c r="CM260" s="1"/>
      <x:c r="CN260" s="1"/>
      <x:c r="CO260" s="1"/>
      <x:c r="CP260" s="1"/>
      <x:c r="CQ260" s="1"/>
      <x:c r="CR260" s="1"/>
      <x:c r="CS260" s="1"/>
      <x:c r="CT260" s="1"/>
      <x:c r="CU260" s="1"/>
      <x:c r="CV260" s="1"/>
      <x:c r="CW260" s="1"/>
      <x:c r="CX260" s="1"/>
      <x:c r="CY260" s="1"/>
      <x:c r="CZ260" s="1"/>
      <x:c r="DA260" s="1"/>
      <x:c r="DB260" s="1"/>
      <x:c r="DC260" s="1"/>
      <x:c r="DD260" s="1"/>
    </x:row>
  </x:sheetData>
  <x:mergeCells>
    <x:mergeCell ref="A1:P1"/>
    <x:mergeCell ref="A2:P2"/>
  </x:mergeCells>
  <x:pageMargins left="0.7" right="0.7" top="0.75" bottom="0.75" header="0.3" footer="0.3"/>
</x:worksheet>
</file>