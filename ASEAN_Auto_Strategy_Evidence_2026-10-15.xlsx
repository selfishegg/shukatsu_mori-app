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838c9c091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正ロジック" sheetId="1" r:id="R3aeadbfeec1742c2"/>
    <x:sheet xmlns:r="http://schemas.openxmlformats.org/officeDocument/2006/relationships" name="市場構成" sheetId="2" r:id="Rd083efa16cdb43b8"/>
    <x:sheet xmlns:r="http://schemas.openxmlformats.org/officeDocument/2006/relationships" name="改良内容" sheetId="3" r:id="Rf9ec957387f040be"/>
    <x:sheet xmlns:r="http://schemas.openxmlformats.org/officeDocument/2006/relationships" name="購入価格" sheetId="4" r:id="R7aab3718d24a4e4f"/>
    <x:sheet xmlns:r="http://schemas.openxmlformats.org/officeDocument/2006/relationships" name="中古比較" sheetId="5" r:id="Ree19ad099f0c4794"/>
    <x:sheet xmlns:r="http://schemas.openxmlformats.org/officeDocument/2006/relationships" name="中古時系列" sheetId="6" r:id="R775b26e96e5c4886"/>
    <x:sheet xmlns:r="http://schemas.openxmlformats.org/officeDocument/2006/relationships" name="保有費" sheetId="7" r:id="R788daa76e0364afa"/>
    <x:sheet xmlns:r="http://schemas.openxmlformats.org/officeDocument/2006/relationships" name="日系戦略" sheetId="8" r:id="Rb9625700c1354f9c"/>
    <x:sheet xmlns:r="http://schemas.openxmlformats.org/officeDocument/2006/relationships" name="検証設計" sheetId="9" r:id="R713726d6c1484187"/>
    <x:sheet xmlns:r="http://schemas.openxmlformats.org/officeDocument/2006/relationships" name="根拠と注意" sheetId="10" r:id="Rf451d695fefa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"/>
    <x:numFmt numFmtId="203" formatCode="0.0&quot; pt&quot;"/>
    <x:numFmt numFmtId="204" formatCode="0%"/>
    <x:numFmt numFmtId="205" formatCode="0"/>
    <x:numFmt numFmtId="206" formatCode="#,##0.0"/>
  </x:numFmts>
  <x:fonts count="6">
    <x:font>
      <x:sz val="11"/>
      <x:name val="Carlito"/>
    </x:font>
    <x:font>
      <x:sz val="10"/>
      <x:color rgb="FF243646"/>
      <x:name val="Noto Sans JP"/>
    </x:font>
    <x:font>
      <x:b/>
      <x:sz val="15"/>
      <x:color rgb="FF17344A"/>
      <x:name val="Noto Sans JP"/>
    </x:font>
    <x:font>
      <x:b/>
      <x:sz val="10"/>
      <x:color rgb="FFFFFFFF"/>
      <x:name val="Noto Sans JP"/>
    </x:font>
    <x:font>
      <x:b/>
      <x:sz val="10"/>
      <x:color rgb="FF243646"/>
      <x:name val="Noto Sans JP"/>
    </x:font>
    <x:font>
      <x:sz val="10"/>
      <x:color rgb="FF287FB0"/>
      <x:name val="Noto Sans JP"/>
    </x:font>
  </x:fonts>
  <x:fills count="5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FFF2CC"/>
      </x:patternFill>
    </x:fill>
    <x:fill>
      <x:patternFill patternType="solid">
        <x:fgColor rgb="FFE2EE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b60c3f8d44d8b" /><Relationship Type="http://schemas.openxmlformats.org/officeDocument/2006/relationships/theme" Target="/xl/theme/theme1.xml" Id="R61f2771930294859" /><Relationship Type="http://schemas.openxmlformats.org/officeDocument/2006/relationships/sharedStrings" Target="/xl/sharedStrings.xml" Id="Raa51d310b18d4612" /><Relationship Type="http://schemas.openxmlformats.org/officeDocument/2006/relationships/worksheet" Target="/xl/worksheets/sheet1.xml" Id="R3aeadbfeec1742c2" /><Relationship Type="http://schemas.openxmlformats.org/officeDocument/2006/relationships/worksheet" Target="/xl/worksheets/sheet2.xml" Id="Rd083efa16cdb43b8" /><Relationship Type="http://schemas.openxmlformats.org/officeDocument/2006/relationships/worksheet" Target="/xl/worksheets/sheet3.xml" Id="Rf9ec957387f040be" /><Relationship Type="http://schemas.openxmlformats.org/officeDocument/2006/relationships/worksheet" Target="/xl/worksheets/sheet4.xml" Id="R7aab3718d24a4e4f" /><Relationship Type="http://schemas.openxmlformats.org/officeDocument/2006/relationships/worksheet" Target="/xl/worksheets/sheet5.xml" Id="Ree19ad099f0c4794" /><Relationship Type="http://schemas.openxmlformats.org/officeDocument/2006/relationships/worksheet" Target="/xl/worksheets/sheet6.xml" Id="R775b26e96e5c4886" /><Relationship Type="http://schemas.openxmlformats.org/officeDocument/2006/relationships/worksheet" Target="/xl/worksheets/sheet7.xml" Id="R788daa76e0364afa" /><Relationship Type="http://schemas.openxmlformats.org/officeDocument/2006/relationships/worksheet" Target="/xl/worksheets/sheet8.xml" Id="Rb9625700c1354f9c" /><Relationship Type="http://schemas.openxmlformats.org/officeDocument/2006/relationships/worksheet" Target="/xl/worksheets/sheet9.xml" Id="R713726d6c1484187" /><Relationship Type="http://schemas.openxmlformats.org/officeDocument/2006/relationships/worksheet" Target="/xl/worksheets/sheet10.xml" Id="Rf451d695fefa41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1cb9e98c5e4c08" /><Relationship Type="http://schemas.openxmlformats.org/officeDocument/2006/relationships/chart" Target="/xl/drawings/charts/chart2.xml" Id="R6dcf202882f04977" /><Relationship Type="http://schemas.openxmlformats.org/officeDocument/2006/relationships/chart" Target="/xl/drawings/charts/chart3.xml" Id="R7bf69344def040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2ac905a8977465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0f4419caef1460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582fac9b9b646a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b76b63f88a541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乗用車登録台数の同期比較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2025年1–6月 台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'市場構成'!$A$6:$A$8</c:f>
              <c:strCache>
                <c:ptCount val="0"/>
              </c:strCache>
            </c:strRef>
          </c:cat>
          <c:val>
            <c:numRef>
              <c:f>'市場構成'!$B$6:$B$8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2026年1–6月 台</c:v>
          </c:tx>
          <c:spPr>
            <a:solidFill xmlns:a="http://schemas.openxmlformats.org/drawingml/2006/main">
              <a:srgbClr val="197D73"/>
            </a:solidFill>
          </c:spPr>
          <c:invertIfNegative val="0"/>
          <c:cat>
            <c:strRef>
              <c:f>'市場構成'!$A$6:$A$8</c:f>
              <c:strCache>
                <c:ptCount val="0"/>
              </c:strCache>
            </c:strRef>
          </c:cat>
          <c:val>
            <c:numRef>
              <c:f>'市場構成'!$C$6:$C$8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oto Sans JP"/>
              <a:ea typeface="Noto Sans JP"/>
              <a:cs typeface="Noto Sans JP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動力内のシェア（全自動車ではない）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中国系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'市場構成'!$A$13:$A$15</c:f>
              <c:strCache>
                <c:ptCount val="0"/>
              </c:strCache>
            </c:strRef>
          </c:cat>
          <c:val>
            <c:numRef>
              <c:f>'市場構成'!$B$13:$B$15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日系明記分</c:v>
          </c:tx>
          <c:spPr>
            <a:solidFill xmlns:a="http://schemas.openxmlformats.org/drawingml/2006/main">
              <a:srgbClr val="197D73"/>
            </a:solidFill>
          </c:spPr>
          <c:invertIfNegative val="0"/>
          <c:cat>
            <c:strRef>
              <c:f>'市場構成'!$A$13:$A$15</c:f>
              <c:strCache>
                <c:ptCount val="0"/>
              </c:strCache>
            </c:strRef>
          </c:cat>
          <c:val>
            <c:numRef>
              <c:f>'市場構成'!$C$13:$C$15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その他・未分類</c:v>
          </c:tx>
          <c:spPr>
            <a:solidFill xmlns:a="http://schemas.openxmlformats.org/drawingml/2006/main">
              <a:srgbClr val="C69938"/>
            </a:solidFill>
          </c:spPr>
          <c:invertIfNegative val="0"/>
          <c:cat>
            <c:strRef>
              <c:f>'市場構成'!$A$13:$A$15</c:f>
              <c:strCache>
                <c:ptCount val="0"/>
              </c:strCache>
            </c:strRef>
          </c:cat>
          <c:val>
            <c:numRef>
              <c:f>'市場構成'!$D$13:$D$15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oto Sans JP"/>
              <a:ea typeface="Noto Sans JP"/>
              <a:cs typeface="Noto Sans JP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中国系グループのBEV市場内シェア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全BEV内の比率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'市場構成'!$A$77:$A$86</c:f>
              <c:strCache>
                <c:ptCount val="0"/>
              </c:strCache>
            </c:strRef>
          </c:cat>
          <c:val>
            <c:numRef>
              <c:f>'市場構成'!$B$77:$B$86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近い全長のSUV：通常公表価格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通常公表価格 THB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'購入価格'!$A$40:$A$42</c:f>
              <c:strCache>
                <c:ptCount val="0"/>
              </c:strCache>
            </c:strRef>
          </c:cat>
          <c:val>
            <c:numRef>
              <c:f>'購入価格'!$B$40:$B$42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掲載中古価格の二つの比較基準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旧公表価格比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'中古比較'!$A$34:$A$35</c:f>
              <c:strCache>
                <c:ptCount val="0"/>
              </c:strCache>
            </c:strRef>
          </c:cat>
          <c:val>
            <c:numRef>
              <c:f>'中古比較'!$B$34:$B$35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近似代替新車比</c:v>
          </c:tx>
          <c:spPr>
            <a:solidFill xmlns:a="http://schemas.openxmlformats.org/drawingml/2006/main">
              <a:srgbClr val="197D73"/>
            </a:solidFill>
          </c:spPr>
          <c:invertIfNegative val="0"/>
          <c:cat>
            <c:strRef>
              <c:f>'中古比較'!$A$34:$A$35</c:f>
              <c:strCache>
                <c:ptCount val="0"/>
              </c:strCache>
            </c:strRef>
          </c:cat>
          <c:val>
            <c:numRef>
              <c:f>'中古比較'!$C$34:$C$35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oto Sans JP"/>
              <a:ea typeface="Noto Sans JP"/>
              <a:cs typeface="Noto Sans JP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平均掲載価格の指数（2024年=100）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2024指数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'中古時系列'!$A$32:$A$34</c:f>
              <c:strCache>
                <c:ptCount val="0"/>
              </c:strCache>
            </c:strRef>
          </c:cat>
          <c:val>
            <c:numRef>
              <c:f>'中古時系列'!$B$32:$B$34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2025指数</c:v>
          </c:tx>
          <c:spPr>
            <a:solidFill xmlns:a="http://schemas.openxmlformats.org/drawingml/2006/main">
              <a:srgbClr val="197D73"/>
            </a:solidFill>
          </c:spPr>
          <c:invertIfNegative val="0"/>
          <c:cat>
            <c:strRef>
              <c:f>'中古時系列'!$A$32:$A$34</c:f>
              <c:strCache>
                <c:ptCount val="0"/>
              </c:strCache>
            </c:strRef>
          </c:cat>
          <c:val>
            <c:numRef>
              <c:f>'中古時系列'!$C$32:$C$34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Noto Sans JP"/>
              <a:ea typeface="Noto Sans JP"/>
              <a:cs typeface="Noto Sans JP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JP"/>
                <a:ea typeface="Noto Sans JP"/>
                <a:cs typeface="Noto Sans JP"/>
              </a:rPr>
              <a:t>保有費の仮定例 (THB)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JP"/>
              <a:ea typeface="Noto Sans JP"/>
              <a:cs typeface="Noto Sans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保有費 THB</c:v>
          </c:tx>
          <c:spPr>
            <a:solidFill xmlns:a="http://schemas.openxmlformats.org/drawingml/2006/main">
              <a:srgbClr val="287FB0"/>
            </a:solidFill>
          </c:spPr>
          <c:invertIfNegative val="0"/>
          <c:cat>
            <c:strRef>
              <c:f>'保有費'!$A$67:$A$69</c:f>
              <c:strCache>
                <c:ptCount val="0"/>
              </c:strCache>
            </c:strRef>
          </c:cat>
          <c:val>
            <c:numRef>
              <c:f>'保有費'!$B$67:$B$69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JP"/>
                <a:ea typeface="Noto Sans JP"/>
                <a:cs typeface="Noto Sans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cb9e98c5e4c08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cf202882f04977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7</xdr:col>
      <xdr:colOff>0</xdr:colOff>
      <xdr:row>96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f69344def040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ac905a8977465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f4419caef1460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82fac9b9b646a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46</xdr:row>
      <xdr:rowOff>0</xdr:rowOff>
    </xdr:from>
    <xdr:to>
      <xdr:col>4</xdr:col>
      <xdr:colOff>0</xdr:colOff>
      <xdr:row>64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76b63f88a541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1" displayName="Table1" ref="A5:G14" headerRowCount="1" totalsRowCount="0" totalsRowShown="0">
  <x:tableColumns count="7">
    <x:tableColumn id="1" name="ID"/>
    <x:tableColumn id="2" name="元の仮説"/>
    <x:tableColumn id="3" name="修正した論理"/>
    <x:tableColumn id="4" name="根拠となるデータ"/>
    <x:tableColumn id="5" name="判定・限界"/>
    <x:tableColumn id="6" name="出典ID"/>
    <x:tableColumn id="7" name="日系の戦略への接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I23" headerRowCount="1" totalsRowCount="0" totalsRowShown="0">
  <x:tableColumns count="9">
    <x:tableColumn id="1" name="ID"/>
    <x:tableColumn id="2" name="企業"/>
    <x:tableColumn id="3" name="車系"/>
    <x:tableColumn id="4" name="時期"/>
    <x:tableColumn id="5" name="分類"/>
    <x:tableColumn id="6" name="外装・内装・装備"/>
    <x:tableColumn id="7" name="電池・駆動系"/>
    <x:tableColumn id="8" name="価格・解釈"/>
    <x:tableColumn id="9" name="出典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27:I34" headerRowCount="1" totalsRowCount="0" totalsRowShown="0">
  <x:tableColumns count="9">
    <x:tableColumn id="1" name="ID"/>
    <x:tableColumn id="2" name="メーカー"/>
    <x:tableColumn id="3" name="車系"/>
    <x:tableColumn id="4" name="時期"/>
    <x:tableColumn id="5" name="分類"/>
    <x:tableColumn id="6" name="外装・内装"/>
    <x:tableColumn id="7" name="駆動系"/>
    <x:tableColumn id="8" name="比較の意味"/>
    <x:tableColumn id="9" name="出典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F11" headerRowCount="1" totalsRowCount="0" totalsRowShown="0">
  <x:tableColumns count="6">
    <x:tableColumn id="1" name="タイの車種・グレード"/>
    <x:tableColumn id="2" name="動力"/>
    <x:tableColumn id="3" name="通常公表価格 THB"/>
    <x:tableColumn id="4" name="一般特価 THB"/>
    <x:tableColumn id="5" name="全長 mm"/>
    <x:tableColumn id="6" name="出典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40:K52" headerRowCount="1" totalsRowCount="0" totalsRowShown="0">
  <x:tableColumns count="11">
    <x:tableColumn id="1" name="元掲載ID"/>
    <x:tableColumn id="2" name="モデル"/>
    <x:tableColumn id="3" name="旧グレード"/>
    <x:tableColumn id="4" name="年式"/>
    <x:tableColumn id="5" name="km下限"/>
    <x:tableColumn id="6" name="km上限"/>
    <x:tableColumn id="7" name="掲載価格 THB"/>
    <x:tableColumn id="8" name="旧公表基準 THB"/>
    <x:tableColumn id="9" name="掲載県"/>
    <x:tableColumn id="10" name="元ファイル行"/>
    <x:tableColumn id="11" name="出典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:G11" headerRowCount="1" totalsRowCount="0" totalsRowShown="0">
  <x:tableColumns count="7">
    <x:tableColumn id="1" name="優先"/>
    <x:tableColumn id="2" name="提案する行動"/>
    <x:tableColumn id="3" name="根拠"/>
    <x:tableColumn id="4" name="判断に使う指標"/>
    <x:tableColumn id="5" name="実行条件"/>
    <x:tableColumn id="6" name="出典ID"/>
    <x:tableColumn id="7" name="対象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6:D22" headerRowCount="1" totalsRowCount="0" totalsRowShown="0">
  <x:tableColumns count="4">
    <x:tableColumn id="1" name="国"/>
    <x:tableColumn id="2" name="確認した市場・制度条件"/>
    <x:tableColumn id="3" name="戦略への接続"/>
    <x:tableColumn id="4" name="出典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5:F12" headerRowCount="1" totalsRowCount="0" totalsRowShown="0">
  <x:tableColumns count="6">
    <x:tableColumn id="1" name="ID"/>
    <x:tableColumn id="2" name="検証する問い"/>
    <x:tableColumn id="3" name="比較方法"/>
    <x:tableColumn id="4" name="必要なデータ"/>
    <x:tableColumn id="5" name="識別上の条件"/>
    <x:tableColumn id="6" name="評価指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6cabd36ae14f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b4a960ad6bc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3ef16165cb4eb0" /><Relationship Type="http://schemas.openxmlformats.org/officeDocument/2006/relationships/table" Target="/xl/tables/table3.xml" Id="R829ad061111f46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681c93738094d54" /><Relationship Type="http://schemas.openxmlformats.org/officeDocument/2006/relationships/table" Target="/xl/tables/table4.xml" Id="R3207c4972aad46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9f7a9c4f376649a6" /><Relationship Type="http://schemas.openxmlformats.org/officeDocument/2006/relationships/table" Target="/xl/tables/table5.xml" Id="R0d4dd15a392343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9275e362e76b4e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8a5db99acef946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e4f78f7ee69464c" /><Relationship Type="http://schemas.openxmlformats.org/officeDocument/2006/relationships/table" Target="/xl/tables/table7.xml" Id="R9ea44cb7ad3848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068f595c4a4403" /></Relationships>
</file>

<file path=xl/worksheets/sheet1.xml><?xml version="1.0" encoding="utf-8"?>
<x:worksheet xmlns:x="http://schemas.openxmlformats.org/spreadsheetml/2006/main">
  <x:sheetPr>
    <x:tabColor rgb="FF287FB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889999866485596" hidden="0" customWidth="1"/>
    <x:col min="2" max="2" width="31.110000610351562" hidden="0" customWidth="1"/>
    <x:col min="3" max="3" width="37.220001220703125" hidden="0" customWidth="1"/>
    <x:col min="4" max="4" width="41.11000061035156" hidden="0" customWidth="1"/>
    <x:col min="5" max="5" width="24.440000534057617" hidden="0" customWidth="1"/>
    <x:col min="6" max="6" width="17.219999313354492" hidden="0" customWidth="1"/>
    <x:col min="7" max="7" width="38.33000183105469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</x:row>
    <x:row r="2" ht="18.75" customHeight="1">
      <x:c r="A2" s="3" t="str">
        <x:v>修正したロジック</x:v>
      </x:c>
      <x:c r="B2" s="2"/>
      <x:c r="C2" s="2"/>
      <x:c r="D2" s="2"/>
      <x:c r="E2" s="2"/>
      <x:c r="F2" s="2"/>
      <x:c r="G2" s="2"/>
    </x:row>
    <x:row r="3" ht="22.5" customHeight="1">
      <x:c r="A3" s="2" t="str">
        <x:v>タイ中心。確認済みの事実、条件付きの推論、未検証の係数を分けます。</x:v>
      </x:c>
      <x:c r="B3" s="2"/>
      <x:c r="C3" s="2"/>
      <x:c r="D3" s="2"/>
      <x:c r="E3" s="2"/>
      <x:c r="F3" s="2"/>
      <x:c r="G3" s="2"/>
    </x:row>
    <x:row r="4" ht="18.75" customHeight="1">
      <x:c r="A4" s="2"/>
      <x:c r="B4" s="2"/>
      <x:c r="C4" s="2"/>
      <x:c r="D4" s="2"/>
      <x:c r="E4" s="2"/>
      <x:c r="F4" s="2"/>
      <x:c r="G4" s="2"/>
    </x:row>
    <x:row r="5" ht="36" customHeight="1">
      <x:c r="A5" s="6" t="str">
        <x:v>ID</x:v>
      </x:c>
      <x:c r="B5" s="6" t="str">
        <x:v>元の仮説</x:v>
      </x:c>
      <x:c r="C5" s="6" t="str">
        <x:v>修正した論理</x:v>
      </x:c>
      <x:c r="D5" s="6" t="str">
        <x:v>根拠となるデータ</x:v>
      </x:c>
      <x:c r="E5" s="6" t="str">
        <x:v>判定・限界</x:v>
      </x:c>
      <x:c r="F5" s="6" t="str">
        <x:v>出典ID</x:v>
      </x:c>
      <x:c r="G5" s="6" t="str">
        <x:v>日系の戦略への接続</x:v>
      </x:c>
    </x:row>
    <x:row r="6" ht="64.5" customHeight="1">
      <x:c r="A6" s="7" t="str">
        <x:v>H01</x:v>
      </x:c>
      <x:c r="B6" s="7" t="str">
        <x:v>中国系は速く売れて速く減衰、日系は長く売れる</x:v>
      </x:c>
      <x:c r="C6" s="7" t="str">
        <x:v>国籍と動力・セグメント・価格・政策の差を分解する</x:v>
      </x:c>
      <x:c r="D6" s="7" t="str">
        <x:v>BEV +84.8%、HEV +25.5%。中国系BEV90.0%、日系HEV97.8%</x:v>
      </x:c>
      <x:c r="E6" s="7" t="str">
        <x:v>国籍ごとのκ・λは未推定</x:v>
      </x:c>
      <x:c r="F6" s="7" t="str">
        <x:v>R01,R02,R16</x:v>
      </x:c>
      <x:c r="G6" s="7" t="str">
        <x:v>HEV基盤の収益確保とBEVの選択投入を両立</x:v>
      </x:c>
    </x:row>
    <x:row r="7" ht="64.5" customHeight="1">
      <x:c r="A7" s="7" t="str">
        <x:v>H02</x:v>
      </x:c>
      <x:c r="B7" s="7" t="str">
        <x:v>EV中古が下がる主因は電池劣化</x:v>
      </x:c>
      <x:c r="C7" s="7" t="str">
        <x:v>SOH劣化、相対性能、新車値下げ、不確実性を別の経路にする</x:v>
      </x:c>
      <x:c r="D7" s="7" t="str">
        <x:v>2023年式・同一距離帯の掲載中央値はATTO467000/Cross759000</x:v>
      </x:c>
      <x:c r="E7" s="7" t="str">
        <x:v>価格比の差は観測、電池の因果寄与は未推定</x:v>
      </x:c>
      <x:c r="F7" s="7" t="str">
        <x:v>R03,R04,R05,S41,S42</x:v>
      </x:c>
      <x:c r="G7" s="7" t="str">
        <x:v>SOH診断・保証・残価を価格競争力へ反映</x:v>
      </x:c>
    </x:row>
    <x:row r="8" ht="64.5" customHeight="1">
      <x:c r="A8" s="7" t="str">
        <x:v>H03</x:v>
      </x:c>
      <x:c r="B8" s="7" t="str">
        <x:v>モデル改良は電池の持ち改善が中心</x:v>
      </x:c>
      <x:c r="C8" s="7" t="str">
        <x:v>航続・寿命・充電・コスト・装備を別に記録する</x:v>
      </x:c>
      <x:c r="D8" s="7" t="str">
        <x:v>DOLPHIN Std容量+11.9%、OMODA容量-17.0%、MG4 LR航続維持</x:v>
      </x:c>
      <x:c r="E8" s="7" t="str">
        <x:v>反例を確認。新旧の寿命比較は未確認</x:v>
      </x:c>
      <x:c r="F8" s="7" t="str">
        <x:v>S03,S07,S08,S26,S27</x:v>
      </x:c>
      <x:c r="G8" s="7" t="str">
        <x:v>顧客が選ぶ要素と価格を優先して改良</x:v>
      </x:c>
    </x:row>
    <x:row r="9" ht="64.5" customHeight="1">
      <x:c r="A9" s="7" t="str">
        <x:v>H04</x:v>
      </x:c>
      <x:c r="B9" s="7" t="str">
        <x:v>短いモデル周期ほど競争力が高い</x:v>
      </x:c>
      <x:c r="C9" s="7" t="str">
        <x:v>全面刷新・部分改良・追加・価格施策を分け、刷新後の販売を検証する</x:v>
      </x:c>
      <x:c r="D9" s="7" t="str">
        <x:v>改良18記録には価格施策・別車系・未確認事例が混在</x:v>
      </x:c>
      <x:c r="E9" s="7" t="str">
        <x:v>改良頻度の独立効果は未検証</x:v>
      </x:c>
      <x:c r="F9" s="7" t="str">
        <x:v>R16,R17,S07,S09</x:v>
      </x:c>
      <x:c r="G9" s="7" t="str">
        <x:v>年次の仕様更新と車体投資の回収周期を分ける</x:v>
      </x:c>
    </x:row>
    <x:row r="10" ht="64.5" customHeight="1">
      <x:c r="A10" s="7" t="str">
        <x:v>H05</x:v>
      </x:c>
      <x:c r="B10" s="7" t="str">
        <x:v>ICE/HEVは外内装しか変わらない</x:v>
      </x:c>
      <x:c r="C10" s="7" t="str">
        <x:v>部分改良と駆動系更新・全面刷新を分ける</x:v>
      </x:c>
      <x:c r="D10" s="7" t="str">
        <x:v>KICKS第2世代e-POWER、Camry新HEV、Yaris ATIVのHEV追加</x:v>
      </x:c>
      <x:c r="E10" s="7" t="str">
        <x:v>反例を確認。燃費の旧新比較は規格統一が必要</x:v>
      </x:c>
      <x:c r="F10" s="7" t="str">
        <x:v>S35,S36,S37</x:v>
      </x:c>
      <x:c r="G10" s="7" t="str">
        <x:v>HEVの価格・燃費・安全装備も継続更新</x:v>
      </x:c>
    </x:row>
    <x:row r="11" ht="64.5" customHeight="1">
      <x:c r="A11" s="7" t="str">
        <x:v>H06</x:v>
      </x:c>
      <x:c r="B11" s="7" t="str">
        <x:v>多車種ほど供給力・強さが増す</x:v>
      </x:c>
      <x:c r="C11" s="7" t="str">
        <x:v>車名数、販売集中度、共通基盤、生産能力を分ける</x:v>
      </x:c>
      <x:c r="D11" s="7" t="str">
        <x:v>発売一覧にはHilux合算等。モデル別の実台数は未提供</x:v>
      </x:c>
      <x:c r="E11" s="7" t="str">
        <x:v>モデル集中度・採算は未計算</x:v>
      </x:c>
      <x:c r="F11" s="7" t="str">
        <x:v>R17,R08</x:v>
      </x:c>
      <x:c r="G11" s="7" t="str">
        <x:v>複数の売れる車系を共通基盤で支える</x:v>
      </x:c>
    </x:row>
    <x:row r="12" ht="64.5" customHeight="1">
      <x:c r="A12" s="7" t="str">
        <x:v>H07</x:v>
      </x:c>
      <x:c r="B12" s="7" t="str">
        <x:v>中国系全体の成長は各中国企業の強さを示す</x:v>
      </x:c>
      <x:c r="C12" s="7" t="str">
        <x:v>中国系内でメーカーの販売と利益を比較する</x:v>
      </x:c>
      <x:c r="D12" s="7" t="str">
        <x:v>BEV中国系登録の上位4グループで72.2%。NETAは全BEVの0.3%</x:v>
      </x:c>
      <x:c r="E12" s="7" t="str">
        <x:v>企業間の差を確認。利益への因果は未確認</x:v>
      </x:c>
      <x:c r="F12" s="7" t="str">
        <x:v>R02</x:v>
      </x:c>
      <x:c r="G12" s="7" t="str">
        <x:v>BYD等の有力社と小規模・不安定社を個別評価</x:v>
      </x:c>
    </x:row>
    <x:row r="13" ht="64.5" customHeight="1">
      <x:c r="A13" s="7" t="str">
        <x:v>H08</x:v>
      </x:c>
      <x:c r="B13" s="7" t="str">
        <x:v>生産義務が国内の過剰供給を必ず生む</x:v>
      </x:c>
      <x:c r="C13" s="7" t="str">
        <x:v>生産義務、輸出、国内販売、在庫を別に追う</x:v>
      </x:c>
      <x:c r="D13" s="7" t="str">
        <x:v>EV3.5は輸入相殺1:2/1:3。輸出1台を1.5台算入</x:v>
      </x:c>
      <x:c r="E13" s="7" t="str">
        <x:v>在庫圧力は条件付きの推論</x:v>
      </x:c>
      <x:c r="F13" s="7" t="str">
        <x:v>R07,R08,R09</x:v>
      </x:c>
      <x:c r="G13" s="7" t="str">
        <x:v>輸出受注・稼働率・需要を確認して現地化</x:v>
      </x:c>
    </x:row>
    <x:row r="14" ht="64.5" customHeight="1">
      <x:c r="A14" s="7" t="str">
        <x:v>H09</x:v>
      </x:c>
      <x:c r="B14" s="7" t="str">
        <x:v>価格低下と電費改善でEVは必ずICE/HEVより有利</x:v>
      </x:c>
      <x:c r="C14" s="7" t="str">
        <x:v>新車実支払と保有費、資金負担、充電可否で評価する</x:v>
      </x:c>
      <x:c r="D14" s="7" t="str">
        <x:v>Cross Smart989000に対しATTO Premium通常799900/一般特価669900</x:v>
      </x:c>
      <x:c r="E14" s="7" t="str">
        <x:v>入口価格は確認。将来TCOは条件付きの試算</x:v>
      </x:c>
      <x:c r="F14" s="7" t="str">
        <x:v>R05,R06,R15</x:v>
      </x:c>
      <x:c r="G14" s="7" t="str">
        <x:v>ブランド価値を許容価格差・月額負担で測る</x:v>
      </x:c>
    </x:row>
    <x:row r="15" ht="18.75" customHeight="1">
      <x:c r="A15" s="2"/>
      <x:c r="B15" s="2"/>
      <x:c r="C15" s="2"/>
      <x:c r="D15" s="2"/>
      <x:c r="E15" s="2"/>
      <x:c r="F15" s="2"/>
      <x:c r="G15" s="2"/>
    </x:row>
    <x:row r="16" ht="18.75" customHeight="1">
      <x:c r="A16" s="2"/>
      <x:c r="B16" s="2"/>
      <x:c r="C16" s="2"/>
      <x:c r="D16" s="2"/>
      <x:c r="E16" s="2"/>
      <x:c r="F16" s="2"/>
      <x:c r="G16" s="2"/>
    </x:row>
    <x:row r="17" ht="48" customHeight="1">
      <x:c r="A17" s="2" t="str">
        <x:v>主な結論</x:v>
      </x:c>
      <x:c r="B17" s="7" t="str">
        <x:v>HEV市場の成長を確保しながら、BEV需要への対応、実支払・保有費、更新・生産の採算を改善する。</x:v>
      </x:c>
      <x:c r="C17" s="7"/>
      <x:c r="D17" s="7"/>
      <x:c r="E17" s="7"/>
      <x:c r="F17" s="2"/>
      <x:c r="G17" s="2"/>
    </x:row>
    <x:row r="18" ht="18.75" customHeight="1">
      <x:c r="A18" s="2"/>
      <x:c r="B18" s="2"/>
      <x:c r="C18" s="2"/>
      <x:c r="D18" s="2"/>
      <x:c r="E18" s="2"/>
      <x:c r="F18" s="2"/>
      <x:c r="G18" s="2"/>
    </x:row>
  </x:sheetData>
  <x:mergeCells>
    <x:mergeCell ref="B17:E17"/>
  </x:mergeCells>
  <x:pageMargins left="0.7" right="0.7" top="0.75" bottom="0.75" header="0.3" footer="0.3"/>
  <x:tableParts count="1">
    <x:tablePart xmlns:r="http://schemas.openxmlformats.org/officeDocument/2006/relationships" r:id="R8c6cabd36ae14f43"/>
  </x:tableParts>
</x:worksheet>
</file>

<file path=xl/worksheets/sheet2.xml><?xml version="1.0" encoding="utf-8"?>
<x:worksheet xmlns:x="http://schemas.openxmlformats.org/spreadsheetml/2006/main">
  <x:sheetPr>
    <x:tabColor rgb="FF287F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110000610351562" hidden="0" customWidth="1"/>
    <x:col min="2" max="2" width="16.670000076293945" hidden="0" customWidth="1"/>
    <x:col min="3" max="3" width="16.670000076293945" hidden="0" customWidth="1"/>
    <x:col min="4" max="4" width="16.110000610351562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</x:row>
    <x:row r="2" ht="18.75" customHeight="1">
      <x:c r="A2" s="3" t="str">
        <x:v>市場構成と中国系内の競争</x:v>
      </x:c>
      <x:c r="B2" s="2"/>
      <x:c r="C2" s="2"/>
      <x:c r="D2" s="2"/>
      <x:c r="E2" s="2"/>
      <x:c r="F2" s="2"/>
      <x:c r="G2" s="2"/>
    </x:row>
    <x:row r="3" ht="22.5" customHeight="1">
      <x:c r="A3" s="2" t="str">
        <x:v>同じ期間・同じ乗用車登録で比較。ICE・二輪車を含む全市場のシェアは計算していません。</x:v>
      </x:c>
      <x:c r="B3" s="2"/>
      <x:c r="C3" s="2"/>
      <x:c r="D3" s="2"/>
      <x:c r="E3" s="2"/>
      <x:c r="F3" s="2"/>
      <x:c r="G3" s="2"/>
    </x:row>
    <x:row r="4" ht="18.75" customHeight="1">
      <x:c r="A4" s="2"/>
      <x:c r="B4" s="2"/>
      <x:c r="C4" s="2"/>
      <x:c r="D4" s="2"/>
      <x:c r="E4" s="2"/>
      <x:c r="F4" s="2"/>
      <x:c r="G4" s="2"/>
    </x:row>
    <x:row r="5" ht="36" customHeight="1">
      <x:c r="A5" s="6" t="str">
        <x:v>動力</x:v>
      </x:c>
      <x:c r="B5" s="6" t="str">
        <x:v>2025年1–6月 台</x:v>
      </x:c>
      <x:c r="C5" s="6" t="str">
        <x:v>2026年1–6月 台</x:v>
      </x:c>
      <x:c r="D5" s="6" t="str">
        <x:v>前年比</x:v>
      </x:c>
      <x:c r="E5" s="6" t="str">
        <x:v>2026年 中国系 台</x:v>
      </x:c>
      <x:c r="F5" s="6" t="str">
        <x:v>2026年 日系明記分 台</x:v>
      </x:c>
      <x:c r="G5" s="6" t="str">
        <x:v>出典ID</x:v>
      </x:c>
    </x:row>
    <x:row r="6" ht="18.75" customHeight="1">
      <x:c r="A6" s="2" t="str">
        <x:v>BEV</x:v>
      </x:c>
      <x:c r="B6" s="8" t="n">
        <x:v>56973</x:v>
      </x:c>
      <x:c r="C6" s="8" t="n">
        <x:v>105280</x:v>
      </x:c>
      <x:c r="D6" s="9" t="n">
        <x:f>C6/B6-1</x:f>
        <x:v>0.8478928615309007</x:v>
      </x:c>
      <x:c r="E6" s="8" t="n">
        <x:v>94752</x:v>
      </x:c>
      <x:c r="F6" s="8" t="n">
        <x:v>1113</x:v>
      </x:c>
      <x:c r="G6" s="2" t="str">
        <x:v>R01,R02</x:v>
      </x:c>
    </x:row>
    <x:row r="7" ht="18.75" customHeight="1">
      <x:c r="A7" s="2" t="str">
        <x:v>HEV</x:v>
      </x:c>
      <x:c r="B7" s="8" t="n">
        <x:v>71613</x:v>
      </x:c>
      <x:c r="C7" s="8" t="n">
        <x:v>89878</x:v>
      </x:c>
      <x:c r="D7" s="9" t="n">
        <x:f>C7/B7-1</x:f>
        <x:v>0.2550514571376705</x:v>
      </x:c>
      <x:c r="E7" s="8" t="n">
        <x:v>1407</x:v>
      </x:c>
      <x:c r="F7" s="8" t="n">
        <x:v>87910</x:v>
      </x:c>
      <x:c r="G7" s="2" t="str">
        <x:v>R01,R02</x:v>
      </x:c>
    </x:row>
    <x:row r="8" ht="18.75" customHeight="1">
      <x:c r="A8" s="2" t="str">
        <x:v>PHEV</x:v>
      </x:c>
      <x:c r="B8" s="8" t="n">
        <x:v>11324</x:v>
      </x:c>
      <x:c r="C8" s="8" t="n">
        <x:v>10214</x:v>
      </x:c>
      <x:c r="D8" s="9" t="n">
        <x:f>C8/B8-1</x:f>
        <x:v>-0.0980219003885553</x:v>
      </x:c>
      <x:c r="E8" s="8" t="n">
        <x:v>7128</x:v>
      </x:c>
      <x:c r="F8" s="8" t="n">
        <x:v>59</x:v>
      </x:c>
      <x:c r="G8" s="2" t="str">
        <x:v>R01,R02</x:v>
      </x:c>
    </x:row>
    <x:row r="9" ht="18.75" customHeight="1">
      <x:c r="A9" s="2" t="str">
        <x:v>3動力合計</x:v>
      </x:c>
      <x:c r="B9" s="8" t="n">
        <x:f>SUM(B6:B8)</x:f>
        <x:v>139910</x:v>
      </x:c>
      <x:c r="C9" s="8" t="n">
        <x:f>SUM(C6:C8)</x:f>
        <x:v>205372</x:v>
      </x:c>
      <x:c r="D9" s="9" t="n">
        <x:f>C9/B9-1</x:f>
        <x:v>0.4678864984632978</x:v>
      </x:c>
      <x:c r="E9" s="8" t="n">
        <x:f>SUM(E6:E8)</x:f>
        <x:v>103287</x:v>
      </x:c>
      <x:c r="F9" s="8" t="n">
        <x:f>SUM(F6:F8)</x:f>
        <x:v>89082</x:v>
      </x:c>
      <x:c r="G9" s="2" t="str">
        <x:v>R02</x:v>
      </x:c>
    </x:row>
    <x:row r="10" ht="18.75" customHeight="1">
      <x:c r="A10" s="2"/>
      <x:c r="B10" s="2"/>
      <x:c r="C10" s="2"/>
      <x:c r="D10" s="2"/>
      <x:c r="E10" s="2"/>
      <x:c r="F10" s="2"/>
      <x:c r="G10" s="2"/>
    </x:row>
    <x:row r="11" ht="18.75" customHeight="1">
      <x:c r="A11" s="2"/>
      <x:c r="B11" s="2"/>
      <x:c r="C11" s="2"/>
      <x:c r="D11" s="2"/>
      <x:c r="E11" s="2"/>
      <x:c r="F11" s="2"/>
      <x:c r="G11" s="2"/>
    </x:row>
    <x:row r="12" ht="36" customHeight="1">
      <x:c r="A12" s="6" t="str">
        <x:v>動力内シェア</x:v>
      </x:c>
      <x:c r="B12" s="6" t="str">
        <x:v>中国系</x:v>
      </x:c>
      <x:c r="C12" s="6" t="str">
        <x:v>日系明記分</x:v>
      </x:c>
      <x:c r="D12" s="6" t="str">
        <x:v>その他・未分類</x:v>
      </x:c>
      <x:c r="E12" s="6" t="str">
        <x:v>動力内登録数 台</x:v>
      </x:c>
      <x:c r="F12" s="2"/>
      <x:c r="G12" s="2"/>
    </x:row>
    <x:row r="13" ht="18.75" customHeight="1">
      <x:c r="A13" s="2" t="str">
        <x:v>BEV</x:v>
      </x:c>
      <x:c r="B13" s="9" t="n">
        <x:f>E6/C6</x:f>
        <x:v>0.9</x:v>
      </x:c>
      <x:c r="C13" s="9" t="n">
        <x:f>F6/C6</x:f>
        <x:v>0.010571808510638298</x:v>
      </x:c>
      <x:c r="D13" s="9" t="n">
        <x:f>1-B13-C13</x:f>
        <x:v>0.08942819148936168</x:v>
      </x:c>
      <x:c r="E13" s="8" t="n">
        <x:f>C6</x:f>
        <x:v>105280</x:v>
      </x:c>
      <x:c r="F13" s="7" t="str">
        <x:v>BEVの日系はToyota/Hondaのみ。その他3496台の国籍は未分解。</x:v>
      </x:c>
      <x:c r="G13" s="7"/>
    </x:row>
    <x:row r="14" ht="18.75" customHeight="1">
      <x:c r="A14" s="2" t="str">
        <x:v>HEV</x:v>
      </x:c>
      <x:c r="B14" s="9" t="n">
        <x:f>E7/C7</x:f>
        <x:v>0.015654553950911237</x:v>
      </x:c>
      <x:c r="C14" s="9" t="n">
        <x:f>F7/C7</x:f>
        <x:v>0.9781036516166359</x:v>
      </x:c>
      <x:c r="D14" s="9" t="n">
        <x:f>1-B14-C14</x:f>
        <x:v>0.006241794432452874</x:v>
      </x:c>
      <x:c r="E14" s="8" t="n">
        <x:f>C7</x:f>
        <x:v>89878</x:v>
      </x:c>
      <x:c r="F14" s="7"/>
      <x:c r="G14" s="7"/>
    </x:row>
    <x:row r="15" ht="18.75" customHeight="1">
      <x:c r="A15" s="2" t="str">
        <x:v>PHEV</x:v>
      </x:c>
      <x:c r="B15" s="9" t="n">
        <x:f>E8/C8</x:f>
        <x:v>0.6978656745643235</x:v>
      </x:c>
      <x:c r="C15" s="9" t="n">
        <x:f>F8/C8</x:f>
        <x:v>0.00577638535343646</x:v>
      </x:c>
      <x:c r="D15" s="9" t="n">
        <x:f>1-B15-C15</x:f>
        <x:v>0.2963579400822401</x:v>
      </x:c>
      <x:c r="E15" s="8" t="n">
        <x:f>C8</x:f>
        <x:v>10214</x:v>
      </x:c>
      <x:c r="F15" s="7"/>
      <x:c r="G15" s="7"/>
    </x:row>
    <x:row r="16" ht="18.75" customHeight="1">
      <x:c r="A16" s="2"/>
      <x:c r="B16" s="2"/>
      <x:c r="C16" s="2"/>
      <x:c r="D16" s="2"/>
      <x:c r="E16" s="2"/>
      <x:c r="F16" s="2"/>
      <x:c r="G16" s="2"/>
    </x:row>
    <x:row r="17" ht="18.75" customHeight="1">
      <x:c r="A17" s="2"/>
      <x:c r="B17" s="2"/>
      <x:c r="C17" s="2"/>
      <x:c r="D17" s="2"/>
      <x:c r="E17" s="2"/>
      <x:c r="F17" s="2"/>
      <x:c r="G17" s="2"/>
    </x:row>
    <x:row r="18" ht="18.75" customHeight="1">
      <x:c r="A18" s="2"/>
      <x:c r="B18" s="2"/>
      <x:c r="C18" s="2"/>
      <x:c r="D18" s="2"/>
      <x:c r="E18" s="2"/>
      <x:c r="F18" s="2"/>
      <x:c r="G18" s="2"/>
    </x:row>
    <x:row r="19" ht="18.75" customHeight="1">
      <x:c r="A19" s="2"/>
      <x:c r="B19" s="2"/>
      <x:c r="C19" s="2"/>
      <x:c r="D19" s="2"/>
      <x:c r="E19" s="2"/>
      <x:c r="F19" s="2"/>
      <x:c r="G19" s="2"/>
    </x:row>
    <x:row r="20" ht="18.75" customHeight="1">
      <x:c r="A20" s="2"/>
      <x:c r="B20" s="2"/>
      <x:c r="C20" s="2"/>
      <x:c r="D20" s="2"/>
      <x:c r="E20" s="2"/>
      <x:c r="F20" s="2"/>
      <x:c r="G20" s="2"/>
    </x:row>
    <x:row r="21" ht="18.75" customHeight="1">
      <x:c r="A21" s="2"/>
      <x:c r="B21" s="2"/>
      <x:c r="C21" s="2"/>
      <x:c r="D21" s="2"/>
      <x:c r="E21" s="2"/>
      <x:c r="F21" s="2"/>
      <x:c r="G21" s="2"/>
    </x:row>
    <x:row r="22" ht="18.75" customHeight="1">
      <x:c r="A22" s="2"/>
      <x:c r="B22" s="2"/>
      <x:c r="C22" s="2"/>
      <x:c r="D22" s="2"/>
      <x:c r="E22" s="2"/>
      <x:c r="F22" s="2"/>
      <x:c r="G22" s="2"/>
    </x:row>
    <x:row r="23" ht="18.75" customHeight="1">
      <x:c r="A23" s="2"/>
      <x:c r="B23" s="2"/>
      <x:c r="C23" s="2"/>
      <x:c r="D23" s="2"/>
      <x:c r="E23" s="2"/>
      <x:c r="F23" s="2"/>
      <x:c r="G23" s="2"/>
    </x:row>
    <x:row r="24" ht="18.75" customHeight="1">
      <x:c r="A24" s="2"/>
      <x:c r="B24" s="2"/>
      <x:c r="C24" s="2"/>
      <x:c r="D24" s="2"/>
      <x:c r="E24" s="2"/>
      <x:c r="F24" s="2"/>
      <x:c r="G24" s="2"/>
    </x:row>
    <x:row r="25" ht="18.75" customHeight="1">
      <x:c r="A25" s="2"/>
      <x:c r="B25" s="2"/>
      <x:c r="C25" s="2"/>
      <x:c r="D25" s="2"/>
      <x:c r="E25" s="2"/>
      <x:c r="F25" s="2"/>
      <x:c r="G25" s="2"/>
    </x:row>
    <x:row r="26" ht="18.75" customHeight="1">
      <x:c r="A26" s="2"/>
      <x:c r="B26" s="2"/>
      <x:c r="C26" s="2"/>
      <x:c r="D26" s="2"/>
      <x:c r="E26" s="2"/>
      <x:c r="F26" s="2"/>
      <x:c r="G26" s="2"/>
    </x:row>
    <x:row r="27" ht="18.75" customHeight="1">
      <x:c r="A27" s="2"/>
      <x:c r="B27" s="2"/>
      <x:c r="C27" s="2"/>
      <x:c r="D27" s="2"/>
      <x:c r="E27" s="2"/>
      <x:c r="F27" s="2"/>
      <x:c r="G27" s="2"/>
    </x:row>
    <x:row r="28" ht="18.75" customHeight="1">
      <x:c r="A28" s="2"/>
      <x:c r="B28" s="2"/>
      <x:c r="C28" s="2"/>
      <x:c r="D28" s="2"/>
      <x:c r="E28" s="2"/>
      <x:c r="F28" s="2"/>
      <x:c r="G28" s="2"/>
    </x:row>
    <x:row r="29" ht="18.75" customHeight="1">
      <x:c r="A29" s="2"/>
      <x:c r="B29" s="2"/>
      <x:c r="C29" s="2"/>
      <x:c r="D29" s="2"/>
      <x:c r="E29" s="2"/>
      <x:c r="F29" s="2"/>
      <x:c r="G29" s="2"/>
    </x:row>
    <x:row r="30" ht="18.75" customHeight="1">
      <x:c r="A30" s="2"/>
      <x:c r="B30" s="2"/>
      <x:c r="C30" s="2"/>
      <x:c r="D30" s="2"/>
      <x:c r="E30" s="2"/>
      <x:c r="F30" s="2"/>
      <x:c r="G30" s="2"/>
    </x:row>
    <x:row r="31" ht="18.75" customHeight="1">
      <x:c r="A31" s="2"/>
      <x:c r="B31" s="2"/>
      <x:c r="C31" s="2"/>
      <x:c r="D31" s="2"/>
      <x:c r="E31" s="2"/>
      <x:c r="F31" s="2"/>
      <x:c r="G31" s="2"/>
    </x:row>
    <x:row r="32" ht="18.75" customHeight="1">
      <x:c r="A32" s="2"/>
      <x:c r="B32" s="2"/>
      <x:c r="C32" s="2"/>
      <x:c r="D32" s="2"/>
      <x:c r="E32" s="2"/>
      <x:c r="F32" s="2"/>
      <x:c r="G32" s="2"/>
    </x:row>
    <x:row r="33" ht="18.75" customHeight="1">
      <x:c r="A33" s="2"/>
      <x:c r="B33" s="2"/>
      <x:c r="C33" s="2"/>
      <x:c r="D33" s="2"/>
      <x:c r="E33" s="2"/>
      <x:c r="F33" s="2"/>
      <x:c r="G33" s="2"/>
    </x:row>
    <x:row r="34" ht="18.75" customHeight="1">
      <x:c r="A34" s="2"/>
      <x:c r="B34" s="2"/>
      <x:c r="C34" s="2"/>
      <x:c r="D34" s="2"/>
      <x:c r="E34" s="2"/>
      <x:c r="F34" s="2"/>
      <x:c r="G34" s="2"/>
    </x:row>
    <x:row r="35" ht="18.75" customHeight="1">
      <x:c r="A35" s="2"/>
      <x:c r="B35" s="2"/>
      <x:c r="C35" s="2"/>
      <x:c r="D35" s="2"/>
      <x:c r="E35" s="2"/>
      <x:c r="F35" s="2"/>
      <x:c r="G35" s="2"/>
    </x:row>
    <x:row r="36" ht="18.75" customHeight="1">
      <x:c r="A36" s="2"/>
      <x:c r="B36" s="2"/>
      <x:c r="C36" s="2"/>
      <x:c r="D36" s="2"/>
      <x:c r="E36" s="2"/>
      <x:c r="F36" s="2"/>
      <x:c r="G36" s="2"/>
    </x:row>
    <x:row r="37" ht="18.75" customHeight="1">
      <x:c r="A37" s="2"/>
      <x:c r="B37" s="2"/>
      <x:c r="C37" s="2"/>
      <x:c r="D37" s="2"/>
      <x:c r="E37" s="2"/>
      <x:c r="F37" s="2"/>
      <x:c r="G37" s="2"/>
    </x:row>
    <x:row r="38" ht="18.75" customHeight="1">
      <x:c r="A38" s="2"/>
      <x:c r="B38" s="2"/>
      <x:c r="C38" s="2"/>
      <x:c r="D38" s="2"/>
      <x:c r="E38" s="2"/>
      <x:c r="F38" s="2"/>
      <x:c r="G38" s="2"/>
    </x:row>
    <x:row r="39" ht="18.75" customHeight="1">
      <x:c r="A39" s="2"/>
      <x:c r="B39" s="2"/>
      <x:c r="C39" s="2"/>
      <x:c r="D39" s="2"/>
      <x:c r="E39" s="2"/>
      <x:c r="F39" s="2"/>
      <x:c r="G39" s="2"/>
    </x:row>
    <x:row r="40" ht="18.75" customHeight="1">
      <x:c r="A40" s="2"/>
      <x:c r="B40" s="2"/>
      <x:c r="C40" s="2"/>
      <x:c r="D40" s="2"/>
      <x:c r="E40" s="2"/>
      <x:c r="F40" s="2"/>
      <x:c r="G40" s="2"/>
    </x:row>
    <x:row r="41" ht="18.75" customHeight="1">
      <x:c r="A41" s="2"/>
      <x:c r="B41" s="2"/>
      <x:c r="C41" s="2"/>
      <x:c r="D41" s="2"/>
      <x:c r="E41" s="2"/>
      <x:c r="F41" s="2"/>
      <x:c r="G41" s="2"/>
    </x:row>
    <x:row r="42" ht="18.75" customHeight="1">
      <x:c r="A42" s="2"/>
      <x:c r="B42" s="2"/>
      <x:c r="C42" s="2"/>
      <x:c r="D42" s="2"/>
      <x:c r="E42" s="2"/>
      <x:c r="F42" s="2"/>
      <x:c r="G42" s="2"/>
    </x:row>
    <x:row r="43" ht="18.75" customHeight="1">
      <x:c r="A43" s="2"/>
      <x:c r="B43" s="2"/>
      <x:c r="C43" s="2"/>
      <x:c r="D43" s="2"/>
      <x:c r="E43" s="2"/>
      <x:c r="F43" s="2"/>
      <x:c r="G43" s="2"/>
    </x:row>
    <x:row r="44" ht="18.75" customHeight="1">
      <x:c r="A44" s="2"/>
      <x:c r="B44" s="2"/>
      <x:c r="C44" s="2"/>
      <x:c r="D44" s="2"/>
      <x:c r="E44" s="2"/>
      <x:c r="F44" s="2"/>
      <x:c r="G44" s="2"/>
    </x:row>
    <x:row r="45" ht="18.75" customHeight="1">
      <x:c r="A45" s="2"/>
      <x:c r="B45" s="2"/>
      <x:c r="C45" s="2"/>
      <x:c r="D45" s="2"/>
      <x:c r="E45" s="2"/>
      <x:c r="F45" s="2"/>
      <x:c r="G45" s="2"/>
    </x:row>
    <x:row r="46" ht="18.75" customHeight="1">
      <x:c r="A46" s="2"/>
      <x:c r="B46" s="2"/>
      <x:c r="C46" s="2"/>
      <x:c r="D46" s="2"/>
      <x:c r="E46" s="2"/>
      <x:c r="F46" s="2"/>
      <x:c r="G46" s="2"/>
    </x:row>
    <x:row r="47" ht="18.75" customHeight="1">
      <x:c r="A47" s="2"/>
      <x:c r="B47" s="2"/>
      <x:c r="C47" s="2"/>
      <x:c r="D47" s="2"/>
      <x:c r="E47" s="2"/>
      <x:c r="F47" s="2"/>
      <x:c r="G47" s="2"/>
    </x:row>
    <x:row r="48" ht="18.75" customHeight="1">
      <x:c r="A48" s="2"/>
      <x:c r="B48" s="2"/>
      <x:c r="C48" s="2"/>
      <x:c r="D48" s="2"/>
      <x:c r="E48" s="2"/>
      <x:c r="F48" s="2"/>
      <x:c r="G48" s="2"/>
    </x:row>
    <x:row r="49" ht="18.75" customHeight="1">
      <x:c r="A49" s="2"/>
      <x:c r="B49" s="2"/>
      <x:c r="C49" s="2"/>
      <x:c r="D49" s="2"/>
      <x:c r="E49" s="2"/>
      <x:c r="F49" s="2"/>
      <x:c r="G49" s="2"/>
    </x:row>
    <x:row r="50" ht="18.75" customHeight="1">
      <x:c r="A50" s="2"/>
      <x:c r="B50" s="2"/>
      <x:c r="C50" s="2"/>
      <x:c r="D50" s="2"/>
      <x:c r="E50" s="2"/>
      <x:c r="F50" s="2"/>
      <x:c r="G50" s="2"/>
    </x:row>
    <x:row r="51" ht="18.75" customHeight="1">
      <x:c r="A51" s="2"/>
      <x:c r="B51" s="2"/>
      <x:c r="C51" s="2"/>
      <x:c r="D51" s="2"/>
      <x:c r="E51" s="2"/>
      <x:c r="F51" s="2"/>
      <x:c r="G51" s="2"/>
    </x:row>
    <x:row r="52" ht="18.75" customHeight="1">
      <x:c r="A52" s="2"/>
      <x:c r="B52" s="2"/>
      <x:c r="C52" s="2"/>
      <x:c r="D52" s="2"/>
      <x:c r="E52" s="2"/>
      <x:c r="F52" s="2"/>
      <x:c r="G52" s="2"/>
    </x:row>
    <x:row r="53" ht="18.75" customHeight="1">
      <x:c r="A53" s="2"/>
      <x:c r="B53" s="2"/>
      <x:c r="C53" s="2"/>
      <x:c r="D53" s="2"/>
      <x:c r="E53" s="2"/>
      <x:c r="F53" s="2"/>
      <x:c r="G53" s="2"/>
    </x:row>
    <x:row r="54" ht="18.75" customHeight="1">
      <x:c r="A54" s="2"/>
      <x:c r="B54" s="2"/>
      <x:c r="C54" s="2"/>
      <x:c r="D54" s="2"/>
      <x:c r="E54" s="2"/>
      <x:c r="F54" s="2"/>
      <x:c r="G54" s="2"/>
    </x:row>
    <x:row r="55" ht="18.75" customHeight="1">
      <x:c r="A55" s="2"/>
      <x:c r="B55" s="2"/>
      <x:c r="C55" s="2"/>
      <x:c r="D55" s="2"/>
      <x:c r="E55" s="2"/>
      <x:c r="F55" s="2"/>
      <x:c r="G55" s="2"/>
    </x:row>
    <x:row r="56" ht="18.75" customHeight="1">
      <x:c r="A56" s="2"/>
      <x:c r="B56" s="2"/>
      <x:c r="C56" s="2"/>
      <x:c r="D56" s="2"/>
      <x:c r="E56" s="2"/>
      <x:c r="F56" s="2"/>
      <x:c r="G56" s="2"/>
    </x:row>
    <x:row r="57" ht="36" customHeight="1">
      <x:c r="A57" s="6" t="str">
        <x:v>中国系BEVグループ</x:v>
      </x:c>
      <x:c r="B57" s="6" t="str">
        <x:v>登録数 台</x:v>
      </x:c>
      <x:c r="C57" s="6" t="str">
        <x:v>全BEV内の比率</x:v>
      </x:c>
      <x:c r="D57" s="6" t="str">
        <x:v>中国系BEV内の比率</x:v>
      </x:c>
      <x:c r="E57" s="2"/>
      <x:c r="F57" s="2"/>
      <x:c r="G57" s="2"/>
    </x:row>
    <x:row r="58" ht="18.75" customHeight="1">
      <x:c r="A58" s="2" t="str">
        <x:v>BYD / DENZA</x:v>
      </x:c>
      <x:c r="B58" s="8" t="n">
        <x:v>22097</x:v>
      </x:c>
      <x:c r="C58" s="9" t="n">
        <x:f>B58/$C$6</x:f>
        <x:v>0.2098879179331307</x:v>
      </x:c>
      <x:c r="D58" s="9" t="n">
        <x:f>B58/$E$6</x:f>
        <x:v>0.23320879770347855</x:v>
      </x:c>
      <x:c r="E58" s="2"/>
      <x:c r="F58" s="2"/>
      <x:c r="G58" s="2"/>
    </x:row>
    <x:row r="59" ht="18.75" customHeight="1">
      <x:c r="A59" s="2" t="str">
        <x:v>CHERY</x:v>
      </x:c>
      <x:c r="B59" s="8" t="n">
        <x:v>19435</x:v>
      </x:c>
      <x:c r="C59" s="9" t="n">
        <x:f>B59/$C$6</x:f>
        <x:v>0.18460296352583586</x:v>
      </x:c>
      <x:c r="D59" s="9" t="n">
        <x:f>B59/$E$6</x:f>
        <x:v>0.20511440391759542</x:v>
      </x:c>
      <x:c r="E59" s="2"/>
      <x:c r="F59" s="2"/>
      <x:c r="G59" s="2"/>
    </x:row>
    <x:row r="60" ht="18.75" customHeight="1">
      <x:c r="A60" s="2" t="str">
        <x:v>MG</x:v>
      </x:c>
      <x:c r="B60" s="8" t="n">
        <x:v>15106</x:v>
      </x:c>
      <x:c r="C60" s="9" t="n">
        <x:f>B60/$C$6</x:f>
        <x:v>0.1434840425531915</x:v>
      </x:c>
      <x:c r="D60" s="9" t="n">
        <x:f>B60/$E$6</x:f>
        <x:v>0.15942671394799054</x:v>
      </x:c>
      <x:c r="E60" s="2"/>
      <x:c r="F60" s="2"/>
      <x:c r="G60" s="2"/>
    </x:row>
    <x:row r="61" ht="18.75" customHeight="1">
      <x:c r="A61" s="2" t="str">
        <x:v>AION</x:v>
      </x:c>
      <x:c r="B61" s="8" t="n">
        <x:v>11812</x:v>
      </x:c>
      <x:c r="C61" s="9" t="n">
        <x:f>B61/$C$6</x:f>
        <x:v>0.11219604863221884</x:v>
      </x:c>
      <x:c r="D61" s="9" t="n">
        <x:f>B61/$E$6</x:f>
        <x:v>0.12466227625802094</x:v>
      </x:c>
      <x:c r="E61" s="2"/>
      <x:c r="F61" s="2"/>
      <x:c r="G61" s="2"/>
    </x:row>
    <x:row r="62" ht="18.75" customHeight="1">
      <x:c r="A62" s="2" t="str">
        <x:v>GEELY / ZEEKR</x:v>
      </x:c>
      <x:c r="B62" s="8" t="n">
        <x:v>10359</x:v>
      </x:c>
      <x:c r="C62" s="9" t="n">
        <x:f>B62/$C$6</x:f>
        <x:v>0.09839475683890578</x:v>
      </x:c>
      <x:c r="D62" s="9" t="n">
        <x:f>B62/$E$6</x:f>
        <x:v>0.1093275075987842</x:v>
      </x:c>
      <x:c r="E62" s="2"/>
      <x:c r="F62" s="2"/>
      <x:c r="G62" s="2"/>
    </x:row>
    <x:row r="63" ht="18.75" customHeight="1">
      <x:c r="A63" s="2" t="str">
        <x:v>CHANGAN</x:v>
      </x:c>
      <x:c r="B63" s="8" t="n">
        <x:v>9631</x:v>
      </x:c>
      <x:c r="C63" s="9" t="n">
        <x:f>B63/$C$6</x:f>
        <x:v>0.0914798632218845</x:v>
      </x:c>
      <x:c r="D63" s="9" t="n">
        <x:f>B63/$E$6</x:f>
        <x:v>0.10164429246876056</x:v>
      </x:c>
      <x:c r="E63" s="2"/>
      <x:c r="F63" s="2"/>
      <x:c r="G63" s="2"/>
    </x:row>
    <x:row r="64" ht="18.75" customHeight="1">
      <x:c r="A64" s="2" t="str">
        <x:v>XPENG</x:v>
      </x:c>
      <x:c r="B64" s="8" t="n">
        <x:v>3147</x:v>
      </x:c>
      <x:c r="C64" s="9" t="n">
        <x:f>B64/$C$6</x:f>
        <x:v>0.029891717325227964</x:v>
      </x:c>
      <x:c r="D64" s="9" t="n">
        <x:f>B64/$E$6</x:f>
        <x:v>0.033213019250253294</x:v>
      </x:c>
      <x:c r="E64" s="2"/>
      <x:c r="F64" s="2"/>
      <x:c r="G64" s="2"/>
    </x:row>
    <x:row r="65" ht="18.75" customHeight="1">
      <x:c r="A65" s="2" t="str">
        <x:v>GWM</x:v>
      </x:c>
      <x:c r="B65" s="8" t="n">
        <x:v>2022</x:v>
      </x:c>
      <x:c r="C65" s="9" t="n">
        <x:f>B65/$C$6</x:f>
        <x:v>0.019205927051671734</x:v>
      </x:c>
      <x:c r="D65" s="9" t="n">
        <x:f>B65/$E$6</x:f>
        <x:v>0.021339918946301925</x:v>
      </x:c>
      <x:c r="E65" s="2"/>
      <x:c r="F65" s="2"/>
      <x:c r="G65" s="2"/>
    </x:row>
    <x:row r="66" ht="18.75" customHeight="1">
      <x:c r="A66" s="2" t="str">
        <x:v>NETA</x:v>
      </x:c>
      <x:c r="B66" s="8" t="n">
        <x:v>266</x:v>
      </x:c>
      <x:c r="C66" s="9" t="n">
        <x:f>B66/$C$6</x:f>
        <x:v>0.0025265957446808512</x:v>
      </x:c>
      <x:c r="D66" s="9" t="n">
        <x:f>B66/$E$6</x:f>
        <x:v>0.0028073286052009458</x:v>
      </x:c>
      <x:c r="E66" s="2"/>
      <x:c r="F66" s="2"/>
      <x:c r="G66" s="2"/>
    </x:row>
    <x:row r="67" ht="18.75" customHeight="1">
      <x:c r="A67" s="2" t="str">
        <x:v>その他中国系</x:v>
      </x:c>
      <x:c r="B67" s="8" t="n">
        <x:v>877</x:v>
      </x:c>
      <x:c r="C67" s="9" t="n">
        <x:f>B67/$C$6</x:f>
        <x:v>0.00833016717325228</x:v>
      </x:c>
      <x:c r="D67" s="9" t="n">
        <x:f>B67/$E$6</x:f>
        <x:v>0.009255741303613644</x:v>
      </x:c>
      <x:c r="E67" s="2"/>
      <x:c r="F67" s="2"/>
      <x:c r="G67" s="2"/>
    </x:row>
    <x:row r="68" ht="18.75" customHeight="1">
      <x:c r="A68" s="2" t="str">
        <x:v>合計</x:v>
      </x:c>
      <x:c r="B68" s="8" t="n">
        <x:f>SUM(B58:B67)</x:f>
        <x:v>94752</x:v>
      </x:c>
      <x:c r="C68" s="9" t="n">
        <x:f>B68/$C$6</x:f>
        <x:v>0.9</x:v>
      </x:c>
      <x:c r="D68" s="9" t="n">
        <x:f>B68/$E$6</x:f>
        <x:v>1</x:v>
      </x:c>
      <x:c r="E68" s="2"/>
      <x:c r="F68" s="2"/>
      <x:c r="G68" s="2"/>
    </x:row>
    <x:row r="69" ht="18.75" customHeight="1">
      <x:c r="A69" s="2"/>
      <x:c r="B69" s="2"/>
      <x:c r="C69" s="2"/>
      <x:c r="D69" s="2"/>
      <x:c r="E69" s="2"/>
      <x:c r="F69" s="2"/>
      <x:c r="G69" s="2"/>
    </x:row>
    <x:row r="70" ht="18.75" customHeight="1">
      <x:c r="A70" s="2" t="str">
        <x:v>上位4グループの中国系内比率</x:v>
      </x:c>
      <x:c r="B70" s="2"/>
      <x:c r="C70" s="9" t="n">
        <x:f>SUM(B58:B61)/$E$6</x:f>
        <x:v>0.7224121918270855</x:v>
      </x:c>
      <x:c r="D70" s="2"/>
      <x:c r="E70" s="2"/>
      <x:c r="F70" s="2"/>
      <x:c r="G70" s="2"/>
    </x:row>
    <x:row r="71" ht="18.75" customHeight="1">
      <x:c r="A71" s="2"/>
      <x:c r="B71" s="2"/>
      <x:c r="C71" s="2"/>
      <x:c r="D71" s="2"/>
      <x:c r="E71" s="2"/>
      <x:c r="F71" s="2"/>
      <x:c r="G71" s="2"/>
    </x:row>
    <x:row r="72" ht="18.75" customHeight="1">
      <x:c r="A72" s="2" t="str">
        <x:v>2026日系HEV登録／2025HEV全体</x:v>
      </x:c>
      <x:c r="B72" s="2"/>
      <x:c r="C72" s="9" t="n">
        <x:f>F7/B7</x:f>
        <x:v>1.2275704131931353</x:v>
      </x:c>
      <x:c r="D72" s="2" t="str">
        <x:v>日系HEVの2026年台数は、前年のHEV全体を上回る。</x:v>
      </x:c>
      <x:c r="E72" s="2"/>
      <x:c r="F72" s="2"/>
      <x:c r="G72" s="2"/>
    </x:row>
    <x:row r="73" ht="18.75" customHeight="1">
      <x:c r="A73" s="2"/>
      <x:c r="B73" s="2"/>
      <x:c r="C73" s="2"/>
      <x:c r="D73" s="2"/>
      <x:c r="E73" s="2"/>
      <x:c r="F73" s="2"/>
      <x:c r="G73" s="2"/>
    </x:row>
    <x:row r="74" ht="18.75" customHeight="1">
      <x:c r="A74" s="2"/>
      <x:c r="B74" s="2"/>
      <x:c r="C74" s="2"/>
      <x:c r="D74" s="2"/>
      <x:c r="E74" s="2"/>
      <x:c r="F74" s="2"/>
      <x:c r="G74" s="2"/>
    </x:row>
    <x:row r="75" ht="18.75" customHeight="1">
      <x:c r="A75" s="2"/>
      <x:c r="B75" s="2"/>
      <x:c r="C75" s="2"/>
      <x:c r="D75" s="2"/>
      <x:c r="E75" s="2"/>
      <x:c r="F75" s="2"/>
      <x:c r="G75" s="2"/>
    </x:row>
    <x:row r="76" ht="18.75" customHeight="1">
      <x:c r="A76" s="2" t="str">
        <x:v>グループ</x:v>
      </x:c>
      <x:c r="B76" s="2" t="str">
        <x:v>全BEV内の比率</x:v>
      </x:c>
      <x:c r="C76" s="2"/>
      <x:c r="D76" s="2"/>
      <x:c r="E76" s="2"/>
      <x:c r="F76" s="2"/>
      <x:c r="G76" s="2"/>
    </x:row>
    <x:row r="77" ht="18.75" customHeight="1">
      <x:c r="A77" s="2" t="str">
        <x:v>BYD</x:v>
      </x:c>
      <x:c r="B77" s="2" t="n">
        <x:f>C58</x:f>
        <x:v>0.2098879179331307</x:v>
      </x:c>
      <x:c r="C77" s="2"/>
      <x:c r="D77" s="2"/>
      <x:c r="E77" s="2"/>
      <x:c r="F77" s="2"/>
      <x:c r="G77" s="2"/>
    </x:row>
    <x:row r="78" ht="18.75" customHeight="1">
      <x:c r="A78" s="2" t="str">
        <x:v>CHERY</x:v>
      </x:c>
      <x:c r="B78" s="2" t="n">
        <x:f>C59</x:f>
        <x:v>0.18460296352583586</x:v>
      </x:c>
      <x:c r="C78" s="2"/>
      <x:c r="D78" s="2"/>
      <x:c r="E78" s="2"/>
      <x:c r="F78" s="2"/>
      <x:c r="G78" s="2"/>
    </x:row>
    <x:row r="79" ht="18.75" customHeight="1">
      <x:c r="A79" s="2" t="str">
        <x:v>MG</x:v>
      </x:c>
      <x:c r="B79" s="2" t="n">
        <x:f>C60</x:f>
        <x:v>0.1434840425531915</x:v>
      </x:c>
      <x:c r="C79" s="2"/>
      <x:c r="D79" s="2"/>
      <x:c r="E79" s="2"/>
      <x:c r="F79" s="2"/>
      <x:c r="G79" s="2"/>
    </x:row>
    <x:row r="80" ht="18.75" customHeight="1">
      <x:c r="A80" s="2" t="str">
        <x:v>AION</x:v>
      </x:c>
      <x:c r="B80" s="2" t="n">
        <x:f>C61</x:f>
        <x:v>0.11219604863221884</x:v>
      </x:c>
      <x:c r="C80" s="2"/>
      <x:c r="D80" s="2"/>
      <x:c r="E80" s="2"/>
      <x:c r="F80" s="2"/>
      <x:c r="G80" s="2"/>
    </x:row>
    <x:row r="81" ht="18.75" customHeight="1">
      <x:c r="A81" s="2" t="str">
        <x:v>ZEEKR</x:v>
      </x:c>
      <x:c r="B81" s="2" t="n">
        <x:f>C62</x:f>
        <x:v>0.09839475683890578</x:v>
      </x:c>
      <x:c r="C81" s="2"/>
      <x:c r="D81" s="2"/>
      <x:c r="E81" s="2"/>
      <x:c r="F81" s="2"/>
      <x:c r="G81" s="2"/>
    </x:row>
    <x:row r="82" ht="18.75" customHeight="1">
      <x:c r="A82" s="2" t="str">
        <x:v>CHANGAN</x:v>
      </x:c>
      <x:c r="B82" s="2" t="n">
        <x:f>C63</x:f>
        <x:v>0.0914798632218845</x:v>
      </x:c>
      <x:c r="C82" s="2"/>
      <x:c r="D82" s="2"/>
      <x:c r="E82" s="2"/>
      <x:c r="F82" s="2"/>
      <x:c r="G82" s="2"/>
    </x:row>
    <x:row r="83" ht="18.75" customHeight="1">
      <x:c r="A83" s="2" t="str">
        <x:v>XPENG</x:v>
      </x:c>
      <x:c r="B83" s="2" t="n">
        <x:f>C64</x:f>
        <x:v>0.029891717325227964</x:v>
      </x:c>
      <x:c r="C83" s="2"/>
      <x:c r="D83" s="2"/>
      <x:c r="E83" s="2"/>
      <x:c r="F83" s="2"/>
      <x:c r="G83" s="2"/>
    </x:row>
    <x:row r="84" ht="18.75" customHeight="1">
      <x:c r="A84" s="2" t="str">
        <x:v>GWM</x:v>
      </x:c>
      <x:c r="B84" s="2" t="n">
        <x:f>C65</x:f>
        <x:v>0.019205927051671734</x:v>
      </x:c>
      <x:c r="C84" s="2"/>
      <x:c r="D84" s="2"/>
      <x:c r="E84" s="2"/>
      <x:c r="F84" s="2"/>
      <x:c r="G84" s="2"/>
    </x:row>
    <x:row r="85" ht="18.75" customHeight="1">
      <x:c r="A85" s="2" t="str">
        <x:v>NETA</x:v>
      </x:c>
      <x:c r="B85" s="2" t="n">
        <x:f>C66</x:f>
        <x:v>0.0025265957446808512</x:v>
      </x:c>
      <x:c r="C85" s="2"/>
      <x:c r="D85" s="2"/>
      <x:c r="E85" s="2"/>
      <x:c r="F85" s="2"/>
      <x:c r="G85" s="2"/>
    </x:row>
    <x:row r="86" ht="18.75" customHeight="1">
      <x:c r="A86" s="2" t="str">
        <x:v>その他中国</x:v>
      </x:c>
      <x:c r="B86" s="2" t="n">
        <x:f>C67</x:f>
        <x:v>0.00833016717325228</x:v>
      </x:c>
      <x:c r="C86" s="2"/>
      <x:c r="D86" s="2"/>
      <x:c r="E86" s="2"/>
      <x:c r="F86" s="2"/>
      <x:c r="G86" s="2"/>
    </x:row>
    <x:row r="87" ht="18.75" customHeight="1">
      <x:c r="A87" s="2"/>
      <x:c r="B87" s="2"/>
      <x:c r="C87" s="2"/>
      <x:c r="D87" s="2"/>
      <x:c r="E87" s="2"/>
      <x:c r="F87" s="2"/>
      <x:c r="G87" s="2"/>
    </x:row>
    <x:row r="88" ht="18.75" customHeight="1">
      <x:c r="A88" s="2"/>
      <x:c r="B88" s="2"/>
      <x:c r="C88" s="2"/>
      <x:c r="D88" s="2"/>
      <x:c r="E88" s="2"/>
      <x:c r="F88" s="2"/>
      <x:c r="G88" s="2"/>
    </x:row>
    <x:row r="89" ht="18.75" customHeight="1">
      <x:c r="A89" s="2"/>
      <x:c r="B89" s="2"/>
      <x:c r="C89" s="2"/>
      <x:c r="D89" s="2"/>
      <x:c r="E89" s="2"/>
      <x:c r="F89" s="2"/>
      <x:c r="G89" s="2"/>
    </x:row>
    <x:row r="90" ht="18.75" customHeight="1">
      <x:c r="A90" s="2"/>
      <x:c r="B90" s="2"/>
      <x:c r="C90" s="2"/>
      <x:c r="D90" s="2"/>
      <x:c r="E90" s="2"/>
      <x:c r="F90" s="2"/>
      <x:c r="G90" s="2"/>
    </x:row>
    <x:row r="91" ht="18.75" customHeight="1">
      <x:c r="A91" s="2"/>
      <x:c r="B91" s="2"/>
      <x:c r="C91" s="2"/>
      <x:c r="D91" s="2"/>
      <x:c r="E91" s="2"/>
      <x:c r="F91" s="2"/>
      <x:c r="G91" s="2"/>
    </x:row>
    <x:row r="92" ht="18.75" customHeight="1">
      <x:c r="A92" s="2"/>
      <x:c r="B92" s="2"/>
      <x:c r="C92" s="2"/>
      <x:c r="D92" s="2"/>
      <x:c r="E92" s="2"/>
      <x:c r="F92" s="2"/>
      <x:c r="G92" s="2"/>
    </x:row>
    <x:row r="93" ht="18.75" customHeight="1">
      <x:c r="A93" s="2"/>
      <x:c r="B93" s="2"/>
      <x:c r="C93" s="2"/>
      <x:c r="D93" s="2"/>
      <x:c r="E93" s="2"/>
      <x:c r="F93" s="2"/>
      <x:c r="G93" s="2"/>
    </x:row>
    <x:row r="94" ht="18.75" customHeight="1">
      <x:c r="A94" s="2"/>
      <x:c r="B94" s="2"/>
      <x:c r="C94" s="2"/>
      <x:c r="D94" s="2"/>
      <x:c r="E94" s="2"/>
      <x:c r="F94" s="2"/>
      <x:c r="G94" s="2"/>
    </x:row>
    <x:row r="95" ht="18.75" customHeight="1">
      <x:c r="A95" s="2"/>
      <x:c r="B95" s="2"/>
      <x:c r="C95" s="2"/>
      <x:c r="D95" s="2"/>
      <x:c r="E95" s="2"/>
      <x:c r="F95" s="2"/>
      <x:c r="G95" s="2"/>
    </x:row>
    <x:row r="96" ht="18.75" customHeight="1">
      <x:c r="A96" s="2"/>
      <x:c r="B96" s="2"/>
      <x:c r="C96" s="2"/>
      <x:c r="D96" s="2"/>
      <x:c r="E96" s="2"/>
      <x:c r="F96" s="2"/>
      <x:c r="G96" s="2"/>
    </x:row>
    <x:row r="97" ht="18.75" customHeight="1">
      <x:c r="A97" s="2"/>
      <x:c r="B97" s="2"/>
      <x:c r="C97" s="2"/>
      <x:c r="D97" s="2"/>
      <x:c r="E97" s="2"/>
      <x:c r="F97" s="2"/>
      <x:c r="G97" s="2"/>
    </x:row>
    <x:row r="98" ht="18.75" customHeight="1">
      <x:c r="A98" s="2"/>
      <x:c r="B98" s="2"/>
      <x:c r="C98" s="2"/>
      <x:c r="D98" s="2"/>
      <x:c r="E98" s="2"/>
      <x:c r="F98" s="2"/>
      <x:c r="G98" s="2"/>
    </x:row>
  </x:sheetData>
  <x:mergeCells>
    <x:mergeCell ref="F13:G15"/>
  </x:mergeCells>
  <x:pageMargins left="0.7" right="0.7" top="0.75" bottom="0.75" header="0.3" footer="0.3"/>
  <x:drawing xmlns:r="http://schemas.openxmlformats.org/officeDocument/2006/relationships" r:id="Rbb4a960ad6bc45d1"/>
</x:worksheet>
</file>

<file path=xl/worksheets/sheet3.xml><?xml version="1.0" encoding="utf-8"?>
<x:worksheet xmlns:x="http://schemas.openxmlformats.org/spreadsheetml/2006/main">
  <x:sheetPr>
    <x:tabColor rgb="FF287FB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.21999979019165" hidden="0" customWidth="1"/>
    <x:col min="2" max="2" width="16.670000076293945" hidden="0" customWidth="1"/>
    <x:col min="3" max="3" width="16.670000076293945" hidden="0" customWidth="1"/>
    <x:col min="4" max="4" width="15" hidden="0" customWidth="1"/>
    <x:col min="5" max="5" width="22.219999313354492" hidden="0" customWidth="1"/>
    <x:col min="6" max="6" width="40" hidden="0" customWidth="1"/>
    <x:col min="7" max="7" width="38.88999938964844" hidden="0" customWidth="1"/>
    <x:col min="8" max="8" width="38.88999938964844" hidden="0" customWidth="1"/>
    <x:col min="9" max="9" width="16.110000610351562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18.75" customHeight="1">
      <x:c r="A2" s="3" t="str">
        <x:v>モデル改良の内容</x:v>
      </x:c>
      <x:c r="B2" s="2"/>
      <x:c r="C2" s="2"/>
      <x:c r="D2" s="2"/>
      <x:c r="E2" s="2"/>
      <x:c r="F2" s="2"/>
      <x:c r="G2" s="2"/>
      <x:c r="H2" s="2"/>
      <x:c r="I2" s="2"/>
    </x:row>
    <x:row r="3" ht="22.5" customHeight="1">
      <x:c r="A3" s="2" t="str">
        <x:v>車体・電池・充電・装備・価格の変更を区別。メーカーがいう新型を一律に全面刷新と数えません。</x:v>
      </x:c>
      <x:c r="B3" s="2"/>
      <x:c r="C3" s="2"/>
      <x:c r="D3" s="2"/>
      <x:c r="E3" s="2"/>
      <x:c r="F3" s="2"/>
      <x:c r="G3" s="2"/>
      <x:c r="H3" s="2"/>
      <x:c r="I3" s="2"/>
    </x:row>
    <x:row r="4" ht="18.7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6" t="str">
        <x:v>ID</x:v>
      </x:c>
      <x:c r="B5" s="6" t="str">
        <x:v>企業</x:v>
      </x:c>
      <x:c r="C5" s="6" t="str">
        <x:v>車系</x:v>
      </x:c>
      <x:c r="D5" s="6" t="str">
        <x:v>時期</x:v>
      </x:c>
      <x:c r="E5" s="6" t="str">
        <x:v>分類</x:v>
      </x:c>
      <x:c r="F5" s="6" t="str">
        <x:v>外装・内装・装備</x:v>
      </x:c>
      <x:c r="G5" s="6" t="str">
        <x:v>電池・駆動系</x:v>
      </x:c>
      <x:c r="H5" s="6" t="str">
        <x:v>価格・解釈</x:v>
      </x:c>
      <x:c r="I5" s="6" t="str">
        <x:v>出典ID</x:v>
      </x:c>
    </x:row>
    <x:row r="6" ht="61.5" customHeight="1">
      <x:c r="A6" s="7" t="str">
        <x:v>C01</x:v>
      </x:c>
      <x:c r="B6" s="7" t="str">
        <x:v>BYD</x:v>
      </x:c>
      <x:c r="C6" s="7" t="str">
        <x:v>ATTO 3</x:v>
      </x:c>
      <x:c r="D6" s="7" t="str">
        <x:v>2024-02</x:v>
      </x:c>
      <x:c r="E6" s="7" t="str">
        <x:v>年次改良・グレード再編</x:v>
      </x:c>
      <x:c r="F6" s="7" t="str">
        <x:v>Cピラー色、ロゴ、タイヤ / 内装色、上位画面12.8→15.6型</x:v>
      </x:c>
      <x:c r="G6" s="7" t="str">
        <x:v>容量49.92→50.25。NEDC410は維持</x:v>
      </x:c>
      <x:c r="H6" s="7" t="str">
        <x:v>価格再編。装備差を含む / 大幅な航続改善は確認できない</x:v>
      </x:c>
      <x:c r="I6" s="7" t="str">
        <x:v>S01,S02</x:v>
      </x:c>
    </x:row>
    <x:row r="7" ht="61.5" customHeight="1">
      <x:c r="A7" s="7" t="str">
        <x:v>C02</x:v>
      </x:c>
      <x:c r="B7" s="7" t="str">
        <x:v>BYD</x:v>
      </x:c>
      <x:c r="C7" s="7" t="str">
        <x:v>ATTO 3</x:v>
      </x:c>
      <x:c r="D7" s="7" t="str">
        <x:v>2024-03</x:v>
      </x:c>
      <x:c r="E7" s="7" t="str">
        <x:v>年次改良</x:v>
      </x:c>
      <x:c r="F7" s="7" t="str">
        <x:v>色、ロゴ、タイヤの小変更 / 15.6型画面、内装色</x:v>
      </x:c>
      <x:c r="G7" s="7" t="str">
        <x:v>60.48 kWh / 480 km NEDCを維持</x:v>
      </x:c>
      <x:c r="H7" s="7" t="str">
        <x:v>2024年7月に同じMY23が大幅値下げ / 装備改良と価格変更を分ける</x:v>
      </x:c>
      <x:c r="I7" s="7" t="str">
        <x:v>S01,S02,S40</x:v>
      </x:c>
    </x:row>
    <x:row r="8" ht="61.5" customHeight="1">
      <x:c r="A8" s="7" t="str">
        <x:v>C03</x:v>
      </x:c>
      <x:c r="B8" s="7" t="str">
        <x:v>BYD</x:v>
      </x:c>
      <x:c r="C8" s="7" t="str">
        <x:v>DOLPHIN</x:v>
      </x:c>
      <x:c r="D8" s="7" t="str">
        <x:v>2024-07〜09</x:v>
      </x:c>
      <x:c r="E8" s="7" t="str">
        <x:v>年次改良・現地生産化</x:v>
      </x:c>
      <x:c r="F8" s="7" t="str">
        <x:v>新色。基本形状は継続 / 装備・生産仕様の更新</x:v>
      </x:c>
      <x:c r="G8" s="7" t="str">
        <x:v>44.9→50.25 kWh、410→435 km NEDC</x:v>
      </x:c>
      <x:c r="H8" s="7" t="str">
        <x:v>2024年9月MSRP569,900 THB / 容量増加12%に対し航続増は6%</x:v>
      </x:c>
      <x:c r="I8" s="7" t="str">
        <x:v>S03,S04,S05</x:v>
      </x:c>
    </x:row>
    <x:row r="9" ht="61.5" customHeight="1">
      <x:c r="A9" s="7" t="str">
        <x:v>C04</x:v>
      </x:c>
      <x:c r="B9" s="7" t="str">
        <x:v>BYD</x:v>
      </x:c>
      <x:c r="C9" s="7" t="str">
        <x:v>DOLPHIN</x:v>
      </x:c>
      <x:c r="D9" s="7" t="str">
        <x:v>2024-07〜09</x:v>
      </x:c>
      <x:c r="E9" s="7" t="str">
        <x:v>年次改良・現地生産化</x:v>
      </x:c>
      <x:c r="F9" s="7" t="str">
        <x:v>ツートーンから単色へ、新色 / 装備・生産仕様の更新</x:v>
      </x:c>
      <x:c r="G9" s="7" t="str">
        <x:v>60.48 kWh / 490 km NEDC</x:v>
      </x:c>
      <x:c r="H9" s="7" t="str">
        <x:v>2024年9月MSRP709,900 THB / 同じ車系でも上位/下位の改良内容が違う</x:v>
      </x:c>
      <x:c r="I9" s="7" t="str">
        <x:v>S03,S04,S05</x:v>
      </x:c>
    </x:row>
    <x:row r="10" ht="61.5" customHeight="1">
      <x:c r="A10" s="7" t="str">
        <x:v>C05</x:v>
      </x:c>
      <x:c r="B10" s="7" t="str">
        <x:v>BYD</x:v>
      </x:c>
      <x:c r="C10" s="7" t="str">
        <x:v>SEAL</x:v>
      </x:c>
      <x:c r="D10" s="7" t="str">
        <x:v>2026確認時点</x:v>
      </x:c>
      <x:c r="E10" s="7" t="str">
        <x:v>タイの世代交代は未確認</x:v>
      </x:c>
      <x:c r="F10" s="7" t="str">
        <x:v>中国で発表された新型とは区別 / 中国専用LiDAR等を転記しない</x:v>
      </x:c>
      <x:c r="G10" s="7" t="str">
        <x:v>タイ旧新の同条件比較が不足</x:v>
      </x:c>
      <x:c r="H10" s="7" t="str">
        <x:v>値下げをモデルチェンジとして数えない / 改良未確認は『改良なし』の断定ではない</x:v>
      </x:c>
      <x:c r="I10" s="7" t="str">
        <x:v>S49</x:v>
      </x:c>
    </x:row>
    <x:row r="11" ht="61.5" customHeight="1">
      <x:c r="A11" s="7" t="str">
        <x:v>C06</x:v>
      </x:c>
      <x:c r="B11" s="7" t="str">
        <x:v>SAIC</x:v>
      </x:c>
      <x:c r="C11" s="7" t="str">
        <x:v>MG4</x:v>
      </x:c>
      <x:c r="D11" s="7" t="str">
        <x:v>2024-03</x:v>
      </x:c>
      <x:c r="E11" s="7" t="str">
        <x:v>年次改良・現地生産化</x:v>
      </x:c>
      <x:c r="F11" s="7" t="str">
        <x:v>基本車体を継続。後部ワイパー等 / 12型画面等（MY2024冊子）</x:v>
      </x:c>
      <x:c r="G11" s="7" t="str">
        <x:v>51→49 kWh、425→423 km NEDC</x:v>
      </x:c>
      <x:c r="H11" s="7" t="str">
        <x:v>価格・グレード構成を改定 / 容量も航続も増えていない</x:v>
      </x:c>
      <x:c r="I11" s="7" t="str">
        <x:v>S06,S07</x:v>
      </x:c>
    </x:row>
    <x:row r="12" ht="61.5" customHeight="1">
      <x:c r="A12" s="7" t="str">
        <x:v>C07</x:v>
      </x:c>
      <x:c r="B12" s="7" t="str">
        <x:v>SAIC</x:v>
      </x:c>
      <x:c r="C12" s="7" t="str">
        <x:v>MG4</x:v>
      </x:c>
      <x:c r="D12" s="7" t="str">
        <x:v>2024-03</x:v>
      </x:c>
      <x:c r="E12" s="7" t="str">
        <x:v>グレード追加</x:v>
      </x:c>
      <x:c r="F12" s="7" t="str">
        <x:v>Long Rangeのホイール・XPOWER装飾 / グレード別の装備を追加</x:v>
      </x:c>
      <x:c r="G12" s="7" t="str">
        <x:v>Vは64 kWh/540 km、XPOWERはAWD</x:v>
      </x:c>
      <x:c r="H12" s="7" t="str">
        <x:v>より長距離/高出力の選択肢を追加 / 追加仕様をフルモデル変更と数えない</x:v>
      </x:c>
      <x:c r="I12" s="7" t="str">
        <x:v>S07</x:v>
      </x:c>
    </x:row>
    <x:row r="13" ht="61.5" customHeight="1">
      <x:c r="A13" s="7" t="str">
        <x:v>C08</x:v>
      </x:c>
      <x:c r="B13" s="7" t="str">
        <x:v>SAIC</x:v>
      </x:c>
      <x:c r="C13" s="7" t="str">
        <x:v>MG4</x:v>
      </x:c>
      <x:c r="D13" s="7" t="str">
        <x:v>2026 MY</x:v>
      </x:c>
      <x:c r="E13" s="7" t="str">
        <x:v>マイナー改良・グレード再編</x:v>
      </x:c>
      <x:c r="F13" s="7" t="str">
        <x:v>基本ボディ・NEBULAを継続 / 新しいコンソル・内装</x:v>
      </x:c>
      <x:c r="G13" s="7" t="str">
        <x:v>64→62.2 kWh、540 km NEDCを維持</x:v>
      </x:c>
      <x:c r="H13" s="7" t="str">
        <x:v>現行価格と発売時特価は分ける / 同等航続を小さな電池で実現</x:v>
      </x:c>
      <x:c r="I13" s="7" t="str">
        <x:v>S07,S08</x:v>
      </x:c>
    </x:row>
    <x:row r="14" ht="61.5" customHeight="1">
      <x:c r="A14" s="7" t="str">
        <x:v>C09</x:v>
      </x:c>
      <x:c r="B14" s="7" t="str">
        <x:v>SAIC</x:v>
      </x:c>
      <x:c r="C14" s="7" t="str">
        <x:v>MG URBAN</x:v>
      </x:c>
      <x:c r="D14" s="7" t="str">
        <x:v>2026確認時点</x:v>
      </x:c>
      <x:c r="E14" s="7" t="str">
        <x:v>新規投入（別車系）</x:v>
      </x:c>
      <x:c r="F14" s="7" t="str">
        <x:v>車体デザインを新規設計 / 15.6型画面等</x:v>
      </x:c>
      <x:c r="G14" s="7" t="str">
        <x:v>E3プラットフォーム、Cell-to-Body</x:v>
      </x:c>
      <x:c r="H14" s="7" t="str">
        <x:v>現行MSRP579,900 THBから / タイではMG4 MY2026と併売。MG4の世代交代件数に入れない</x:v>
      </x:c>
      <x:c r="I14" s="7" t="str">
        <x:v>S08,S09</x:v>
      </x:c>
    </x:row>
    <x:row r="15" ht="61.5" customHeight="1">
      <x:c r="A15" s="7" t="str">
        <x:v>C10</x:v>
      </x:c>
      <x:c r="B15" s="7" t="str">
        <x:v>GWM</x:v>
      </x:c>
      <x:c r="C15" s="7" t="str">
        <x:v>ORA Good Cat</x:v>
      </x:c>
      <x:c r="D15" s="7" t="str">
        <x:v>2024-01</x:v>
      </x:c>
      <x:c r="E15" s="7" t="str">
        <x:v>年次改良・現地生産化</x:v>
      </x:c>
      <x:c r="F15" s="7" t="str">
        <x:v>基本レトロ形状を継続 / シフト位置、ステアリング調整、50W充電</x:v>
      </x:c>
      <x:c r="G15" s="7" t="str">
        <x:v>500系NMC→57.7 kWh LFP。500→480 km</x:v>
      </x:c>
      <x:c r="H15" s="7" t="str">
        <x:v>現地電池SVOLTへ / 上位は航続が減る。充電・安全・供給構成を改善</x:v>
      </x:c>
      <x:c r="I15" s="7" t="str">
        <x:v>S10,S11</x:v>
      </x:c>
    </x:row>
    <x:row r="16" ht="61.5" customHeight="1">
      <x:c r="A16" s="7" t="str">
        <x:v>C11</x:v>
      </x:c>
      <x:c r="B16" s="7" t="str">
        <x:v>GWM</x:v>
      </x:c>
      <x:c r="C16" s="7" t="str">
        <x:v>ORA 5</x:v>
      </x:c>
      <x:c r="D16" s="7" t="str">
        <x:v>2026確認時点</x:v>
      </x:c>
      <x:c r="E16" s="7" t="str">
        <x:v>別名の後継投入</x:v>
      </x:c>
      <x:c r="F16" s="7" t="str">
        <x:v>ハッチバックからSUVへ / 新しい車内設計</x:v>
      </x:c>
      <x:c r="G16" s="7" t="str">
        <x:v>58.3 kWh / 520 km NEDC、15-in-1駆動系</x:v>
      </x:c>
      <x:c r="H16" s="7" t="str">
        <x:v>新しい車格・商品へ / Good Cat同名のフルモデル変更と分けて記録</x:v>
      </x:c>
      <x:c r="I16" s="7" t="str">
        <x:v>S11,S12,S50</x:v>
      </x:c>
    </x:row>
    <x:row r="17" ht="61.5" customHeight="1">
      <x:c r="A17" s="7" t="str">
        <x:v>C12</x:v>
      </x:c>
      <x:c r="B17" s="7" t="str">
        <x:v>CHANGAN</x:v>
      </x:c>
      <x:c r="C17" s="7" t="str">
        <x:v>DEEPAL S07</x:v>
      </x:c>
      <x:c r="D17" s="7" t="str">
        <x:v>2025-10</x:v>
      </x:c>
      <x:c r="E17" s="7" t="str">
        <x:v>技術改良・外装小変更</x:v>
      </x:c>
      <x:c r="F17" s="7" t="str">
        <x:v>新ホイール、外装の小変更 / 快適性・装備を更新</x:v>
      </x:c>
      <x:c r="G17" s="7" t="str">
        <x:v>68.8 kWh LFP。30–80%15分、DC167 kW</x:v>
      </x:c>
      <x:c r="H17" s="7" t="str">
        <x:v>希望1,219,000、早期1,099,000 THB / 電池種類・充電と足回りが重要。寿命改善の比較実測なし</x:v>
      </x:c>
      <x:c r="I17" s="7" t="str">
        <x:v>S13,S14,S15</x:v>
      </x:c>
    </x:row>
    <x:row r="18" ht="61.5" customHeight="1">
      <x:c r="A18" s="7" t="str">
        <x:v>C13</x:v>
      </x:c>
      <x:c r="B18" s="7" t="str">
        <x:v>GAC</x:v>
      </x:c>
      <x:c r="C18" s="7" t="str">
        <x:v>AION Y Plus</x:v>
      </x:c>
      <x:c r="D18" s="7" t="str">
        <x:v>2024-11</x:v>
      </x:c>
      <x:c r="E18" s="7" t="str">
        <x:v>価格施策（改良件数から除外）</x:v>
      </x:c>
      <x:c r="F18" s="7" t="str">
        <x:v>告知は価格施策 / 告知は価格施策</x:v>
      </x:c>
      <x:c r="G18" s="7" t="str">
        <x:v>当該告知だけでは技術改良を判断できない</x:v>
      </x:c>
      <x:c r="H18" s="7" t="str">
        <x:v>490:995,900→829,900。410:859,900→769,900 / 新車値下げと技術更新は別のイベント</x:v>
      </x:c>
      <x:c r="I18" s="7" t="str">
        <x:v>S16,S17</x:v>
      </x:c>
    </x:row>
    <x:row r="19" ht="61.5" customHeight="1">
      <x:c r="A19" s="7" t="str">
        <x:v>C14</x:v>
      </x:c>
      <x:c r="B19" s="7" t="str">
        <x:v>Hozon/NETA</x:v>
      </x:c>
      <x:c r="C19" s="7" t="str">
        <x:v>NETA V / V-II</x:v>
      </x:c>
      <x:c r="D19" s="7" t="str">
        <x:v>2024-03</x:v>
      </x:c>
      <x:c r="E19" s="7" t="str">
        <x:v>マイナー改良・現地生産化</x:v>
      </x:c>
      <x:c r="F19" s="7" t="str">
        <x:v>外装とカラーを変更 / CarPlay、14.6型画面等</x:v>
      </x:c>
      <x:c r="G19" s="7" t="str">
        <x:v>382 km NEDC。SMARTにADAS8機能とV2L</x:v>
      </x:c>
      <x:c r="H19" s="7" t="str">
        <x:v>発表予価549,000/569,000 THB / 航続増加が改良の中心とは確認できない</x:v>
      </x:c>
      <x:c r="I19" s="7" t="str">
        <x:v>S18</x:v>
      </x:c>
    </x:row>
    <x:row r="20" ht="61.5" customHeight="1">
      <x:c r="A20" s="7" t="str">
        <x:v>C15</x:v>
      </x:c>
      <x:c r="B20" s="7" t="str">
        <x:v>XPENG</x:v>
      </x:c>
      <x:c r="C20" s="7" t="str">
        <x:v>G6</x:v>
      </x:c>
      <x:c r="D20" s="7" t="str">
        <x:v>2025年8月版</x:v>
      </x:c>
      <x:c r="E20" s="7" t="str">
        <x:v>マイナー改良（外内装・電池）</x:v>
      </x:c>
      <x:c r="F20" s="7" t="str">
        <x:v>前面のライトバー、スポイラー / シート快適性、ワイヤレス充電等</x:v>
      </x:c>
      <x:c r="G20" s="7" t="str">
        <x:v>87.5 NMC→80.8 LFP。5C・10–80%12分</x:v>
      </x:c>
      <x:c r="H20" s="7" t="str">
        <x:v>価格と仕様を同時に更新 / 旧輸出仕様570→新タイ525 km WLTP。航続より充電速度</x:v>
      </x:c>
      <x:c r="I20" s="7" t="str">
        <x:v>S19,S20,S21,S22,S23</x:v>
      </x:c>
    </x:row>
    <x:row r="21" ht="61.5" customHeight="1">
      <x:c r="A21" s="7" t="str">
        <x:v>C16</x:v>
      </x:c>
      <x:c r="B21" s="7" t="str">
        <x:v>Geely/ZEEKR</x:v>
      </x:c>
      <x:c r="C21" s="7" t="str">
        <x:v>ZEEKR X</x:v>
      </x:c>
      <x:c r="D21" s="7" t="str">
        <x:v>2026-03</x:v>
      </x:c>
      <x:c r="E21" s="7" t="str">
        <x:v>年次改良（内装・駆動系）</x:v>
      </x:c>
      <x:c r="F21" s="7" t="str">
        <x:v>基本の都市型SUV形状 / Art Decoシート、快適装備</x:v>
      </x:c>
      <x:c r="G21" s="7" t="str">
        <x:v>489 hp、66 kWh NMC、470 km NEDC</x:v>
      </x:c>
      <x:c r="H21" s="7" t="str">
        <x:v>価格・駆動仕様を再編 / 電池容量増大や寿命改善を根拠なく推定しない</x:v>
      </x:c>
      <x:c r="I21" s="7" t="str">
        <x:v>S24,S25</x:v>
      </x:c>
    </x:row>
    <x:row r="22" ht="61.5" customHeight="1">
      <x:c r="A22" s="7" t="str">
        <x:v>C17</x:v>
      </x:c>
      <x:c r="B22" s="7" t="str">
        <x:v>Chery</x:v>
      </x:c>
      <x:c r="C22" s="7" t="str">
        <x:v>OMODA C5 EV</x:v>
      </x:c>
      <x:c r="D22" s="7" t="str">
        <x:v>2026年9月仕様</x:v>
      </x:c>
      <x:c r="E22" s="7" t="str">
        <x:v>外内装・電池改良（世代交代未確定）</x:v>
      </x:c>
      <x:c r="F22" s="7" t="str">
        <x:v>ROBO SHARKの前面、全長変更 / 15.6型画面、マッサージ等</x:v>
      </x:c>
      <x:c r="G22" s="7" t="str">
        <x:v>61→50.6 kWh、505→422 km NEDC</x:v>
      </x:c>
      <x:c r="H22" s="7" t="str">
        <x:v>MSRP709,000、9月限定649,000 THB / 容量・航続を縮小し低価格帯へ再配置</x:v>
      </x:c>
      <x:c r="I22" s="7" t="str">
        <x:v>S26,S27</x:v>
      </x:c>
    </x:row>
    <x:row r="23" ht="61.5" customHeight="1">
      <x:c r="A23" s="7" t="str">
        <x:v>C18</x:v>
      </x:c>
      <x:c r="B23" s="7" t="str">
        <x:v>SAIC</x:v>
      </x:c>
      <x:c r="C23" s="7" t="str">
        <x:v>MG3</x:v>
      </x:c>
      <x:c r="D23" s="7" t="str">
        <x:v>2024-08</x:v>
      </x:c>
      <x:c r="E23" s="7" t="str">
        <x:v>フルモデルチェンジ</x:v>
      </x:c>
      <x:c r="F23" s="7" t="str">
        <x:v>車体・外装を全面刷新 / 車内・ディスプレイ・安全装備を刷新</x:v>
      </x:c>
      <x:c r="G23" s="7" t="str">
        <x:v>新1.5L HEV、1.83 kWh、194 PS</x:v>
      </x:c>
      <x:c r="H23" s="7" t="str">
        <x:v>2024/8/20タイ発売 / 中国車でも全面刷新は電池だけで説明できない</x:v>
      </x:c>
      <x:c r="I23" s="7" t="str">
        <x:v>S28,S29</x:v>
      </x:c>
    </x:row>
    <x:row r="24" ht="18.7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18.75" customHeight="1">
      <x:c r="A25" s="2" t="str">
        <x:v>日系の比較</x:v>
      </x:c>
      <x:c r="B25" s="2"/>
      <x:c r="C25" s="2"/>
      <x:c r="D25" s="2"/>
      <x:c r="E25" s="2"/>
      <x:c r="F25" s="2"/>
      <x:c r="G25" s="2"/>
      <x:c r="H25" s="2"/>
      <x:c r="I25" s="2"/>
    </x:row>
    <x:row r="26" ht="18.7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6" customHeight="1">
      <x:c r="A27" s="6" t="str">
        <x:v>ID</x:v>
      </x:c>
      <x:c r="B27" s="6" t="str">
        <x:v>メーカー</x:v>
      </x:c>
      <x:c r="C27" s="6" t="str">
        <x:v>車系</x:v>
      </x:c>
      <x:c r="D27" s="6" t="str">
        <x:v>時期</x:v>
      </x:c>
      <x:c r="E27" s="6" t="str">
        <x:v>分類</x:v>
      </x:c>
      <x:c r="F27" s="6" t="str">
        <x:v>外装・内装</x:v>
      </x:c>
      <x:c r="G27" s="6" t="str">
        <x:v>駆動系</x:v>
      </x:c>
      <x:c r="H27" s="6" t="str">
        <x:v>比較の意味</x:v>
      </x:c>
      <x:c r="I27" s="6" t="str">
        <x:v>出典ID</x:v>
      </x:c>
    </x:row>
    <x:row r="28" ht="60" customHeight="1">
      <x:c r="A28" s="7" t="str">
        <x:v>J01</x:v>
      </x:c>
      <x:c r="B28" s="7" t="str">
        <x:v>Toyota</x:v>
      </x:c>
      <x:c r="C28" s="7" t="str">
        <x:v>Corolla Cross</x:v>
      </x:c>
      <x:c r="D28" s="7" t="str">
        <x:v>2020→2024-02</x:v>
      </x:c>
      <x:c r="E28" s="7" t="str">
        <x:v>マイナー</x:v>
      </x:c>
      <x:c r="F28" s="7" t="str">
        <x:v>グリル・灯火・画面・EPB・屋根等</x:v>
      </x:c>
      <x:c r="G28" s="7" t="str">
        <x:v>1.8L HEV 122 PSを継続</x:v>
      </x:c>
      <x:c r="H28" s="7" t="str">
        <x:v>燃費改善の直接比較は保留 / 外内装・装備中心の例</x:v>
      </x:c>
      <x:c r="I28" s="7" t="str">
        <x:v>S30,S31</x:v>
      </x:c>
    </x:row>
    <x:row r="29" ht="60" customHeight="1">
      <x:c r="A29" s="7" t="str">
        <x:v>J02</x:v>
      </x:c>
      <x:c r="B29" s="7" t="str">
        <x:v>Honda</x:v>
      </x:c>
      <x:c r="C29" s="7" t="str">
        <x:v>HR-V</x:v>
      </x:c>
      <x:c r="D29" s="7" t="str">
        <x:v>2021→2024-11</x:v>
      </x:c>
      <x:c r="E29" s="7" t="str">
        <x:v>マイナー</x:v>
      </x:c>
      <x:c r="F29" s="7" t="str">
        <x:v>グリル・ランプ・コンソル・8型画面・安全装備</x:v>
      </x:c>
      <x:c r="G29" s="7" t="str">
        <x:v>1.5L e:HEV、253 Nm</x:v>
      </x:c>
      <x:c r="H29" s="7" t="str">
        <x:v>改良前冊子と2024改良発表の公表値 / 外内装・装備中心の例。2026値は認証条件が違う</x:v>
      </x:c>
      <x:c r="I29" s="7" t="str">
        <x:v>S32,S33,S34</x:v>
      </x:c>
    </x:row>
    <x:row r="30" ht="60" customHeight="1">
      <x:c r="A30" s="7" t="str">
        <x:v>J03</x:v>
      </x:c>
      <x:c r="B30" s="7" t="str">
        <x:v>Nissan</x:v>
      </x:c>
      <x:c r="C30" s="7" t="str">
        <x:v>KICKS</x:v>
      </x:c>
      <x:c r="D30" s="7" t="str">
        <x:v>2020→2022-07</x:v>
      </x:c>
      <x:c r="E30" s="7" t="str">
        <x:v>パワトレ改良</x:v>
      </x:c>
      <x:c r="F30" s="7" t="str">
        <x:v>コンソル・AUTECH・安全装備</x:v>
      </x:c>
      <x:c r="G30" s="7" t="str">
        <x:v>第2世代e-POWER、2.06 kWh、136 PS</x:v>
      </x:c>
      <x:c r="H30" s="7" t="str">
        <x:v>23.8は総合。26.3は市街地 / HEVでも外観変更以外の技術改良がある</x:v>
      </x:c>
      <x:c r="I30" s="7" t="str">
        <x:v>S35</x:v>
      </x:c>
    </x:row>
    <x:row r="31" ht="60" customHeight="1">
      <x:c r="A31" s="7" t="str">
        <x:v>J04</x:v>
      </x:c>
      <x:c r="B31" s="7" t="str">
        <x:v>Toyota</x:v>
      </x:c>
      <x:c r="C31" s="7" t="str">
        <x:v>Camry</x:v>
      </x:c>
      <x:c r="D31" s="7" t="str">
        <x:v>旧世代→2024-10</x:v>
      </x:c>
      <x:c r="E31" s="7" t="str">
        <x:v>フルモデルチェンジ</x:v>
      </x:c>
      <x:c r="F31" s="7" t="str">
        <x:v>外内装・車体・安全装備の刷新</x:v>
      </x:c>
      <x:c r="G31" s="7" t="str">
        <x:v>新ハイブリッド、227 PS</x:v>
      </x:c>
      <x:c r="H31" s="7" t="str">
        <x:v>メーカー公表値。旧同条件値は未取得 / 全面刷新ではHEVにも大きな技術変更がある</x:v>
      </x:c>
      <x:c r="I31" s="7" t="str">
        <x:v>S36</x:v>
      </x:c>
    </x:row>
    <x:row r="32" ht="60" customHeight="1">
      <x:c r="A32" s="7" t="str">
        <x:v>J05</x:v>
      </x:c>
      <x:c r="B32" s="7" t="str">
        <x:v>Toyota</x:v>
      </x:c>
      <x:c r="C32" s="7" t="str">
        <x:v>Yaris ATIV</x:v>
      </x:c>
      <x:c r="D32" s="7" t="str">
        <x:v>旧世代→2022</x:v>
      </x:c>
      <x:c r="E32" s="7" t="str">
        <x:v>フルモデルチェンジ</x:v>
      </x:c>
      <x:c r="F32" s="7" t="str">
        <x:v>車体・内装・安全装備の刷新</x:v>
      </x:c>
      <x:c r="G32" s="7" t="str">
        <x:v>1.2L ICE仕様</x:v>
      </x:c>
      <x:c r="H32" s="7" t="str">
        <x:v>旧新の同条件公表燃費は未取得 / ICEでも車体・安全等を全面更新</x:v>
      </x:c>
      <x:c r="I32" s="7" t="str">
        <x:v>S39</x:v>
      </x:c>
    </x:row>
    <x:row r="33" ht="60" customHeight="1">
      <x:c r="A33" s="7" t="str">
        <x:v>J06</x:v>
      </x:c>
      <x:c r="B33" s="7" t="str">
        <x:v>Toyota</x:v>
      </x:c>
      <x:c r="C33" s="7" t="str">
        <x:v>Yaris ATIV</x:v>
      </x:c>
      <x:c r="D33" s="7" t="str">
        <x:v>2022車系→2025-08</x:v>
      </x:c>
      <x:c r="E33" s="7" t="str">
        <x:v>パワトレ追加</x:v>
      </x:c>
      <x:c r="F33" s="7" t="str">
        <x:v>GR Sport等を追加</x:v>
      </x:c>
      <x:c r="G33" s="7" t="str">
        <x:v>1.5L HEV 111 PSを追加</x:v>
      </x:c>
      <x:c r="H33" s="7" t="str">
        <x:v>新HEVのECO Sticker公表値 / 同名車系にHEVを追加。フルモデル変更ではない</x:v>
      </x:c>
      <x:c r="I33" s="7" t="str">
        <x:v>S37</x:v>
      </x:c>
    </x:row>
    <x:row r="34" ht="60" customHeight="1">
      <x:c r="A34" s="7" t="str">
        <x:v>J07</x:v>
      </x:c>
      <x:c r="B34" s="7" t="str">
        <x:v>Nissan</x:v>
      </x:c>
      <x:c r="C34" s="7" t="str">
        <x:v>Almera</x:v>
      </x:c>
      <x:c r="D34" s="7" t="str">
        <x:v>2019車系→2023-05</x:v>
      </x:c>
      <x:c r="E34" s="7" t="str">
        <x:v>マイナー</x:v>
      </x:c>
      <x:c r="F34" s="7" t="str">
        <x:v>V-motion外装、NissanConnect、安全装備</x:v>
      </x:c>
      <x:c r="G34" s="7" t="str">
        <x:v>1.0Lターボを継続</x:v>
      </x:c>
      <x:c r="H34" s="7" t="str">
        <x:v>改良後メーカー公表値 / 外観・接続・安全装備中心のICE例</x:v>
      </x:c>
      <x:c r="I34" s="7" t="str">
        <x:v>S38</x:v>
      </x:c>
    </x:row>
    <x:row r="35" ht="18.7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18.7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6" customHeight="1">
      <x:c r="A37" s="6" t="str">
        <x:v>比較仕様</x:v>
      </x:c>
      <x:c r="B37" s="6" t="str">
        <x:v>旧容量 kWh</x:v>
      </x:c>
      <x:c r="C37" s="6" t="str">
        <x:v>新容量 kWh</x:v>
      </x:c>
      <x:c r="D37" s="6" t="str">
        <x:v>変化率</x:v>
      </x:c>
      <x:c r="E37" s="2"/>
      <x:c r="F37" s="2"/>
      <x:c r="G37" s="2"/>
      <x:c r="H37" s="2"/>
      <x:c r="I37" s="2"/>
    </x:row>
    <x:row r="38" ht="18.75" customHeight="1">
      <x:c r="A38" s="2" t="str">
        <x:v>DOLPHIN Std</x:v>
      </x:c>
      <x:c r="B38" s="10" t="n">
        <x:v>44.9</x:v>
      </x:c>
      <x:c r="C38" s="10" t="n">
        <x:v>50.25</x:v>
      </x:c>
      <x:c r="D38" s="9" t="n">
        <x:f>C38/B38-1</x:f>
        <x:v>0.11915367483296224</x:v>
      </x:c>
      <x:c r="E38" s="2"/>
      <x:c r="F38" s="2"/>
      <x:c r="G38" s="2"/>
      <x:c r="H38" s="2"/>
      <x:c r="I38" s="2"/>
    </x:row>
    <x:row r="39" ht="18.75" customHeight="1">
      <x:c r="A39" s="2" t="str">
        <x:v>ATTO 3 Std</x:v>
      </x:c>
      <x:c r="B39" s="10" t="n">
        <x:v>49.92</x:v>
      </x:c>
      <x:c r="C39" s="10" t="n">
        <x:v>50.25</x:v>
      </x:c>
      <x:c r="D39" s="9" t="n">
        <x:f>C39/B39-1</x:f>
        <x:v>0.006610576923076872</x:v>
      </x:c>
      <x:c r="E39" s="2"/>
      <x:c r="F39" s="2"/>
      <x:c r="G39" s="2"/>
      <x:c r="H39" s="2"/>
      <x:c r="I39" s="2"/>
    </x:row>
    <x:row r="40" ht="18.75" customHeight="1">
      <x:c r="A40" s="2" t="str">
        <x:v>MG4 Std</x:v>
      </x:c>
      <x:c r="B40" s="10" t="n">
        <x:v>51</x:v>
      </x:c>
      <x:c r="C40" s="10" t="n">
        <x:v>49</x:v>
      </x:c>
      <x:c r="D40" s="9" t="n">
        <x:f>C40/B40-1</x:f>
        <x:v>-0.039215686274509776</x:v>
      </x:c>
      <x:c r="E40" s="2"/>
      <x:c r="F40" s="2"/>
      <x:c r="G40" s="2"/>
      <x:c r="H40" s="2"/>
      <x:c r="I40" s="2"/>
    </x:row>
    <x:row r="41" ht="18.75" customHeight="1">
      <x:c r="A41" s="2" t="str">
        <x:v>MG4 LR</x:v>
      </x:c>
      <x:c r="B41" s="10" t="n">
        <x:v>64</x:v>
      </x:c>
      <x:c r="C41" s="10" t="n">
        <x:v>62.2</x:v>
      </x:c>
      <x:c r="D41" s="9" t="n">
        <x:f>C41/B41-1</x:f>
        <x:v>-0.028124999999999956</x:v>
      </x:c>
      <x:c r="E41" s="2"/>
      <x:c r="F41" s="2"/>
      <x:c r="G41" s="2"/>
      <x:c r="H41" s="2"/>
      <x:c r="I41" s="2"/>
    </x:row>
    <x:row r="42" ht="18.75" customHeight="1">
      <x:c r="A42" s="2" t="str">
        <x:v>OMODA C5</x:v>
      </x:c>
      <x:c r="B42" s="10" t="n">
        <x:v>61</x:v>
      </x:c>
      <x:c r="C42" s="10" t="n">
        <x:v>50.6</x:v>
      </x:c>
      <x:c r="D42" s="9" t="n">
        <x:f>C42/B42-1</x:f>
        <x:v>-0.17049180327868851</x:v>
      </x:c>
      <x:c r="E42" s="2"/>
      <x:c r="F42" s="2"/>
      <x:c r="G42" s="2"/>
      <x:c r="H42" s="2"/>
      <x:c r="I42" s="2"/>
    </x:row>
    <x:row r="43" ht="18.75" customHeight="1">
      <x:c r="A43" s="2"/>
      <x:c r="B43" s="2"/>
      <x:c r="C43" s="2"/>
      <x:c r="D43" s="2"/>
      <x:c r="E43" s="2"/>
      <x:c r="F43" s="2"/>
      <x:c r="G43" s="2"/>
      <x:c r="H43" s="2"/>
      <x:c r="I43" s="2"/>
    </x:row>
  </x:sheetData>
  <x:pageMargins left="0.7" right="0.7" top="0.75" bottom="0.75" header="0.3" footer="0.3"/>
  <x:tableParts count="2">
    <x:tablePart xmlns:r="http://schemas.openxmlformats.org/officeDocument/2006/relationships" r:id="R573ef16165cb4eb0"/>
    <x:tablePart xmlns:r="http://schemas.openxmlformats.org/officeDocument/2006/relationships" r:id="R829ad061111f4615"/>
  </x:tableParts>
</x:worksheet>
</file>

<file path=xl/worksheets/sheet4.xml><?xml version="1.0" encoding="utf-8"?>
<x:worksheet xmlns:x="http://schemas.openxmlformats.org/spreadsheetml/2006/main">
  <x:sheetPr>
    <x:tabColor rgb="FF287FB0"/>
  </x:sheetPr>
  <x:sheetViews>
    <x:sheetView showGridLines="0" workbookViewId="0"/>
  </x:sheetViews>
  <x:sheetFormatPr defaultRowHeight="15"/>
  <x:cols>
    <x:col min="1" max="1" width="37.779998779296875" hidden="0" customWidth="1"/>
    <x:col min="2" max="2" width="12.220000267028809" hidden="0" customWidth="1"/>
    <x:col min="3" max="3" width="20.559999465942383" hidden="0" customWidth="1"/>
    <x:col min="4" max="4" width="20.559999465942383" hidden="0" customWidth="1"/>
    <x:col min="5" max="5" width="17.780000686645508" hidden="0" customWidth="1"/>
    <x:col min="6" max="6" width="18.889999389648438" hidden="0" customWidth="1"/>
  </x:cols>
  <x:sheetData>
    <x:row r="1" ht="18.75" customHeight="1">
      <x:c r="A1" s="2"/>
      <x:c r="B1" s="2"/>
      <x:c r="C1" s="2"/>
      <x:c r="D1" s="2"/>
      <x:c r="E1" s="2"/>
      <x:c r="F1" s="2"/>
    </x:row>
    <x:row r="2" ht="18.75" customHeight="1">
      <x:c r="A2" s="3" t="str">
        <x:v>C-SUVの入口価格</x:v>
      </x:c>
      <x:c r="B2" s="2"/>
      <x:c r="C2" s="2"/>
      <x:c r="D2" s="2"/>
      <x:c r="E2" s="2"/>
      <x:c r="F2" s="2"/>
    </x:row>
    <x:row r="3" ht="22.5" customHeight="1">
      <x:c r="A3" s="2" t="str">
        <x:v>THB。メーカー通常価格と期限付き一般特価。装備・金融条件が完全一致する成約比較ではありません。</x:v>
      </x:c>
      <x:c r="B3" s="2"/>
      <x:c r="C3" s="2"/>
      <x:c r="D3" s="2"/>
      <x:c r="E3" s="2"/>
      <x:c r="F3" s="2"/>
    </x:row>
    <x:row r="4" ht="18.75" customHeight="1">
      <x:c r="A4" s="2"/>
      <x:c r="B4" s="2"/>
      <x:c r="C4" s="2"/>
      <x:c r="D4" s="2"/>
      <x:c r="E4" s="2"/>
      <x:c r="F4" s="2"/>
    </x:row>
    <x:row r="5" ht="36" customHeight="1">
      <x:c r="A5" s="6" t="str">
        <x:v>タイの車種・グレード</x:v>
      </x:c>
      <x:c r="B5" s="6" t="str">
        <x:v>動力</x:v>
      </x:c>
      <x:c r="C5" s="6" t="str">
        <x:v>通常公表価格 THB</x:v>
      </x:c>
      <x:c r="D5" s="6" t="str">
        <x:v>一般特価 THB</x:v>
      </x:c>
      <x:c r="E5" s="6" t="str">
        <x:v>全長 mm</x:v>
      </x:c>
      <x:c r="F5" s="6" t="str">
        <x:v>出典ID</x:v>
      </x:c>
    </x:row>
    <x:row r="6" ht="40.5" customHeight="1">
      <x:c r="A6" s="7" t="str">
        <x:v>ATTO 3 Premium</x:v>
      </x:c>
      <x:c r="B6" s="7" t="str">
        <x:v>BEV</x:v>
      </x:c>
      <x:c r="C6" s="11" t="n">
        <x:v>799900</x:v>
      </x:c>
      <x:c r="D6" s="11" t="n">
        <x:v>669900</x:v>
      </x:c>
      <x:c r="E6" s="11" t="n">
        <x:v>4455</x:v>
      </x:c>
      <x:c r="F6" s="7" t="str">
        <x:v>R05,R15</x:v>
      </x:c>
    </x:row>
    <x:row r="7" ht="40.5" customHeight="1">
      <x:c r="A7" s="7" t="str">
        <x:v>ATTO 3 Extended</x:v>
      </x:c>
      <x:c r="B7" s="7" t="str">
        <x:v>BEV</x:v>
      </x:c>
      <x:c r="C7" s="11" t="n">
        <x:v>899900</x:v>
      </x:c>
      <x:c r="D7" s="11" t="n">
        <x:v>769900</x:v>
      </x:c>
      <x:c r="E7" s="11" t="n">
        <x:v>4455</x:v>
      </x:c>
      <x:c r="F7" s="7" t="str">
        <x:v>R05,R15</x:v>
      </x:c>
    </x:row>
    <x:row r="8" ht="40.5" customHeight="1">
      <x:c r="A8" s="7" t="str">
        <x:v>Corolla Cross HEV Smart</x:v>
      </x:c>
      <x:c r="B8" s="7" t="str">
        <x:v>HEV</x:v>
      </x:c>
      <x:c r="C8" s="11" t="n">
        <x:v>989000</x:v>
      </x:c>
      <x:c r="D8" s="11"/>
      <x:c r="E8" s="11" t="n">
        <x:v>4460</x:v>
      </x:c>
      <x:c r="F8" s="7" t="str">
        <x:v>R06,R15</x:v>
      </x:c>
    </x:row>
    <x:row r="9" ht="40.5" customHeight="1">
      <x:c r="A9" s="7" t="str">
        <x:v>Corolla Cross HEV Premium Luxury</x:v>
      </x:c>
      <x:c r="B9" s="7" t="str">
        <x:v>HEV</x:v>
      </x:c>
      <x:c r="C9" s="11" t="n">
        <x:v>1204000</x:v>
      </x:c>
      <x:c r="D9" s="11"/>
      <x:c r="E9" s="11" t="n">
        <x:v>4460</x:v>
      </x:c>
      <x:c r="F9" s="7" t="str">
        <x:v>R06</x:v>
      </x:c>
    </x:row>
    <x:row r="10" ht="40.5" customHeight="1">
      <x:c r="A10" s="7" t="str">
        <x:v>Mazda CX-30 Essential Prime</x:v>
      </x:c>
      <x:c r="B10" s="7" t="str">
        <x:v>ICE</x:v>
      </x:c>
      <x:c r="C10" s="11" t="n">
        <x:v>899000</x:v>
      </x:c>
      <x:c r="D10" s="11"/>
      <x:c r="E10" s="11" t="n">
        <x:v>4395</x:v>
      </x:c>
      <x:c r="F10" s="7" t="str">
        <x:v>R15</x:v>
      </x:c>
    </x:row>
    <x:row r="11" ht="40.5" customHeight="1">
      <x:c r="A11" s="7" t="str">
        <x:v>HAVAL H6 HEV Pro</x:v>
      </x:c>
      <x:c r="B11" s="7" t="str">
        <x:v>HEV</x:v>
      </x:c>
      <x:c r="C11" s="11" t="n">
        <x:v>969000</x:v>
      </x:c>
      <x:c r="D11" s="11"/>
      <x:c r="E11" s="11" t="n">
        <x:v>4703</x:v>
      </x:c>
      <x:c r="F11" s="7" t="str">
        <x:v>R15</x:v>
      </x:c>
    </x:row>
    <x:row r="12" ht="18.75" customHeight="1">
      <x:c r="A12" s="2"/>
      <x:c r="B12" s="2"/>
      <x:c r="C12" s="2"/>
      <x:c r="D12" s="2"/>
      <x:c r="E12" s="2"/>
      <x:c r="F12" s="2"/>
    </x:row>
    <x:row r="13" ht="18.75" customHeight="1">
      <x:c r="A13" s="2"/>
      <x:c r="B13" s="2"/>
      <x:c r="C13" s="2"/>
      <x:c r="D13" s="2"/>
      <x:c r="E13" s="2"/>
      <x:c r="F13" s="2"/>
    </x:row>
    <x:row r="14" ht="36" customHeight="1">
      <x:c r="A14" s="6" t="str">
        <x:v>対Cross Smartの価格差</x:v>
      </x:c>
      <x:c r="B14" s="6" t="str">
        <x:v>通常価格差</x:v>
      </x:c>
      <x:c r="C14" s="6" t="str">
        <x:v>通常比</x:v>
      </x:c>
      <x:c r="D14" s="6" t="str">
        <x:v>一般特価差</x:v>
      </x:c>
      <x:c r="E14" s="6" t="str">
        <x:v>一般特価比</x:v>
      </x:c>
      <x:c r="F14" s="2"/>
    </x:row>
    <x:row r="15" ht="18.75" customHeight="1">
      <x:c r="A15" s="2" t="str">
        <x:v>ATTO 3 Premium</x:v>
      </x:c>
      <x:c r="B15" s="8" t="n">
        <x:f>C6-$C$8</x:f>
        <x:v>-189100</x:v>
      </x:c>
      <x:c r="C15" s="9" t="n">
        <x:f>C6/$C$8-1</x:f>
        <x:v>-0.19120323559150654</x:v>
      </x:c>
      <x:c r="D15" s="8" t="n">
        <x:f>D6-$C$8</x:f>
        <x:v>-319100</x:v>
      </x:c>
      <x:c r="E15" s="9" t="n">
        <x:f>D6/$C$8-1</x:f>
        <x:v>-0.322649140546006</x:v>
      </x:c>
      <x:c r="F15" s="2"/>
    </x:row>
    <x:row r="16" ht="18.75" customHeight="1">
      <x:c r="A16" s="2" t="str">
        <x:v>ATTO 3 Extended</x:v>
      </x:c>
      <x:c r="B16" s="8" t="n">
        <x:f>C7-$C$8</x:f>
        <x:v>-89100</x:v>
      </x:c>
      <x:c r="C16" s="9" t="n">
        <x:f>C7/$C$8-1</x:f>
        <x:v>-0.09009100101112233</x:v>
      </x:c>
      <x:c r="D16" s="8" t="n">
        <x:f>D7-$C$8</x:f>
        <x:v>-219100</x:v>
      </x:c>
      <x:c r="E16" s="9" t="n">
        <x:f>D7/$C$8-1</x:f>
        <x:v>-0.2215369059656218</x:v>
      </x:c>
      <x:c r="F16" s="2"/>
    </x:row>
    <x:row r="17" ht="18.75" customHeight="1">
      <x:c r="A17" s="2"/>
      <x:c r="B17" s="2"/>
      <x:c r="C17" s="2"/>
      <x:c r="D17" s="2"/>
      <x:c r="E17" s="2"/>
      <x:c r="F17" s="2"/>
    </x:row>
    <x:row r="18" ht="18.75" customHeight="1">
      <x:c r="A18" s="2" t="str">
        <x:v>BYD特価は2026/10/1–31。追加の既保有車条件付き3万THBは含めません。</x:v>
      </x:c>
      <x:c r="B18" s="2"/>
      <x:c r="C18" s="2"/>
      <x:c r="D18" s="2"/>
      <x:c r="E18" s="2"/>
      <x:c r="F18" s="2"/>
    </x:row>
    <x:row r="19" ht="18.75" customHeight="1">
      <x:c r="A19" s="2"/>
      <x:c r="B19" s="2"/>
      <x:c r="C19" s="2"/>
      <x:c r="D19" s="2"/>
      <x:c r="E19" s="2"/>
      <x:c r="F19" s="2"/>
    </x:row>
    <x:row r="20" ht="18.75" customHeight="1">
      <x:c r="A20" s="2"/>
      <x:c r="B20" s="2"/>
      <x:c r="C20" s="2"/>
      <x:c r="D20" s="2"/>
      <x:c r="E20" s="2"/>
      <x:c r="F20" s="2"/>
    </x:row>
    <x:row r="21" ht="18.75" customHeight="1">
      <x:c r="A21" s="2"/>
      <x:c r="B21" s="2"/>
      <x:c r="C21" s="2"/>
      <x:c r="D21" s="2"/>
      <x:c r="E21" s="2"/>
      <x:c r="F21" s="2"/>
    </x:row>
    <x:row r="22" ht="18.75" customHeight="1">
      <x:c r="A22" s="2"/>
      <x:c r="B22" s="2"/>
      <x:c r="C22" s="2"/>
      <x:c r="D22" s="2"/>
      <x:c r="E22" s="2"/>
      <x:c r="F22" s="2"/>
    </x:row>
    <x:row r="23" ht="18.75" customHeight="1">
      <x:c r="A23" s="2"/>
      <x:c r="B23" s="2"/>
      <x:c r="C23" s="2"/>
      <x:c r="D23" s="2"/>
      <x:c r="E23" s="2"/>
      <x:c r="F23" s="2"/>
    </x:row>
    <x:row r="24" ht="18.75" customHeight="1">
      <x:c r="A24" s="2"/>
      <x:c r="B24" s="2"/>
      <x:c r="C24" s="2"/>
      <x:c r="D24" s="2"/>
      <x:c r="E24" s="2"/>
      <x:c r="F24" s="2"/>
    </x:row>
    <x:row r="25" ht="18.75" customHeight="1">
      <x:c r="A25" s="2"/>
      <x:c r="B25" s="2"/>
      <x:c r="C25" s="2"/>
      <x:c r="D25" s="2"/>
      <x:c r="E25" s="2"/>
      <x:c r="F25" s="2"/>
    </x:row>
    <x:row r="26" ht="18.75" customHeight="1">
      <x:c r="A26" s="2"/>
      <x:c r="B26" s="2"/>
      <x:c r="C26" s="2"/>
      <x:c r="D26" s="2"/>
      <x:c r="E26" s="2"/>
      <x:c r="F26" s="2"/>
    </x:row>
    <x:row r="27" ht="18.75" customHeight="1">
      <x:c r="A27" s="2"/>
      <x:c r="B27" s="2"/>
      <x:c r="C27" s="2"/>
      <x:c r="D27" s="2"/>
      <x:c r="E27" s="2"/>
      <x:c r="F27" s="2"/>
    </x:row>
    <x:row r="28" ht="18.75" customHeight="1">
      <x:c r="A28" s="2"/>
      <x:c r="B28" s="2"/>
      <x:c r="C28" s="2"/>
      <x:c r="D28" s="2"/>
      <x:c r="E28" s="2"/>
      <x:c r="F28" s="2"/>
    </x:row>
    <x:row r="29" ht="18.75" customHeight="1">
      <x:c r="A29" s="2"/>
      <x:c r="B29" s="2"/>
      <x:c r="C29" s="2"/>
      <x:c r="D29" s="2"/>
      <x:c r="E29" s="2"/>
      <x:c r="F29" s="2"/>
    </x:row>
    <x:row r="30" ht="18.75" customHeight="1">
      <x:c r="A30" s="2"/>
      <x:c r="B30" s="2"/>
      <x:c r="C30" s="2"/>
      <x:c r="D30" s="2"/>
      <x:c r="E30" s="2"/>
      <x:c r="F30" s="2"/>
    </x:row>
    <x:row r="31" ht="18.75" customHeight="1">
      <x:c r="A31" s="2"/>
      <x:c r="B31" s="2"/>
      <x:c r="C31" s="2"/>
      <x:c r="D31" s="2"/>
      <x:c r="E31" s="2"/>
      <x:c r="F31" s="2"/>
    </x:row>
    <x:row r="32" ht="18.75" customHeight="1">
      <x:c r="A32" s="2"/>
      <x:c r="B32" s="2"/>
      <x:c r="C32" s="2"/>
      <x:c r="D32" s="2"/>
      <x:c r="E32" s="2"/>
      <x:c r="F32" s="2"/>
    </x:row>
    <x:row r="33" ht="18.75" customHeight="1">
      <x:c r="A33" s="2"/>
      <x:c r="B33" s="2"/>
      <x:c r="C33" s="2"/>
      <x:c r="D33" s="2"/>
      <x:c r="E33" s="2"/>
      <x:c r="F33" s="2"/>
    </x:row>
    <x:row r="34" ht="18.75" customHeight="1">
      <x:c r="A34" s="2"/>
      <x:c r="B34" s="2"/>
      <x:c r="C34" s="2"/>
      <x:c r="D34" s="2"/>
      <x:c r="E34" s="2"/>
      <x:c r="F34" s="2"/>
    </x:row>
    <x:row r="35" ht="18.75" customHeight="1">
      <x:c r="A35" s="2"/>
      <x:c r="B35" s="2"/>
      <x:c r="C35" s="2"/>
      <x:c r="D35" s="2"/>
      <x:c r="E35" s="2"/>
      <x:c r="F35" s="2"/>
    </x:row>
    <x:row r="36" ht="18.75" customHeight="1">
      <x:c r="A36" s="2"/>
      <x:c r="B36" s="2"/>
      <x:c r="C36" s="2"/>
      <x:c r="D36" s="2"/>
      <x:c r="E36" s="2"/>
      <x:c r="F36" s="2"/>
    </x:row>
    <x:row r="37" ht="18.75" customHeight="1">
      <x:c r="A37" s="2"/>
      <x:c r="B37" s="2"/>
      <x:c r="C37" s="2"/>
      <x:c r="D37" s="2"/>
      <x:c r="E37" s="2"/>
      <x:c r="F37" s="2"/>
    </x:row>
    <x:row r="38" ht="18.75" customHeight="1">
      <x:c r="A38" s="2"/>
      <x:c r="B38" s="2"/>
      <x:c r="C38" s="2"/>
      <x:c r="D38" s="2"/>
      <x:c r="E38" s="2"/>
      <x:c r="F38" s="2"/>
    </x:row>
    <x:row r="39" ht="18.75" customHeight="1">
      <x:c r="A39" s="2" t="str">
        <x:v>車種</x:v>
      </x:c>
      <x:c r="B39" s="2" t="str">
        <x:v>通常公表価格 THB</x:v>
      </x:c>
      <x:c r="C39" s="2"/>
      <x:c r="D39" s="2"/>
      <x:c r="E39" s="2"/>
      <x:c r="F39" s="2"/>
    </x:row>
    <x:row r="40" ht="18.75" customHeight="1">
      <x:c r="A40" s="2" t="str">
        <x:f>A6</x:f>
        <x:v>ATTO 3 Premium</x:v>
      </x:c>
      <x:c r="B40" s="2" t="n">
        <x:f>C6</x:f>
        <x:v>799900</x:v>
      </x:c>
      <x:c r="C40" s="2"/>
      <x:c r="D40" s="2"/>
      <x:c r="E40" s="2"/>
      <x:c r="F40" s="2"/>
    </x:row>
    <x:row r="41" ht="18.75" customHeight="1">
      <x:c r="A41" s="2" t="str">
        <x:f>A7</x:f>
        <x:v>ATTO 3 Extended</x:v>
      </x:c>
      <x:c r="B41" s="2" t="n">
        <x:f>C7</x:f>
        <x:v>899900</x:v>
      </x:c>
      <x:c r="C41" s="2"/>
      <x:c r="D41" s="2"/>
      <x:c r="E41" s="2"/>
      <x:c r="F41" s="2"/>
    </x:row>
    <x:row r="42">
      <x:c r="A42" t="str">
        <x:f>A8</x:f>
        <x:v>Corolla Cross HEV Smart</x:v>
      </x:c>
      <x:c r="B42" t="n">
        <x:f>C8</x:f>
        <x:v>989000</x:v>
      </x:c>
    </x:row>
  </x:sheetData>
  <x:pageMargins left="0.7" right="0.7" top="0.75" bottom="0.75" header="0.3" footer="0.3"/>
  <x:drawing xmlns:r="http://schemas.openxmlformats.org/officeDocument/2006/relationships" r:id="R5681c93738094d54"/>
  <x:tableParts count="1">
    <x:tablePart xmlns:r="http://schemas.openxmlformats.org/officeDocument/2006/relationships" r:id="R3207c4972aad466c"/>
  </x:tableParts>
</x:worksheet>
</file>

<file path=xl/worksheets/sheet5.xml><?xml version="1.0" encoding="utf-8"?>
<x:worksheet xmlns:x="http://schemas.openxmlformats.org/spreadsheetml/2006/main">
  <x:sheetPr>
    <x:tabColor rgb="FF287FB0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8.890000343322754" hidden="0" customWidth="1"/>
    <x:col min="3" max="3" width="16.670000076293945" hidden="0" customWidth="1"/>
    <x:col min="4" max="4" width="16.670000076293945" hidden="0" customWidth="1"/>
    <x:col min="5" max="5" width="15.5600004196167" hidden="0" customWidth="1"/>
    <x:col min="6" max="6" width="20.559999465942383" hidden="0" customWidth="1"/>
    <x:col min="7" max="7" width="16.670000076293945" hidden="0" customWidth="1"/>
    <x:col min="8" max="8" width="53.33000183105469" hidden="0" customWidth="1"/>
    <x:col min="9" max="9" width="20" hidden="0" customWidth="1"/>
    <x:col min="10" max="10" width="12.779999732971191" hidden="0" customWidth="1"/>
    <x:col min="11" max="11" width="57.779998779296875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.75" customHeight="1">
      <x:c r="A2" s="3" t="str">
        <x:v>中古価格比と新車価格の分母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.5" customHeight="1">
      <x:c r="A3" s="2" t="str">
        <x:v>2026/10/08観測。2023年式、同サイト、表示距離2万〜10万km内。SOH・保証・成約価格は未取得。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8.7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6" t="str">
        <x:v>車種・旧グレード</x:v>
      </x:c>
      <x:c r="B5" s="6" t="str">
        <x:v>掲載N</x:v>
      </x:c>
      <x:c r="C5" s="6" t="str">
        <x:v>中古中央値 THB</x:v>
      </x:c>
      <x:c r="D5" s="6" t="str">
        <x:v>旧公表価格 THB</x:v>
      </x:c>
      <x:c r="E5" s="6" t="str">
        <x:v>旧価格比</x:v>
      </x:c>
      <x:c r="F5" s="6" t="str">
        <x:v>近似代替新車 THB</x:v>
      </x:c>
      <x:c r="G5" s="6" t="str">
        <x:v>代替新車比</x:v>
      </x:c>
      <x:c r="H5" s="6" t="str">
        <x:v>比較条件</x:v>
      </x:c>
      <x:c r="I5" s="2"/>
      <x:c r="J5" s="2"/>
      <x:c r="K5" s="2"/>
    </x:row>
    <x:row r="6" ht="60" customHeight="1">
      <x:c r="A6" s="7" t="str">
        <x:v>ATTO 3 Extended</x:v>
      </x:c>
      <x:c r="B6" s="7" t="n">
        <x:f>COUNT(G41:G47)</x:f>
        <x:v>7</x:v>
      </x:c>
      <x:c r="C6" s="11" t="n">
        <x:f>IF(B6&gt;0,MEDIAN(G41:G47),"未取得")</x:f>
        <x:v>467000</x:v>
      </x:c>
      <x:c r="D6" s="11" t="n">
        <x:f>MEDIAN(H41:H47)</x:f>
        <x:v>1199900</x:v>
      </x:c>
      <x:c r="E6" s="12" t="n">
        <x:f>C6/D6</x:f>
        <x:v>0.38919909992499374</x:v>
      </x:c>
      <x:c r="F6" s="11" t="n">
        <x:f>'購入価格'!D7</x:f>
        <x:v>769900</x:v>
      </x:c>
      <x:c r="G6" s="12" t="n">
        <x:f>C6/F6</x:f>
        <x:v>0.6065722821145604</x:v>
      </x:c>
      <x:c r="H6" s="7" t="str">
        <x:v>N=7。現行Extended一般特価を近似代替に使う。旧新MY・装備・保証は完全一致しない。</x:v>
      </x:c>
      <x:c r="I6" s="2"/>
      <x:c r="J6" s="2"/>
      <x:c r="K6" s="2"/>
    </x:row>
    <x:row r="7" ht="60" customHeight="1">
      <x:c r="A7" s="7" t="str">
        <x:v>Cross HEV Premium Safety</x:v>
      </x:c>
      <x:c r="B7" s="7" t="n">
        <x:f>COUNT(G48:G52)</x:f>
        <x:v>5</x:v>
      </x:c>
      <x:c r="C7" s="11" t="n">
        <x:f>IF(B7&gt;0,MEDIAN(G48:G52),"未取得")</x:f>
        <x:v>759000</x:v>
      </x:c>
      <x:c r="D7" s="11" t="n">
        <x:f>MEDIAN(H48:H52)</x:f>
        <x:v>1204000</x:v>
      </x:c>
      <x:c r="E7" s="12" t="n">
        <x:f>C7/D7</x:f>
        <x:v>0.6303986710963455</x:v>
      </x:c>
      <x:c r="F7" s="11" t="n">
        <x:f>'購入価格'!C9</x:f>
        <x:v>1204000</x:v>
      </x:c>
      <x:c r="G7" s="12" t="n">
        <x:f>C7/F7</x:f>
        <x:v>0.6303986710963455</x:v>
      </x:c>
      <x:c r="H7" s="7" t="str">
        <x:v>N=5。現行Premium Luxuryを近似代替に使う。旧Safetyと現行Luxuryは完全一致しない。</x:v>
      </x:c>
      <x:c r="I7" s="2"/>
      <x:c r="J7" s="2"/>
      <x:c r="K7" s="2"/>
    </x:row>
    <x:row r="8" ht="18.7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18.7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18.75" customHeight="1">
      <x:c r="A10" s="2" t="str">
        <x:v>旧公表価格比の差</x:v>
      </x:c>
      <x:c r="B10" s="2"/>
      <x:c r="C10" s="2"/>
      <x:c r="D10" s="2"/>
      <x:c r="E10" s="13" t="n">
        <x:f>(E7-E6)*100</x:f>
        <x:v>24.119957117135176</x:v>
      </x:c>
      <x:c r="F10" s="2" t="str">
        <x:v>上は旧購入者の価格基準、下は今の中古購入者が比較する新品の基準。</x:v>
      </x:c>
      <x:c r="G10" s="2"/>
      <x:c r="H10" s="2"/>
      <x:c r="I10" s="2"/>
      <x:c r="J10" s="2"/>
      <x:c r="K10" s="2"/>
    </x:row>
    <x:row r="11" ht="18.75" customHeight="1">
      <x:c r="A11" s="2" t="str">
        <x:v>代替新車比の差</x:v>
      </x:c>
      <x:c r="B11" s="2"/>
      <x:c r="C11" s="2"/>
      <x:c r="D11" s="2"/>
      <x:c r="E11" s="13" t="n">
        <x:f>(G7-G6)*100</x:f>
        <x:v>2.382638898178513</x:v>
      </x:c>
      <x:c r="F11" s="2" t="str">
        <x:v>分母を変えた差であり、電池劣化の寄与率を推定した結果ではありません。</x:v>
      </x:c>
      <x:c r="G11" s="2"/>
      <x:c r="H11" s="2"/>
      <x:c r="I11" s="2"/>
      <x:c r="J11" s="2"/>
      <x:c r="K11" s="2"/>
    </x:row>
    <x:row r="12" ht="18.7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18.7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18.7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18.7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18.7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18.7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18.7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8.7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18.7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8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18.7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18.7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8.7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18.7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18.7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8.7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8.7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8.7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8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8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8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8.75" customHeight="1">
      <x:c r="A33" s="2" t="str">
        <x:v>モデル</x:v>
      </x:c>
      <x:c r="B33" s="2" t="str">
        <x:v>旧公表価格比</x:v>
      </x:c>
      <x:c r="C33" s="2" t="str">
        <x:v>近似代替新車比</x:v>
      </x:c>
      <x:c r="D33" s="2"/>
      <x:c r="E33" s="2"/>
      <x:c r="F33" s="2"/>
      <x:c r="G33" s="2"/>
      <x:c r="H33" s="2"/>
      <x:c r="I33" s="2"/>
      <x:c r="J33" s="2"/>
      <x:c r="K33" s="2"/>
    </x:row>
    <x:row r="34" ht="18.75" customHeight="1">
      <x:c r="A34" s="2" t="str">
        <x:f>A6</x:f>
        <x:v>ATTO 3 Extended</x:v>
      </x:c>
      <x:c r="B34" s="2" t="n">
        <x:f>E6</x:f>
        <x:v>0.38919909992499374</x:v>
      </x:c>
      <x:c r="C34" s="2" t="n">
        <x:f>G6</x:f>
        <x:v>0.6065722821145604</x:v>
      </x:c>
      <x:c r="D34" s="2"/>
      <x:c r="E34" s="2"/>
      <x:c r="F34" s="2"/>
      <x:c r="G34" s="2"/>
      <x:c r="H34" s="2"/>
      <x:c r="I34" s="2"/>
      <x:c r="J34" s="2"/>
      <x:c r="K34" s="2"/>
    </x:row>
    <x:row r="35" ht="18.75" customHeight="1">
      <x:c r="A35" s="2" t="str">
        <x:f>A7</x:f>
        <x:v>Cross HEV Premium Safety</x:v>
      </x:c>
      <x:c r="B35" s="2" t="n">
        <x:f>E7</x:f>
        <x:v>0.6303986710963455</x:v>
      </x:c>
      <x:c r="C35" s="2" t="n">
        <x:f>G7</x:f>
        <x:v>0.6303986710963455</x:v>
      </x:c>
      <x:c r="D35" s="2"/>
      <x:c r="E35" s="2"/>
      <x:c r="F35" s="2"/>
      <x:c r="G35" s="2"/>
      <x:c r="H35" s="2"/>
      <x:c r="I35" s="2"/>
      <x:c r="J35" s="2"/>
      <x:c r="K35" s="2"/>
    </x:row>
    <x:row r="36" ht="18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8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8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8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36" customHeight="1">
      <x:c r="A40" s="6" t="str">
        <x:v>元掲載ID</x:v>
      </x:c>
      <x:c r="B40" s="6" t="str">
        <x:v>モデル</x:v>
      </x:c>
      <x:c r="C40" s="6" t="str">
        <x:v>旧グレード</x:v>
      </x:c>
      <x:c r="D40" s="6" t="str">
        <x:v>年式</x:v>
      </x:c>
      <x:c r="E40" s="6" t="str">
        <x:v>km下限</x:v>
      </x:c>
      <x:c r="F40" s="6" t="str">
        <x:v>km上限</x:v>
      </x:c>
      <x:c r="G40" s="6" t="str">
        <x:v>掲載価格 THB</x:v>
      </x:c>
      <x:c r="H40" s="6" t="str">
        <x:v>旧公表基準 THB</x:v>
      </x:c>
      <x:c r="I40" s="6" t="str">
        <x:v>掲載県</x:v>
      </x:c>
      <x:c r="J40" s="6" t="str">
        <x:v>元ファイル行</x:v>
      </x:c>
      <x:c r="K40" s="6" t="str">
        <x:v>出典URL</x:v>
      </x:c>
    </x:row>
    <x:row r="41" ht="54" customHeight="1">
      <x:c r="A41" s="7" t="str">
        <x:v>O_atto-3_184</x:v>
      </x:c>
      <x:c r="B41" s="7" t="str">
        <x:v>ATTO 3</x:v>
      </x:c>
      <x:c r="C41" s="7" t="str">
        <x:v>EXTENDED RANGE</x:v>
      </x:c>
      <x:c r="D41" s="7" t="n">
        <x:v>2023</x:v>
      </x:c>
      <x:c r="E41" s="11" t="n">
        <x:v>40000</x:v>
      </x:c>
      <x:c r="F41" s="11" t="n">
        <x:v>45000</x:v>
      </x:c>
      <x:c r="G41" s="11" t="n">
        <x:v>499000</x:v>
      </x:c>
      <x:c r="H41" s="11" t="n">
        <x:v>1199900</x:v>
      </x:c>
      <x:c r="I41" s="7" t="str">
        <x:v>Bangkok</x:v>
      </x:c>
      <x:c r="J41" s="7" t="n">
        <x:v>14</x:v>
      </x:c>
      <x:c r="K41" s="7" t="str">
        <x:v>https://www.one2car.com/en/cars-for-sale/byd/atto-3</x:v>
      </x:c>
    </x:row>
    <x:row r="42" ht="54" customHeight="1">
      <x:c r="A42" s="7" t="str">
        <x:v>O_atto-3_175</x:v>
      </x:c>
      <x:c r="B42" s="7" t="str">
        <x:v>ATTO 3</x:v>
      </x:c>
      <x:c r="C42" s="7" t="str">
        <x:v>EXTENDED RANGE</x:v>
      </x:c>
      <x:c r="D42" s="7" t="n">
        <x:v>2023</x:v>
      </x:c>
      <x:c r="E42" s="11" t="n">
        <x:v>30000</x:v>
      </x:c>
      <x:c r="F42" s="11" t="n">
        <x:v>35000</x:v>
      </x:c>
      <x:c r="G42" s="11" t="n">
        <x:v>471000</x:v>
      </x:c>
      <x:c r="H42" s="11" t="n">
        <x:v>1199900</x:v>
      </x:c>
      <x:c r="I42" s="7" t="str">
        <x:v>Nonthaburi</x:v>
      </x:c>
      <x:c r="J42" s="7" t="n">
        <x:v>15</x:v>
      </x:c>
      <x:c r="K42" s="7" t="str">
        <x:v>https://www.one2car.com/en/cars-for-sale/byd/atto-3</x:v>
      </x:c>
    </x:row>
    <x:row r="43" ht="54" customHeight="1">
      <x:c r="A43" s="7" t="str">
        <x:v>O_atto-3_182</x:v>
      </x:c>
      <x:c r="B43" s="7" t="str">
        <x:v>ATTO 3</x:v>
      </x:c>
      <x:c r="C43" s="7" t="str">
        <x:v>EXTENDED RANGE</x:v>
      </x:c>
      <x:c r="D43" s="7" t="n">
        <x:v>2023</x:v>
      </x:c>
      <x:c r="E43" s="11" t="n">
        <x:v>75000</x:v>
      </x:c>
      <x:c r="F43" s="11" t="n">
        <x:v>80000</x:v>
      </x:c>
      <x:c r="G43" s="11" t="n">
        <x:v>459000</x:v>
      </x:c>
      <x:c r="H43" s="11" t="n">
        <x:v>1199900</x:v>
      </x:c>
      <x:c r="I43" s="7" t="str">
        <x:v>Bangkok</x:v>
      </x:c>
      <x:c r="J43" s="7" t="n">
        <x:v>16</x:v>
      </x:c>
      <x:c r="K43" s="7" t="str">
        <x:v>https://www.one2car.com/en/cars-for-sale/byd/atto-3</x:v>
      </x:c>
    </x:row>
    <x:row r="44" ht="54" customHeight="1">
      <x:c r="A44" s="7" t="str">
        <x:v>O_atto-3_174</x:v>
      </x:c>
      <x:c r="B44" s="7" t="str">
        <x:v>ATTO 3</x:v>
      </x:c>
      <x:c r="C44" s="7" t="str">
        <x:v>EXTENDED RANGE</x:v>
      </x:c>
      <x:c r="D44" s="7" t="n">
        <x:v>2023</x:v>
      </x:c>
      <x:c r="E44" s="11" t="n">
        <x:v>95000</x:v>
      </x:c>
      <x:c r="F44" s="11" t="n">
        <x:v>100000</x:v>
      </x:c>
      <x:c r="G44" s="11" t="n">
        <x:v>443000</x:v>
      </x:c>
      <x:c r="H44" s="11" t="n">
        <x:v>1199900</x:v>
      </x:c>
      <x:c r="I44" s="7" t="str">
        <x:v>Nonthaburi</x:v>
      </x:c>
      <x:c r="J44" s="7" t="n">
        <x:v>17</x:v>
      </x:c>
      <x:c r="K44" s="7" t="str">
        <x:v>https://www.one2car.com/en/cars-for-sale/byd/atto-3</x:v>
      </x:c>
    </x:row>
    <x:row r="45" ht="54" customHeight="1">
      <x:c r="A45" s="7" t="str">
        <x:v>O_atto-3_177</x:v>
      </x:c>
      <x:c r="B45" s="7" t="str">
        <x:v>ATTO 3</x:v>
      </x:c>
      <x:c r="C45" s="7" t="str">
        <x:v>EXTENDED RANGE</x:v>
      </x:c>
      <x:c r="D45" s="7" t="n">
        <x:v>2023</x:v>
      </x:c>
      <x:c r="E45" s="11" t="n">
        <x:v>95000</x:v>
      </x:c>
      <x:c r="F45" s="11" t="n">
        <x:v>100000</x:v>
      </x:c>
      <x:c r="G45" s="11" t="n">
        <x:v>463000</x:v>
      </x:c>
      <x:c r="H45" s="11" t="n">
        <x:v>1199900</x:v>
      </x:c>
      <x:c r="I45" s="7" t="str">
        <x:v>Nonthaburi</x:v>
      </x:c>
      <x:c r="J45" s="7" t="n">
        <x:v>18</x:v>
      </x:c>
      <x:c r="K45" s="7" t="str">
        <x:v>https://www.one2car.com/en/cars-for-sale/byd/atto-3</x:v>
      </x:c>
    </x:row>
    <x:row r="46" ht="54" customHeight="1">
      <x:c r="A46" s="7" t="str">
        <x:v>O_atto-3_183</x:v>
      </x:c>
      <x:c r="B46" s="7" t="str">
        <x:v>ATTO 3</x:v>
      </x:c>
      <x:c r="C46" s="7" t="str">
        <x:v>EXTENDED RANGE</x:v>
      </x:c>
      <x:c r="D46" s="7" t="n">
        <x:v>2023</x:v>
      </x:c>
      <x:c r="E46" s="11" t="n">
        <x:v>95000</x:v>
      </x:c>
      <x:c r="F46" s="11" t="n">
        <x:v>100000</x:v>
      </x:c>
      <x:c r="G46" s="11" t="n">
        <x:v>467000</x:v>
      </x:c>
      <x:c r="H46" s="11" t="n">
        <x:v>1199900</x:v>
      </x:c>
      <x:c r="I46" s="7" t="str">
        <x:v>Nonthaburi</x:v>
      </x:c>
      <x:c r="J46" s="7" t="n">
        <x:v>19</x:v>
      </x:c>
      <x:c r="K46" s="7" t="str">
        <x:v>https://www.one2car.com/en/cars-for-sale/byd/atto-3</x:v>
      </x:c>
    </x:row>
    <x:row r="47" ht="54" customHeight="1">
      <x:c r="A47" s="7" t="str">
        <x:v>O_atto-3_186</x:v>
      </x:c>
      <x:c r="B47" s="7" t="str">
        <x:v>ATTO 3</x:v>
      </x:c>
      <x:c r="C47" s="7" t="str">
        <x:v>EXTENDED RANGE</x:v>
      </x:c>
      <x:c r="D47" s="7" t="n">
        <x:v>2023</x:v>
      </x:c>
      <x:c r="E47" s="11" t="n">
        <x:v>60000</x:v>
      </x:c>
      <x:c r="F47" s="11" t="n">
        <x:v>65000</x:v>
      </x:c>
      <x:c r="G47" s="11" t="n">
        <x:v>469000</x:v>
      </x:c>
      <x:c r="H47" s="11" t="n">
        <x:v>1199900</x:v>
      </x:c>
      <x:c r="I47" s="7" t="str">
        <x:v>Nonthaburi</x:v>
      </x:c>
      <x:c r="J47" s="7" t="n">
        <x:v>20</x:v>
      </x:c>
      <x:c r="K47" s="7" t="str">
        <x:v>https://www.one2car.com/en/cars-for-sale/byd/atto-3</x:v>
      </x:c>
    </x:row>
    <x:row r="48" ht="54" customHeight="1">
      <x:c r="A48" s="7" t="str">
        <x:v>O_corolla-cross_Y2023_152</x:v>
      </x:c>
      <x:c r="B48" s="7" t="str">
        <x:v>Corolla Cross</x:v>
      </x:c>
      <x:c r="C48" s="7" t="str">
        <x:v>HEV PREMIUM SAFETY</x:v>
      </x:c>
      <x:c r="D48" s="7" t="n">
        <x:v>2023</x:v>
      </x:c>
      <x:c r="E48" s="11" t="n">
        <x:v>30000</x:v>
      </x:c>
      <x:c r="F48" s="11" t="n">
        <x:v>35000</x:v>
      </x:c>
      <x:c r="G48" s="11" t="n">
        <x:v>759000</x:v>
      </x:c>
      <x:c r="H48" s="11" t="n">
        <x:v>1204000</x:v>
      </x:c>
      <x:c r="I48" s="7" t="str">
        <x:v>Bangkok</x:v>
      </x:c>
      <x:c r="J48" s="7" t="n">
        <x:v>65</x:v>
      </x:c>
      <x:c r="K48" s="7" t="str">
        <x:v>https://www.one2car.com/en/cars-for-sale/toyota/corolla-cross/year-2023</x:v>
      </x:c>
    </x:row>
    <x:row r="49" ht="54" customHeight="1">
      <x:c r="A49" s="7" t="str">
        <x:v>O_corolla-cross_Y2023_149</x:v>
      </x:c>
      <x:c r="B49" s="7" t="str">
        <x:v>Corolla Cross</x:v>
      </x:c>
      <x:c r="C49" s="7" t="str">
        <x:v>HEV PREMIUM SAFETY</x:v>
      </x:c>
      <x:c r="D49" s="7" t="n">
        <x:v>2023</x:v>
      </x:c>
      <x:c r="E49" s="11" t="n">
        <x:v>75000</x:v>
      </x:c>
      <x:c r="F49" s="11" t="n">
        <x:v>80000</x:v>
      </x:c>
      <x:c r="G49" s="11" t="n">
        <x:v>778000</x:v>
      </x:c>
      <x:c r="H49" s="11" t="n">
        <x:v>1204000</x:v>
      </x:c>
      <x:c r="I49" s="7" t="str">
        <x:v>Bangkok</x:v>
      </x:c>
      <x:c r="J49" s="7" t="n">
        <x:v>66</x:v>
      </x:c>
      <x:c r="K49" s="7" t="str">
        <x:v>https://www.one2car.com/en/cars-for-sale/toyota/corolla-cross/year-2023</x:v>
      </x:c>
    </x:row>
    <x:row r="50" ht="54" customHeight="1">
      <x:c r="A50" s="7" t="str">
        <x:v>O_corolla-cross_Y2023_161</x:v>
      </x:c>
      <x:c r="B50" s="7" t="str">
        <x:v>Corolla Cross</x:v>
      </x:c>
      <x:c r="C50" s="7" t="str">
        <x:v>HEV PREMIUM SAFETY</x:v>
      </x:c>
      <x:c r="D50" s="7" t="n">
        <x:v>2023</x:v>
      </x:c>
      <x:c r="E50" s="11" t="n">
        <x:v>60000</x:v>
      </x:c>
      <x:c r="F50" s="11" t="n">
        <x:v>65000</x:v>
      </x:c>
      <x:c r="G50" s="11" t="n">
        <x:v>759000</x:v>
      </x:c>
      <x:c r="H50" s="11" t="n">
        <x:v>1204000</x:v>
      </x:c>
      <x:c r="I50" s="7" t="str">
        <x:v>Bangkok</x:v>
      </x:c>
      <x:c r="J50" s="7" t="n">
        <x:v>67</x:v>
      </x:c>
      <x:c r="K50" s="7" t="str">
        <x:v>https://www.one2car.com/en/cars-for-sale/toyota/corolla-cross/year-2023</x:v>
      </x:c>
    </x:row>
    <x:row r="51" ht="54" customHeight="1">
      <x:c r="A51" s="7" t="str">
        <x:v>O_corolla-cross_Y2023_162</x:v>
      </x:c>
      <x:c r="B51" s="7" t="str">
        <x:v>Corolla Cross</x:v>
      </x:c>
      <x:c r="C51" s="7" t="str">
        <x:v>HEV PREMIUM SAFETY</x:v>
      </x:c>
      <x:c r="D51" s="7" t="n">
        <x:v>2023</x:v>
      </x:c>
      <x:c r="E51" s="11" t="n">
        <x:v>75000</x:v>
      </x:c>
      <x:c r="F51" s="11" t="n">
        <x:v>80000</x:v>
      </x:c>
      <x:c r="G51" s="11" t="n">
        <x:v>739000</x:v>
      </x:c>
      <x:c r="H51" s="11" t="n">
        <x:v>1204000</x:v>
      </x:c>
      <x:c r="I51" s="7" t="str">
        <x:v>Bangkok</x:v>
      </x:c>
      <x:c r="J51" s="7" t="n">
        <x:v>68</x:v>
      </x:c>
      <x:c r="K51" s="7" t="str">
        <x:v>https://www.one2car.com/en/cars-for-sale/toyota/corolla-cross/year-2023</x:v>
      </x:c>
    </x:row>
    <x:row r="52" ht="54" customHeight="1">
      <x:c r="A52" s="7" t="str">
        <x:v>O_corolla-cross_Y2023_168</x:v>
      </x:c>
      <x:c r="B52" s="7" t="str">
        <x:v>Corolla Cross</x:v>
      </x:c>
      <x:c r="C52" s="7" t="str">
        <x:v>HEV PREMIUM SAFETY</x:v>
      </x:c>
      <x:c r="D52" s="7" t="n">
        <x:v>2023</x:v>
      </x:c>
      <x:c r="E52" s="11" t="n">
        <x:v>95000</x:v>
      </x:c>
      <x:c r="F52" s="11" t="n">
        <x:v>100000</x:v>
      </x:c>
      <x:c r="G52" s="11" t="n">
        <x:v>789000</x:v>
      </x:c>
      <x:c r="H52" s="11" t="n">
        <x:v>1204000</x:v>
      </x:c>
      <x:c r="I52" s="7" t="str">
        <x:v>Bangkok</x:v>
      </x:c>
      <x:c r="J52" s="7" t="n">
        <x:v>69</x:v>
      </x:c>
      <x:c r="K52" s="7" t="str">
        <x:v>https://www.one2car.com/en/cars-for-sale/toyota/corolla-cross/year-2023</x:v>
      </x:c>
    </x:row>
    <x:row r="53" ht="18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8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8.75" customHeight="1">
      <x:c r="A55" s="2" t="str">
        <x:v>抽出元：R03「中古車掲載」。広告IDはサイト内の参照で、VINによる個体確認はできていません。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8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</x:sheetData>
  <x:pageMargins left="0.7" right="0.7" top="0.75" bottom="0.75" header="0.3" footer="0.3"/>
  <x:drawing xmlns:r="http://schemas.openxmlformats.org/officeDocument/2006/relationships" r:id="R9f7a9c4f376649a6"/>
  <x:tableParts count="1">
    <x:tablePart xmlns:r="http://schemas.openxmlformats.org/officeDocument/2006/relationships" r:id="R0d4dd15a392343bf"/>
  </x:tableParts>
</x:worksheet>
</file>

<file path=xl/worksheets/sheet6.xml><?xml version="1.0" encoding="utf-8"?>
<x:worksheet xmlns:x="http://schemas.openxmlformats.org/spreadsheetml/2006/main">
  <x:sheetPr>
    <x:tabColor rgb="FF287FB0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20" hidden="0" customWidth="1"/>
    <x:col min="3" max="3" width="18.889999389648438" hidden="0" customWidth="1"/>
    <x:col min="4" max="4" width="18.889999389648438" hidden="0" customWidth="1"/>
    <x:col min="5" max="5" width="22.219999313354492" hidden="0" customWidth="1"/>
  </x:cols>
  <x:sheetData>
    <x:row r="1" ht="18.75" customHeight="1">
      <x:c r="A1" s="2"/>
      <x:c r="B1" s="2"/>
      <x:c r="C1" s="2"/>
      <x:c r="D1" s="2"/>
      <x:c r="E1" s="2"/>
    </x:row>
    <x:row r="2" ht="18.75" customHeight="1">
      <x:c r="A2" s="3" t="str">
        <x:v>中古EVの期間平均価格</x:v>
      </x:c>
      <x:c r="B2" s="2"/>
      <x:c r="C2" s="2"/>
      <x:c r="D2" s="2"/>
      <x:c r="E2" s="2"/>
    </x:row>
    <x:row r="3" ht="22.5" customHeight="1">
      <x:c r="A3" s="2" t="str">
        <x:v>One2car公表：2024/1–10と2025/1–10。車両構成は未固定、同一個体の劣化曲線ではありません。</x:v>
      </x:c>
      <x:c r="B3" s="2"/>
      <x:c r="C3" s="2"/>
      <x:c r="D3" s="2"/>
      <x:c r="E3" s="2"/>
    </x:row>
    <x:row r="4" ht="18.75" customHeight="1">
      <x:c r="A4" s="2"/>
      <x:c r="B4" s="2"/>
      <x:c r="C4" s="2"/>
      <x:c r="D4" s="2"/>
      <x:c r="E4" s="2"/>
    </x:row>
    <x:row r="5" ht="36" customHeight="1">
      <x:c r="A5" s="6" t="str">
        <x:v>モデル</x:v>
      </x:c>
      <x:c r="B5" s="6" t="str">
        <x:v>2025平均 THB</x:v>
      </x:c>
      <x:c r="C5" s="6" t="str">
        <x:v>2024対比</x:v>
      </x:c>
      <x:c r="D5" s="6" t="str">
        <x:v>2024基準指数</x:v>
      </x:c>
      <x:c r="E5" s="6" t="str">
        <x:v>2025指数</x:v>
      </x:c>
    </x:row>
    <x:row r="6" ht="18.75" customHeight="1">
      <x:c r="A6" s="2" t="str">
        <x:v>ATTO 3</x:v>
      </x:c>
      <x:c r="B6" s="8" t="n">
        <x:v>556674</x:v>
      </x:c>
      <x:c r="C6" s="14" t="n">
        <x:v>-0.3</x:v>
      </x:c>
      <x:c r="D6" s="15" t="n">
        <x:v>100</x:v>
      </x:c>
      <x:c r="E6" s="15" t="n">
        <x:f>D6*(1+C6)</x:f>
        <x:v>70</x:v>
      </x:c>
    </x:row>
    <x:row r="7" ht="18.75" customHeight="1">
      <x:c r="A7" s="2" t="str">
        <x:v>DOLPHIN</x:v>
      </x:c>
      <x:c r="B7" s="8" t="n">
        <x:v>445000</x:v>
      </x:c>
      <x:c r="C7" s="14" t="n">
        <x:v>-0.22</x:v>
      </x:c>
      <x:c r="D7" s="15" t="n">
        <x:v>100</x:v>
      </x:c>
      <x:c r="E7" s="15" t="n">
        <x:f>D7*(1+C7)</x:f>
        <x:v>78</x:v>
      </x:c>
    </x:row>
    <x:row r="8" ht="18.75" customHeight="1">
      <x:c r="A8" s="2" t="str">
        <x:v>SEAL</x:v>
      </x:c>
      <x:c r="B8" s="8" t="n">
        <x:v>897000</x:v>
      </x:c>
      <x:c r="C8" s="14" t="n">
        <x:v>-0.21</x:v>
      </x:c>
      <x:c r="D8" s="15" t="n">
        <x:v>100</x:v>
      </x:c>
      <x:c r="E8" s="15" t="n">
        <x:f>D8*(1+C8)</x:f>
        <x:v>79</x:v>
      </x:c>
    </x:row>
    <x:row r="9" ht="18.75" customHeight="1">
      <x:c r="A9" s="2"/>
      <x:c r="B9" s="2"/>
      <x:c r="C9" s="2"/>
      <x:c r="D9" s="2"/>
      <x:c r="E9" s="2"/>
    </x:row>
    <x:row r="10" ht="18.75" customHeight="1">
      <x:c r="A10" s="2"/>
      <x:c r="B10" s="2"/>
      <x:c r="C10" s="2"/>
      <x:c r="D10" s="2"/>
      <x:c r="E10" s="2"/>
    </x:row>
    <x:row r="11" ht="18.75" customHeight="1">
      <x:c r="A11" s="2"/>
      <x:c r="B11" s="2"/>
      <x:c r="C11" s="2"/>
      <x:c r="D11" s="2"/>
      <x:c r="E11" s="2"/>
    </x:row>
    <x:row r="12" ht="18.75" customHeight="1">
      <x:c r="A12" s="2"/>
      <x:c r="B12" s="2"/>
      <x:c r="C12" s="2"/>
      <x:c r="D12" s="2"/>
      <x:c r="E12" s="2"/>
    </x:row>
    <x:row r="13" ht="18.75" customHeight="1">
      <x:c r="A13" s="2"/>
      <x:c r="B13" s="2"/>
      <x:c r="C13" s="2"/>
      <x:c r="D13" s="2"/>
      <x:c r="E13" s="2"/>
    </x:row>
    <x:row r="14" ht="18.75" customHeight="1">
      <x:c r="A14" s="2"/>
      <x:c r="B14" s="2"/>
      <x:c r="C14" s="2"/>
      <x:c r="D14" s="2"/>
      <x:c r="E14" s="2"/>
    </x:row>
    <x:row r="15" ht="18.75" customHeight="1">
      <x:c r="A15" s="2"/>
      <x:c r="B15" s="2"/>
      <x:c r="C15" s="2"/>
      <x:c r="D15" s="2"/>
      <x:c r="E15" s="2"/>
    </x:row>
    <x:row r="16" ht="18.75" customHeight="1">
      <x:c r="A16" s="2"/>
      <x:c r="B16" s="2"/>
      <x:c r="C16" s="2"/>
      <x:c r="D16" s="2"/>
      <x:c r="E16" s="2"/>
    </x:row>
    <x:row r="17" ht="18.75" customHeight="1">
      <x:c r="A17" s="2"/>
      <x:c r="B17" s="2"/>
      <x:c r="C17" s="2"/>
      <x:c r="D17" s="2"/>
      <x:c r="E17" s="2"/>
    </x:row>
    <x:row r="18" ht="18.75" customHeight="1">
      <x:c r="A18" s="2"/>
      <x:c r="B18" s="2"/>
      <x:c r="C18" s="2"/>
      <x:c r="D18" s="2"/>
      <x:c r="E18" s="2"/>
    </x:row>
    <x:row r="19" ht="18.75" customHeight="1">
      <x:c r="A19" s="2"/>
      <x:c r="B19" s="2"/>
      <x:c r="C19" s="2"/>
      <x:c r="D19" s="2"/>
      <x:c r="E19" s="2"/>
    </x:row>
    <x:row r="20" ht="18.75" customHeight="1">
      <x:c r="A20" s="2"/>
      <x:c r="B20" s="2"/>
      <x:c r="C20" s="2"/>
      <x:c r="D20" s="2"/>
      <x:c r="E20" s="2"/>
    </x:row>
    <x:row r="21" ht="18.75" customHeight="1">
      <x:c r="A21" s="2"/>
      <x:c r="B21" s="2"/>
      <x:c r="C21" s="2"/>
      <x:c r="D21" s="2"/>
      <x:c r="E21" s="2"/>
    </x:row>
    <x:row r="22" ht="18.75" customHeight="1">
      <x:c r="A22" s="2"/>
      <x:c r="B22" s="2"/>
      <x:c r="C22" s="2"/>
      <x:c r="D22" s="2"/>
      <x:c r="E22" s="2"/>
    </x:row>
    <x:row r="23" ht="18.75" customHeight="1">
      <x:c r="A23" s="2"/>
      <x:c r="B23" s="2"/>
      <x:c r="C23" s="2"/>
      <x:c r="D23" s="2"/>
      <x:c r="E23" s="2"/>
    </x:row>
    <x:row r="24" ht="18.75" customHeight="1">
      <x:c r="A24" s="2"/>
      <x:c r="B24" s="2"/>
      <x:c r="C24" s="2"/>
      <x:c r="D24" s="2"/>
      <x:c r="E24" s="2"/>
    </x:row>
    <x:row r="25" ht="18.75" customHeight="1">
      <x:c r="A25" s="2"/>
      <x:c r="B25" s="2"/>
      <x:c r="C25" s="2"/>
      <x:c r="D25" s="2"/>
      <x:c r="E25" s="2"/>
    </x:row>
    <x:row r="26" ht="18.75" customHeight="1">
      <x:c r="A26" s="2"/>
      <x:c r="B26" s="2"/>
      <x:c r="C26" s="2"/>
      <x:c r="D26" s="2"/>
      <x:c r="E26" s="2"/>
    </x:row>
    <x:row r="27" ht="18.75" customHeight="1">
      <x:c r="A27" s="2"/>
      <x:c r="B27" s="2"/>
      <x:c r="C27" s="2"/>
      <x:c r="D27" s="2"/>
      <x:c r="E27" s="2"/>
    </x:row>
    <x:row r="28" ht="18.75" customHeight="1">
      <x:c r="A28" s="2"/>
      <x:c r="B28" s="2"/>
      <x:c r="C28" s="2"/>
      <x:c r="D28" s="2"/>
      <x:c r="E28" s="2"/>
    </x:row>
    <x:row r="29" ht="18.75" customHeight="1">
      <x:c r="A29" s="2"/>
      <x:c r="B29" s="2"/>
      <x:c r="C29" s="2"/>
      <x:c r="D29" s="2"/>
      <x:c r="E29" s="2"/>
    </x:row>
    <x:row r="30" ht="18.75" customHeight="1">
      <x:c r="A30" s="2" t="str">
        <x:v>2026年の単日中央値とは接続せず、Toyotaの同条件時系列との比較も未実施。</x:v>
      </x:c>
      <x:c r="B30" s="2"/>
      <x:c r="C30" s="2"/>
      <x:c r="D30" s="2"/>
      <x:c r="E30" s="2"/>
    </x:row>
    <x:row r="31" ht="18.75" customHeight="1">
      <x:c r="A31" s="2" t="str">
        <x:v>モデル</x:v>
      </x:c>
      <x:c r="B31" s="2" t="str">
        <x:v>2024指数</x:v>
      </x:c>
      <x:c r="C31" s="2" t="str">
        <x:v>2025指数</x:v>
      </x:c>
      <x:c r="D31" s="2"/>
      <x:c r="E31" s="2"/>
    </x:row>
    <x:row r="32" ht="18.75" customHeight="1">
      <x:c r="A32" s="2" t="str">
        <x:f>A6</x:f>
        <x:v>ATTO 3</x:v>
      </x:c>
      <x:c r="B32" s="2" t="n">
        <x:f>D6</x:f>
        <x:v>100</x:v>
      </x:c>
      <x:c r="C32" s="2" t="n">
        <x:f>E6</x:f>
        <x:v>70</x:v>
      </x:c>
      <x:c r="D32" s="2"/>
      <x:c r="E32" s="2"/>
    </x:row>
    <x:row r="33" ht="18.75" customHeight="1">
      <x:c r="A33" s="2" t="str">
        <x:f>A7</x:f>
        <x:v>DOLPHIN</x:v>
      </x:c>
      <x:c r="B33" s="2" t="n">
        <x:f>D7</x:f>
        <x:v>100</x:v>
      </x:c>
      <x:c r="C33" s="2" t="n">
        <x:f>E7</x:f>
        <x:v>78</x:v>
      </x:c>
      <x:c r="D33" s="2"/>
      <x:c r="E33" s="2"/>
    </x:row>
    <x:row r="34" ht="18.75" customHeight="1">
      <x:c r="A34" s="2" t="str">
        <x:f>A8</x:f>
        <x:v>SEAL</x:v>
      </x:c>
      <x:c r="B34" s="2" t="n">
        <x:f>D8</x:f>
        <x:v>100</x:v>
      </x:c>
      <x:c r="C34" s="2" t="n">
        <x:f>E8</x:f>
        <x:v>79</x:v>
      </x:c>
      <x:c r="D34" s="2"/>
      <x:c r="E34" s="2"/>
    </x:row>
  </x:sheetData>
  <x:pageMargins left="0.7" right="0.7" top="0.75" bottom="0.75" header="0.3" footer="0.3"/>
  <x:drawing xmlns:r="http://schemas.openxmlformats.org/officeDocument/2006/relationships" r:id="R9275e362e76b4e5f"/>
</x:worksheet>
</file>

<file path=xl/worksheets/sheet7.xml><?xml version="1.0" encoding="utf-8"?>
<x:worksheet xmlns:x="http://schemas.openxmlformats.org/spreadsheetml/2006/main">
  <x:sheetPr>
    <x:tabColor rgb="FF287FB0"/>
  </x:sheetPr>
  <x:sheetViews>
    <x:sheetView showGridLines="0" workbookViewId="0"/>
  </x:sheetViews>
  <x:sheetFormatPr defaultRowHeight="15"/>
  <x:cols>
    <x:col min="1" max="1" width="39.439998626708984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 ht="18.75" customHeight="1">
      <x:c r="A1" s="2"/>
      <x:c r="B1" s="2"/>
      <x:c r="C1" s="2"/>
      <x:c r="D1" s="2"/>
    </x:row>
    <x:row r="2" ht="18.75" customHeight="1">
      <x:c r="A2" s="3" t="str">
        <x:v>実支払と保有費の条件付き比較</x:v>
      </x:c>
      <x:c r="B2" s="2"/>
      <x:c r="C2" s="2"/>
      <x:c r="D2" s="2"/>
    </x:row>
    <x:row r="3" ht="22.5" customHeight="1">
      <x:c r="A3" s="2" t="str">
        <x:v>現金購入の説明用試算。購入価格は公表値、将来売却・料金・整備・保険等の黄色セルは全て仮定。</x:v>
      </x:c>
      <x:c r="B3" s="2"/>
      <x:c r="C3" s="2"/>
      <x:c r="D3" s="2"/>
    </x:row>
    <x:row r="4" ht="18.75" customHeight="1">
      <x:c r="A4" s="2"/>
      <x:c r="B4" s="2"/>
      <x:c r="C4" s="2"/>
      <x:c r="D4" s="2"/>
    </x:row>
    <x:row r="5" ht="18.75" customHeight="1">
      <x:c r="A5" s="2"/>
      <x:c r="B5" s="2"/>
      <x:c r="C5" s="2"/>
      <x:c r="D5" s="2"/>
    </x:row>
    <x:row r="6" ht="18.75" customHeight="1">
      <x:c r="A6" s="2" t="str">
        <x:v>保有期間 年</x:v>
      </x:c>
      <x:c r="B6" s="17" t="n">
        <x:v>5</x:v>
      </x:c>
      <x:c r="C6" s="2"/>
      <x:c r="D6" s="2"/>
    </x:row>
    <x:row r="7" ht="18.75" customHeight="1">
      <x:c r="A7" s="2" t="str">
        <x:v>年間走行 km</x:v>
      </x:c>
      <x:c r="B7" s="17" t="n">
        <x:v>15000</x:v>
      </x:c>
      <x:c r="C7" s="2"/>
      <x:c r="D7" s="2"/>
    </x:row>
    <x:row r="8" ht="18.75" customHeight="1">
      <x:c r="A8" s="2" t="str">
        <x:v>ガソリン THB/L</x:v>
      </x:c>
      <x:c r="B8" s="17" t="n">
        <x:v>35</x:v>
      </x:c>
      <x:c r="C8" s="2"/>
      <x:c r="D8" s="2"/>
    </x:row>
    <x:row r="9" ht="18.75" customHeight="1">
      <x:c r="A9" s="2" t="str">
        <x:v>自宅電気 THB/kWh</x:v>
      </x:c>
      <x:c r="B9" s="17" t="n">
        <x:v>4.5</x:v>
      </x:c>
      <x:c r="C9" s="2"/>
      <x:c r="D9" s="2"/>
    </x:row>
    <x:row r="10" ht="18.75" customHeight="1">
      <x:c r="A10" s="2" t="str">
        <x:v>公共充電 THB/kWh</x:v>
      </x:c>
      <x:c r="B10" s="17" t="n">
        <x:v>7.5</x:v>
      </x:c>
      <x:c r="C10" s="2"/>
      <x:c r="D10" s="2"/>
    </x:row>
    <x:row r="11" ht="18.75" customHeight="1">
      <x:c r="A11" s="2" t="str">
        <x:v>自宅充電比率</x:v>
      </x:c>
      <x:c r="B11" s="18" t="n">
        <x:v>0.8</x:v>
      </x:c>
      <x:c r="C11" s="2"/>
      <x:c r="D11" s="2"/>
    </x:row>
    <x:row r="12" ht="18.75" customHeight="1">
      <x:c r="A12" s="2" t="str">
        <x:v>BEV電費 kWh/100km（購入電力）</x:v>
      </x:c>
      <x:c r="B12" s="17" t="n">
        <x:v>16</x:v>
      </x:c>
      <x:c r="C12" s="2"/>
      <x:c r="D12" s="2"/>
    </x:row>
    <x:row r="13" ht="18.75" customHeight="1">
      <x:c r="A13" s="2" t="str">
        <x:v>HEV燃費 km/L</x:v>
      </x:c>
      <x:c r="B13" s="17" t="n">
        <x:v>25</x:v>
      </x:c>
      <x:c r="C13" s="2"/>
      <x:c r="D13" s="2"/>
    </x:row>
    <x:row r="14" ht="18.75" customHeight="1">
      <x:c r="A14" s="2" t="str">
        <x:v>BEV 年整備費 THB</x:v>
      </x:c>
      <x:c r="B14" s="17" t="n">
        <x:v>6000</x:v>
      </x:c>
      <x:c r="C14" s="2"/>
      <x:c r="D14" s="2"/>
    </x:row>
    <x:row r="15" ht="18.75" customHeight="1">
      <x:c r="A15" s="2" t="str">
        <x:v>HEV 年整備費 THB</x:v>
      </x:c>
      <x:c r="B15" s="17" t="n">
        <x:v>10000</x:v>
      </x:c>
      <x:c r="C15" s="2"/>
      <x:c r="D15" s="2"/>
    </x:row>
    <x:row r="16" ht="18.75" customHeight="1">
      <x:c r="A16" s="2" t="str">
        <x:v>BEV 保険料の期間合計 THB</x:v>
      </x:c>
      <x:c r="B16" s="17" t="n">
        <x:v>110000</x:v>
      </x:c>
      <x:c r="C16" s="2"/>
      <x:c r="D16" s="2"/>
    </x:row>
    <x:row r="17" ht="18.75" customHeight="1">
      <x:c r="A17" s="2" t="str">
        <x:v>HEV 保険料の期間合計 THB</x:v>
      </x:c>
      <x:c r="B17" s="17" t="n">
        <x:v>100000</x:v>
      </x:c>
      <x:c r="C17" s="2"/>
      <x:c r="D17" s="2"/>
    </x:row>
    <x:row r="18" ht="18.75" customHeight="1">
      <x:c r="A18" s="2" t="str">
        <x:v>BEV 自宅充電設備 THB</x:v>
      </x:c>
      <x:c r="B18" s="17" t="n">
        <x:v>25000</x:v>
      </x:c>
      <x:c r="C18" s="2"/>
      <x:c r="D18" s="2"/>
    </x:row>
    <x:row r="19" ht="18.75" customHeight="1">
      <x:c r="A19" s="2" t="str">
        <x:v>BEV 資金調達費の期間合計 THB</x:v>
      </x:c>
      <x:c r="B19" s="17" t="n">
        <x:v>0</x:v>
      </x:c>
      <x:c r="C19" s="2"/>
      <x:c r="D19" s="2"/>
    </x:row>
    <x:row r="20" ht="18.75" customHeight="1">
      <x:c r="A20" s="2" t="str">
        <x:v>HEV 資金調達費の期間合計 THB</x:v>
      </x:c>
      <x:c r="B20" s="17" t="n">
        <x:v>0</x:v>
      </x:c>
      <x:c r="C20" s="2"/>
      <x:c r="D20" s="2"/>
    </x:row>
    <x:row r="21" ht="18.75" customHeight="1">
      <x:c r="A21" s="2" t="str">
        <x:v>同一BEVの将来売却額 THB</x:v>
      </x:c>
      <x:c r="B21" s="17" t="n">
        <x:v>360000</x:v>
      </x:c>
      <x:c r="C21" s="2"/>
      <x:c r="D21" s="2"/>
    </x:row>
    <x:row r="22" ht="18.75" customHeight="1">
      <x:c r="A22" s="2" t="str">
        <x:v>HEVの将来売却額 THB</x:v>
      </x:c>
      <x:c r="B22" s="17" t="n">
        <x:v>642850</x:v>
      </x:c>
      <x:c r="C22" s="2"/>
      <x:c r="D22" s="2"/>
    </x:row>
    <x:row r="23" ht="18.75" customHeight="1">
      <x:c r="A23" s="2"/>
      <x:c r="B23" s="2"/>
      <x:c r="C23" s="2"/>
      <x:c r="D23" s="2"/>
    </x:row>
    <x:row r="24" ht="18.75" customHeight="1">
      <x:c r="A24" s="2"/>
      <x:c r="B24" s="2"/>
      <x:c r="C24" s="2"/>
      <x:c r="D24" s="2"/>
    </x:row>
    <x:row r="25" ht="18.75" customHeight="1">
      <x:c r="A25" s="2"/>
      <x:c r="B25" s="2"/>
      <x:c r="C25" s="2"/>
      <x:c r="D25" s="2"/>
    </x:row>
    <x:row r="26" ht="36" customHeight="1">
      <x:c r="A26" s="6" t="str">
        <x:v>費用・条件</x:v>
      </x:c>
      <x:c r="B26" s="6" t="str">
        <x:v>ATTO通常価格基準</x:v>
      </x:c>
      <x:c r="C26" s="6" t="str">
        <x:v>ATTO一般特価基準</x:v>
      </x:c>
      <x:c r="D26" s="6" t="str">
        <x:v>Cross通常価格基準</x:v>
      </x:c>
    </x:row>
    <x:row r="27" ht="18.75" customHeight="1">
      <x:c r="A27" s="2" t="str">
        <x:v>購入価格 THB</x:v>
      </x:c>
      <x:c r="B27" s="8" t="n">
        <x:f>'購入価格'!C6</x:f>
        <x:v>799900</x:v>
      </x:c>
      <x:c r="C27" s="8" t="n">
        <x:f>'購入価格'!D6</x:f>
        <x:v>669900</x:v>
      </x:c>
      <x:c r="D27" s="8" t="n">
        <x:f>'購入価格'!C8</x:f>
        <x:v>989000</x:v>
      </x:c>
    </x:row>
    <x:row r="28" ht="18.75" customHeight="1">
      <x:c r="A28" s="2" t="str">
        <x:v>将来売却額（仮定）</x:v>
      </x:c>
      <x:c r="B28" s="8" t="n">
        <x:f>IF(ISNUMBER($B$21),$B$21,"入力不足")</x:f>
        <x:v>360000</x:v>
      </x:c>
      <x:c r="C28" s="8" t="n">
        <x:f>IF(ISNUMBER($B$21),$B$21,"入力不足")</x:f>
        <x:v>360000</x:v>
      </x:c>
      <x:c r="D28" s="8" t="n">
        <x:f>IF(ISNUMBER($B$22),$B$22,"入力不足")</x:f>
        <x:v>642850</x:v>
      </x:c>
    </x:row>
    <x:row r="29" ht="18.75" customHeight="1">
      <x:c r="A29" s="2" t="str">
        <x:v>購入価格比の残価率</x:v>
      </x:c>
      <x:c r="B29" s="9" t="n">
        <x:f>IF(AND(ISNUMBER(B27),ISNUMBER(B28)),B28/B27,"入力不足")</x:f>
        <x:v>0.45005625703212904</x:v>
      </x:c>
      <x:c r="C29" s="9" t="n">
        <x:f>IF(AND(ISNUMBER(C27),ISNUMBER(C28)),C28/C27,"入力不足")</x:f>
        <x:v>0.5373936408419167</x:v>
      </x:c>
      <x:c r="D29" s="9" t="n">
        <x:f>IF(AND(ISNUMBER(D27),ISNUMBER(D28)),D28/D27,"入力不足")</x:f>
        <x:v>0.65</x:v>
      </x:c>
    </x:row>
    <x:row r="30" ht="18.75" customHeight="1">
      <x:c r="A30" s="2" t="str">
        <x:v>価格差による保有費</x:v>
      </x:c>
      <x:c r="B30" s="8" t="n">
        <x:f>IF(AND(ISNUMBER(B27),ISNUMBER(B28)),B27-B28,"入力不足")</x:f>
        <x:v>439900</x:v>
      </x:c>
      <x:c r="C30" s="8" t="n">
        <x:f>IF(AND(ISNUMBER(C27),ISNUMBER(C28)),C27-C28,"入力不足")</x:f>
        <x:v>309900</x:v>
      </x:c>
      <x:c r="D30" s="8" t="n">
        <x:f>IF(AND(ISNUMBER(D27),ISNUMBER(D28)),D27-D28,"入力不足")</x:f>
        <x:v>346150</x:v>
      </x:c>
    </x:row>
    <x:row r="31" ht="18.75" customHeight="1">
      <x:c r="A31" s="2" t="str">
        <x:v>エネルギー費</x:v>
      </x:c>
      <x:c r="B31" s="8" t="n">
        <x:f>$B$6*$B$7*$B$12/100*($B$11*$B$9+(1-$B$11)*$B$10)</x:f>
        <x:v>61199.99999999999</x:v>
      </x:c>
      <x:c r="C31" s="8" t="n">
        <x:f>B31</x:f>
        <x:v>61199.99999999999</x:v>
      </x:c>
      <x:c r="D31" s="8" t="n">
        <x:f>$B$6*$B$7*$B$8/$B$13</x:f>
        <x:v>105000</x:v>
      </x:c>
    </x:row>
    <x:row r="32" ht="18.75" customHeight="1">
      <x:c r="A32" s="2" t="str">
        <x:v>整備費</x:v>
      </x:c>
      <x:c r="B32" s="8" t="n">
        <x:f>$B$6*$B$14</x:f>
        <x:v>30000</x:v>
      </x:c>
      <x:c r="C32" s="8" t="n">
        <x:f>B32</x:f>
        <x:v>30000</x:v>
      </x:c>
      <x:c r="D32" s="8" t="n">
        <x:f>$B$6*$B$15</x:f>
        <x:v>50000</x:v>
      </x:c>
    </x:row>
    <x:row r="33" ht="18.75" customHeight="1">
      <x:c r="A33" s="2" t="str">
        <x:v>保険料</x:v>
      </x:c>
      <x:c r="B33" s="8" t="n">
        <x:f>$B$16</x:f>
        <x:v>110000</x:v>
      </x:c>
      <x:c r="C33" s="8" t="n">
        <x:f>B33</x:f>
        <x:v>110000</x:v>
      </x:c>
      <x:c r="D33" s="8" t="n">
        <x:f>$B$17</x:f>
        <x:v>100000</x:v>
      </x:c>
    </x:row>
    <x:row r="34" ht="18.75" customHeight="1">
      <x:c r="A34" s="2" t="str">
        <x:v>充電設備</x:v>
      </x:c>
      <x:c r="B34" s="8" t="n">
        <x:f>$B$18</x:f>
        <x:v>25000</x:v>
      </x:c>
      <x:c r="C34" s="8" t="n">
        <x:f>B34</x:f>
        <x:v>25000</x:v>
      </x:c>
      <x:c r="D34" s="8" t="n">
        <x:v>0</x:v>
      </x:c>
    </x:row>
    <x:row r="35" ht="18.75" customHeight="1">
      <x:c r="A35" s="2" t="str">
        <x:v>資金調達費</x:v>
      </x:c>
      <x:c r="B35" s="8" t="n">
        <x:f>$B$19</x:f>
        <x:v>0</x:v>
      </x:c>
      <x:c r="C35" s="8" t="n">
        <x:f>B35</x:f>
        <x:v>0</x:v>
      </x:c>
      <x:c r="D35" s="8" t="n">
        <x:f>$B$20</x:f>
        <x:v>0</x:v>
      </x:c>
    </x:row>
    <x:row r="36" ht="18.75" customHeight="1">
      <x:c r="A36" s="2" t="str">
        <x:v>走行・その他費用の合計</x:v>
      </x:c>
      <x:c r="B36" s="8" t="n">
        <x:f>SUM(B31:B35)</x:f>
        <x:v>226200</x:v>
      </x:c>
      <x:c r="C36" s="8" t="n">
        <x:f>SUM(C31:C35)</x:f>
        <x:v>226200</x:v>
      </x:c>
      <x:c r="D36" s="8" t="n">
        <x:f>SUM(D31:D35)</x:f>
        <x:v>255000</x:v>
      </x:c>
    </x:row>
    <x:row r="37" ht="18.75" customHeight="1">
      <x:c r="A37" s="21" t="str">
        <x:v>期間保有費 THB</x:v>
      </x:c>
      <x:c r="B37" s="22" t="n">
        <x:f>IF(AND(COUNT($B$6:$B$22)=17,ISNUMBER(B27),ISNUMBER(B28)),SUM(B30,B36),"入力不足")</x:f>
        <x:v>666100</x:v>
      </x:c>
      <x:c r="C37" s="22" t="n">
        <x:f>IF(AND(COUNT($B$6:$B$22)=17,ISNUMBER(C27),ISNUMBER(C28)),SUM(C30,C36),"入力不足")</x:f>
        <x:v>536100</x:v>
      </x:c>
      <x:c r="D37" s="22" t="n">
        <x:f>IF(AND(COUNT($B$6:$B$22)=17,ISNUMBER(D27),ISNUMBER(D28)),SUM(D30,D36),"入力不足")</x:f>
        <x:v>601150</x:v>
      </x:c>
    </x:row>
    <x:row r="38" ht="18.75" customHeight="1">
      <x:c r="A38" s="2" t="str">
        <x:v>HEV保有費との差</x:v>
      </x:c>
      <x:c r="B38" s="8" t="n">
        <x:f>IF(AND(ISNUMBER(B37),ISNUMBER($D$37)),B37-$D$37,"入力不足")</x:f>
        <x:v>64950</x:v>
      </x:c>
      <x:c r="C38" s="8" t="n">
        <x:f>IF(AND(ISNUMBER(C37),ISNUMBER($D$37)),C37-$D$37,"入力不足")</x:f>
        <x:v>-65050</x:v>
      </x:c>
      <x:c r="D38" s="8" t="n">
        <x:f>IF(AND(ISNUMBER(D37),ISNUMBER($D$37)),D37-$D$37,"入力不足")</x:f>
        <x:v>0</x:v>
      </x:c>
    </x:row>
    <x:row r="39" ht="18.75" customHeight="1">
      <x:c r="A39" s="2" t="str">
        <x:v>同額になるHEV売却額</x:v>
      </x:c>
      <x:c r="B39" s="8" t="n">
        <x:f>IF(ISNUMBER(B37),$D$27+$D$36-B37,"入力不足")</x:f>
        <x:v>577900</x:v>
      </x:c>
      <x:c r="C39" s="8" t="n">
        <x:f>IF(ISNUMBER(C37),$D$27+$D$36-C37,"入力不足")</x:f>
        <x:v>707900</x:v>
      </x:c>
      <x:c r="D39" s="8" t="str">
        <x:v>基準</x:v>
      </x:c>
    </x:row>
    <x:row r="40" ht="18.75" customHeight="1">
      <x:c r="A40" s="2" t="str">
        <x:v>同額になるHEV残価率</x:v>
      </x:c>
      <x:c r="B40" s="9" t="n">
        <x:f>IF(ISNUMBER(B39),B39/$D$27,"入力不足")</x:f>
        <x:v>0.5843276036400404</x:v>
      </x:c>
      <x:c r="C40" s="9" t="n">
        <x:f>IF(ISNUMBER(C39),C39/$D$27,"入力不足")</x:f>
        <x:v>0.7157735085945399</x:v>
      </x:c>
      <x:c r="D40" s="2" t="str">
        <x:v>基準</x:v>
      </x:c>
    </x:row>
    <x:row r="41" ht="18.75" customHeight="1">
      <x:c r="A41" s="2"/>
      <x:c r="B41" s="2"/>
      <x:c r="C41" s="2"/>
      <x:c r="D41" s="2"/>
    </x:row>
    <x:row r="42" ht="18.75" customHeight="1">
      <x:c r="A42" s="2"/>
      <x:c r="B42" s="2"/>
      <x:c r="C42" s="2"/>
      <x:c r="D42" s="2"/>
    </x:row>
    <x:row r="43" ht="18.75" customHeight="1">
      <x:c r="A43" s="2" t="str">
        <x:v>同一BEVは購入時価格が違っても将来売却額を同じ仮定に固定。将来の市場価格を予測したものではありません。</x:v>
      </x:c>
      <x:c r="B43" s="2"/>
      <x:c r="C43" s="2"/>
      <x:c r="D43" s="2"/>
    </x:row>
    <x:row r="44" ht="18.75" customHeight="1">
      <x:c r="A44" s="2" t="str">
        <x:v>Toyotaの金融・付帯特典、保証条件、事故・修理、税・手数料は実見積で再評価します。売却額の保証コストも企業採算に含めます。</x:v>
      </x:c>
      <x:c r="B44" s="2"/>
      <x:c r="C44" s="2"/>
      <x:c r="D44" s="2"/>
    </x:row>
    <x:row r="45" ht="18.75" customHeight="1">
      <x:c r="A45" s="2"/>
      <x:c r="B45" s="2"/>
      <x:c r="C45" s="2"/>
      <x:c r="D45" s="2"/>
    </x:row>
    <x:row r="46" ht="18.75" customHeight="1">
      <x:c r="A46" s="2"/>
      <x:c r="B46" s="2"/>
      <x:c r="C46" s="2"/>
      <x:c r="D46" s="2"/>
    </x:row>
    <x:row r="47" ht="18.75" customHeight="1">
      <x:c r="A47" s="2"/>
      <x:c r="B47" s="2"/>
      <x:c r="C47" s="2"/>
      <x:c r="D47" s="2"/>
    </x:row>
    <x:row r="48" ht="18.75" customHeight="1">
      <x:c r="A48" s="2"/>
      <x:c r="B48" s="2"/>
      <x:c r="C48" s="2"/>
      <x:c r="D48" s="2"/>
    </x:row>
    <x:row r="49" ht="18.75" customHeight="1">
      <x:c r="A49" s="2"/>
      <x:c r="B49" s="2"/>
      <x:c r="C49" s="2"/>
      <x:c r="D49" s="2"/>
    </x:row>
    <x:row r="50" ht="18.75" customHeight="1">
      <x:c r="A50" s="2"/>
      <x:c r="B50" s="2"/>
      <x:c r="C50" s="2"/>
      <x:c r="D50" s="2"/>
    </x:row>
    <x:row r="51" ht="18.75" customHeight="1">
      <x:c r="A51" s="2"/>
      <x:c r="B51" s="2"/>
      <x:c r="C51" s="2"/>
      <x:c r="D51" s="2"/>
    </x:row>
    <x:row r="52" ht="18.75" customHeight="1">
      <x:c r="A52" s="2"/>
      <x:c r="B52" s="2"/>
      <x:c r="C52" s="2"/>
      <x:c r="D52" s="2"/>
    </x:row>
    <x:row r="53" ht="18.75" customHeight="1">
      <x:c r="A53" s="2"/>
      <x:c r="B53" s="2"/>
      <x:c r="C53" s="2"/>
      <x:c r="D53" s="2"/>
    </x:row>
    <x:row r="54" ht="18.75" customHeight="1">
      <x:c r="A54" s="2"/>
      <x:c r="B54" s="2"/>
      <x:c r="C54" s="2"/>
      <x:c r="D54" s="2"/>
    </x:row>
    <x:row r="55" ht="18.75" customHeight="1">
      <x:c r="A55" s="2"/>
      <x:c r="B55" s="2"/>
      <x:c r="C55" s="2"/>
      <x:c r="D55" s="2"/>
    </x:row>
    <x:row r="56" ht="18.75" customHeight="1">
      <x:c r="A56" s="2"/>
      <x:c r="B56" s="2"/>
      <x:c r="C56" s="2"/>
      <x:c r="D56" s="2"/>
    </x:row>
    <x:row r="57" ht="18.75" customHeight="1">
      <x:c r="A57" s="2"/>
      <x:c r="B57" s="2"/>
      <x:c r="C57" s="2"/>
      <x:c r="D57" s="2"/>
    </x:row>
    <x:row r="58" ht="18.75" customHeight="1">
      <x:c r="A58" s="2"/>
      <x:c r="B58" s="2"/>
      <x:c r="C58" s="2"/>
      <x:c r="D58" s="2"/>
    </x:row>
    <x:row r="59" ht="18.75" customHeight="1">
      <x:c r="A59" s="2"/>
      <x:c r="B59" s="2"/>
      <x:c r="C59" s="2"/>
      <x:c r="D59" s="2"/>
    </x:row>
    <x:row r="60" ht="18.75" customHeight="1">
      <x:c r="A60" s="2"/>
      <x:c r="B60" s="2"/>
      <x:c r="C60" s="2"/>
      <x:c r="D60" s="2"/>
    </x:row>
    <x:row r="61" ht="18.75" customHeight="1">
      <x:c r="A61" s="2"/>
      <x:c r="B61" s="2"/>
      <x:c r="C61" s="2"/>
      <x:c r="D61" s="2"/>
    </x:row>
    <x:row r="62" ht="18.75" customHeight="1">
      <x:c r="A62" s="2"/>
      <x:c r="B62" s="2"/>
      <x:c r="C62" s="2"/>
      <x:c r="D62" s="2"/>
    </x:row>
    <x:row r="63" ht="18.75" customHeight="1">
      <x:c r="A63" s="2"/>
      <x:c r="B63" s="2"/>
      <x:c r="C63" s="2"/>
      <x:c r="D63" s="2"/>
    </x:row>
    <x:row r="64" ht="18.75" customHeight="1">
      <x:c r="A64" s="2"/>
      <x:c r="B64" s="2"/>
      <x:c r="C64" s="2"/>
      <x:c r="D64" s="2"/>
    </x:row>
    <x:row r="65" ht="18.75" customHeight="1">
      <x:c r="A65" s="2"/>
      <x:c r="B65" s="2"/>
      <x:c r="C65" s="2"/>
      <x:c r="D65" s="2"/>
    </x:row>
    <x:row r="66" ht="18.75" customHeight="1">
      <x:c r="A66" s="2" t="str">
        <x:v>購入価格の基準</x:v>
      </x:c>
      <x:c r="B66" s="2" t="str">
        <x:v>保有費 THB</x:v>
      </x:c>
      <x:c r="C66" s="2"/>
      <x:c r="D66" s="2"/>
    </x:row>
    <x:row r="67" ht="18.75" customHeight="1">
      <x:c r="A67" s="2" t="str">
        <x:v>BEV通常価格基準</x:v>
      </x:c>
      <x:c r="B67" s="2" t="n">
        <x:f>B37</x:f>
        <x:v>666100</x:v>
      </x:c>
      <x:c r="C67" s="2"/>
      <x:c r="D67" s="2"/>
    </x:row>
    <x:row r="68" ht="18.75" customHeight="1">
      <x:c r="A68" s="2" t="str">
        <x:v>BEV一般特価基準</x:v>
      </x:c>
      <x:c r="B68" s="2" t="n">
        <x:f>C37</x:f>
        <x:v>536100</x:v>
      </x:c>
      <x:c r="C68" s="2"/>
      <x:c r="D68" s="2"/>
    </x:row>
    <x:row r="69" ht="18.75" customHeight="1">
      <x:c r="A69" s="2" t="str">
        <x:v>HEV通常価格基準</x:v>
      </x:c>
      <x:c r="B69" s="2" t="n">
        <x:f>D37</x:f>
        <x:v>601150</x:v>
      </x:c>
      <x:c r="C69" s="2"/>
      <x:c r="D69" s="2"/>
    </x:row>
    <x:row r="70" ht="18.75" customHeight="1">
      <x:c r="A70" s="2"/>
      <x:c r="B70" s="2"/>
      <x:c r="C70" s="2"/>
      <x:c r="D70" s="2"/>
    </x:row>
    <x:row r="71" ht="18.75" customHeight="1">
      <x:c r="A71" s="2"/>
      <x:c r="B71" s="2"/>
      <x:c r="C71" s="2"/>
      <x:c r="D71" s="2"/>
    </x:row>
  </x:sheetData>
  <x:pageMargins left="0.7" right="0.7" top="0.75" bottom="0.75" header="0.3" footer="0.3"/>
  <x:drawing xmlns:r="http://schemas.openxmlformats.org/officeDocument/2006/relationships" r:id="R8a5db99acef94617"/>
</x:worksheet>
</file>

<file path=xl/worksheets/sheet8.xml><?xml version="1.0" encoding="utf-8"?>
<x:worksheet xmlns:x="http://schemas.openxmlformats.org/spreadsheetml/2006/main">
  <x:sheetPr>
    <x:tabColor rgb="FF287FB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890000343322754" hidden="0" customWidth="1"/>
    <x:col min="2" max="2" width="36.66999816894531" hidden="0" customWidth="1"/>
    <x:col min="3" max="3" width="44.439998626708984" hidden="0" customWidth="1"/>
    <x:col min="4" max="4" width="45" hidden="0" customWidth="1"/>
    <x:col min="5" max="5" width="45.560001373291016" hidden="0" customWidth="1"/>
    <x:col min="6" max="6" width="17.780000686645508" hidden="0" customWidth="1"/>
    <x:col min="7" max="7" width="28.889999389648438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</x:row>
    <x:row r="2" ht="18.75" customHeight="1">
      <x:c r="A2" s="3" t="str">
        <x:v>日系OEMの戦略と条件</x:v>
      </x:c>
      <x:c r="B2" s="2"/>
      <x:c r="C2" s="2"/>
      <x:c r="D2" s="2"/>
      <x:c r="E2" s="2"/>
      <x:c r="F2" s="2"/>
      <x:c r="G2" s="2"/>
    </x:row>
    <x:row r="3" ht="22.5" customHeight="1">
      <x:c r="A3" s="2" t="str">
        <x:v>以下は根拠から導いた提案。個社の既定計画、利益・将来シェアの予測ではありません。</x:v>
      </x:c>
      <x:c r="B3" s="2"/>
      <x:c r="C3" s="2"/>
      <x:c r="D3" s="2"/>
      <x:c r="E3" s="2"/>
      <x:c r="F3" s="2"/>
      <x:c r="G3" s="2"/>
    </x:row>
    <x:row r="4" ht="18.75" customHeight="1">
      <x:c r="A4" s="2"/>
      <x:c r="B4" s="2"/>
      <x:c r="C4" s="2"/>
      <x:c r="D4" s="2"/>
      <x:c r="E4" s="2"/>
      <x:c r="F4" s="2"/>
      <x:c r="G4" s="2"/>
    </x:row>
    <x:row r="5" ht="36" customHeight="1">
      <x:c r="A5" s="6" t="str">
        <x:v>優先</x:v>
      </x:c>
      <x:c r="B5" s="6" t="str">
        <x:v>提案する行動</x:v>
      </x:c>
      <x:c r="C5" s="6" t="str">
        <x:v>根拠</x:v>
      </x:c>
      <x:c r="D5" s="6" t="str">
        <x:v>判断に使う指標</x:v>
      </x:c>
      <x:c r="E5" s="6" t="str">
        <x:v>実行条件</x:v>
      </x:c>
      <x:c r="F5" s="6" t="str">
        <x:v>出典ID</x:v>
      </x:c>
      <x:c r="G5" s="6" t="str">
        <x:v>対象</x:v>
      </x:c>
    </x:row>
    <x:row r="6" ht="82.5" customHeight="1">
      <x:c r="A6" s="7" t="str">
        <x:v>1</x:v>
      </x:c>
      <x:c r="B6" s="7" t="str">
        <x:v>HEVの主力を継続し、実支払・保有費を改善</x:v>
      </x:c>
      <x:c r="C6" s="7" t="str">
        <x:v>日系HEV登録87910台、同市場の97.8%。HEV全体は前年比25.5%増</x:v>
      </x:c>
      <x:c r="D6" s="7" t="str">
        <x:v>価格帯別の成約、燃費、整備費、ローン、買取実績</x:v>
      </x:c>
      <x:c r="E6" s="7" t="str">
        <x:v>残価保証・金融優遇の費用を利益に含める</x:v>
      </x:c>
      <x:c r="F6" s="7" t="str">
        <x:v>R01,R02,R03</x:v>
      </x:c>
      <x:c r="G6" s="7" t="str">
        <x:v>トヨタ・ホンダ等のHEV主力</x:v>
      </x:c>
    </x:row>
    <x:row r="7" ht="82.5" customHeight="1">
      <x:c r="A7" s="7" t="str">
        <x:v>2</x:v>
      </x:c>
      <x:c r="B7" s="7" t="str">
        <x:v>C-SUVで価格・装備の変更を先行</x:v>
      </x:c>
      <x:c r="C7" s="7" t="str">
        <x:v>近い車体寸法のATTO3とCrossに通常価格でも差。年次改良は航続増だけではない</x:v>
      </x:c>
      <x:c r="D7" s="7" t="str">
        <x:v>比較車の実見積、失注理由、同セグメントのシェア、粗利</x:v>
      </x:c>
      <x:c r="E7" s="7" t="str">
        <x:v>外装全面刷新より、選択を左右する仕様の改善を優先する判断</x:v>
      </x:c>
      <x:c r="F7" s="7" t="str">
        <x:v>R05,R06,R15,S03,S08</x:v>
      </x:c>
      <x:c r="G7" s="7" t="str">
        <x:v>価格差が広がった主力車系</x:v>
      </x:c>
    </x:row>
    <x:row r="8" ht="82.5" customHeight="1">
      <x:c r="A8" s="7" t="str">
        <x:v>3</x:v>
      </x:c>
      <x:c r="B8" s="7" t="str">
        <x:v>充電できる顧客へ価格競争力のあるBEVを投入</x:v>
      </x:c>
      <x:c r="C8" s="7" t="str">
        <x:v>BEV登録前年比84.8%増。日系明記分1113台、表からの全日系シェア範囲は1.1〜4.4%</x:v>
      </x:c>
      <x:c r="D8" s="7" t="str">
        <x:v>充電アクセス、法人受注、車種別の採算、輸出先</x:v>
      </x:c>
      <x:c r="E8" s="7" t="str">
        <x:v>HEVのみでBEV需要を取り込めるとは仮定しない</x:v>
      </x:c>
      <x:c r="F8" s="7" t="str">
        <x:v>R01,R02</x:v>
      </x:c>
      <x:c r="G8" s="7" t="str">
        <x:v>都市居住者・法人など用途が明確な顧客</x:v>
      </x:c>
    </x:row>
    <x:row r="9" ht="82.5" customHeight="1">
      <x:c r="A9" s="7" t="str">
        <x:v>4</x:v>
      </x:c>
      <x:c r="B9" s="7" t="str">
        <x:v>中国企業の電池・共通基盤・開発力を協業に活用</x:v>
      </x:c>
      <x:c r="C9" s="7" t="str">
        <x:v>Toyota bZ3はBYD合弁等との共同開発、中国向け</x:v>
      </x:c>
      <x:c r="D9" s="7" t="str">
        <x:v>調達単価、共通化率、開発費、補修部品、保証と診断の責任</x:v>
      </x:c>
      <x:c r="E9" s="7" t="str">
        <x:v>品質・保証・部品供給をOEMが管理できる条件で採用</x:v>
      </x:c>
      <x:c r="F9" s="7" t="str">
        <x:v>R14</x:v>
      </x:c>
      <x:c r="G9" s="7" t="str">
        <x:v>自社単独のBEV開発・量産が重いOEM</x:v>
      </x:c>
    </x:row>
    <x:row r="10" ht="82.5" customHeight="1">
      <x:c r="A10" s="7" t="str">
        <x:v>5</x:v>
      </x:c>
      <x:c r="B10" s="7" t="str">
        <x:v>現地化投資を需要と輸出に合わせる</x:v>
      </x:c>
      <x:c r="C10" s="7" t="str">
        <x:v>相殺生産と輸出1.5倍算入。承認能力38.6万台/年は稼働率ではない</x:v>
      </x:c>
      <x:c r="D10" s="7" t="str">
        <x:v>実生産、稼働率、在庫、輸出受注、固定費、限界利益</x:v>
      </x:c>
      <x:c r="E10" s="7" t="str">
        <x:v>損益分岐出荷台数を国内需要と輸出見通しが上回るか確認</x:v>
      </x:c>
      <x:c r="F10" s="7" t="str">
        <x:v>R07,R08,R09</x:v>
      </x:c>
      <x:c r="G10" s="7" t="str">
        <x:v>現地工場を新設・増強する案件</x:v>
      </x:c>
    </x:row>
    <x:row r="11" ht="82.5" customHeight="1">
      <x:c r="A11" s="7" t="str">
        <x:v>6</x:v>
      </x:c>
      <x:c r="B11" s="7" t="str">
        <x:v>中国競合を車系・国・採算ごとに評価</x:v>
      </x:c>
      <x:c r="C11" s="7" t="str">
        <x:v>中国系BEVの上位4グループで72.2%。一律に強いわけではない</x:v>
      </x:c>
      <x:c r="D11" s="7" t="str">
        <x:v>モデル別販売、上位車系依存率、HHI、営業CF、整備網</x:v>
      </x:c>
      <x:c r="E11" s="7" t="str">
        <x:v>車種の数とヒット数を混同しない。単一車種でも採算が成立する場合はある</x:v>
      </x:c>
      <x:c r="F11" s="7" t="str">
        <x:v>R02,R17</x:v>
      </x:c>
      <x:c r="G11" s="7" t="str">
        <x:v>全日系OEMの競合評価</x:v>
      </x:c>
    </x:row>
    <x:row r="12" ht="18.75" customHeight="1">
      <x:c r="A12" s="2"/>
      <x:c r="B12" s="2"/>
      <x:c r="C12" s="2"/>
      <x:c r="D12" s="2"/>
      <x:c r="E12" s="2"/>
      <x:c r="F12" s="2"/>
      <x:c r="G12" s="2"/>
    </x:row>
    <x:row r="13" ht="18.75" customHeight="1">
      <x:c r="A13" s="2"/>
      <x:c r="B13" s="2"/>
      <x:c r="C13" s="2"/>
      <x:c r="D13" s="2"/>
      <x:c r="E13" s="2"/>
      <x:c r="F13" s="2"/>
      <x:c r="G13" s="2"/>
    </x:row>
    <x:row r="14" ht="18.75" customHeight="1">
      <x:c r="A14" s="2" t="str">
        <x:v>ASEAN6での適用</x:v>
      </x:c>
      <x:c r="B14" s="2"/>
      <x:c r="C14" s="2"/>
      <x:c r="D14" s="2"/>
      <x:c r="E14" s="2"/>
      <x:c r="F14" s="2"/>
      <x:c r="G14" s="2"/>
    </x:row>
    <x:row r="15" ht="18.75" customHeight="1">
      <x:c r="A15" s="2"/>
      <x:c r="B15" s="2"/>
      <x:c r="C15" s="2"/>
      <x:c r="D15" s="2"/>
      <x:c r="E15" s="2"/>
      <x:c r="F15" s="2"/>
      <x:c r="G15" s="2"/>
    </x:row>
    <x:row r="16" ht="36" customHeight="1">
      <x:c r="A16" s="6" t="str">
        <x:v>国</x:v>
      </x:c>
      <x:c r="B16" s="6" t="str">
        <x:v>確認した市場・制度条件</x:v>
      </x:c>
      <x:c r="C16" s="6" t="str">
        <x:v>戦略への接続</x:v>
      </x:c>
      <x:c r="D16" s="6" t="str">
        <x:v>出典ID</x:v>
      </x:c>
      <x:c r="E16" s="2"/>
      <x:c r="F16" s="2"/>
      <x:c r="G16" s="2"/>
    </x:row>
    <x:row r="17" ht="75" customHeight="1">
      <x:c r="A17" s="7" t="str">
        <x:v>タイ</x:v>
      </x:c>
      <x:c r="B17" s="7" t="str">
        <x:v>2026H1乗用車BEV+84.8%、HEV+25.5%。EV3.5相殺生産・輸出算入</x:v>
      </x:c>
      <x:c r="C17" s="7" t="str">
        <x:v>HEV主力の収益を保ち、都市・法人向けBEVを選択投入</x:v>
      </x:c>
      <x:c r="D17" s="7" t="str">
        <x:v>R01,R02,R07,R08</x:v>
      </x:c>
      <x:c r="E17" s="2"/>
      <x:c r="F17" s="2"/>
      <x:c r="G17" s="2"/>
    </x:row>
    <x:row r="18" ht="75" customHeight="1">
      <x:c r="A18" s="7" t="str">
        <x:v>インドネシア</x:v>
      </x:c>
      <x:c r="B18" s="7" t="str">
        <x:v>IEA：2025年EV販売比率約15%。輸入優遇終了後は現地化を重視</x:v>
      </x:c>
      <x:c r="C18" s="7" t="str">
        <x:v>MPV/SUVなど顧客用途と現地調達の採算を確認</x:v>
      </x:c>
      <x:c r="D18" s="7" t="str">
        <x:v>S46</x:v>
      </x:c>
      <x:c r="E18" s="2"/>
      <x:c r="F18" s="2"/>
      <x:c r="G18" s="2"/>
    </x:row>
    <x:row r="19" ht="75" customHeight="1">
      <x:c r="A19" s="7" t="str">
        <x:v>マレーシア</x:v>
      </x:c>
      <x:c r="B19" s="7" t="str">
        <x:v>2026/7から新規CBU条件CIF≥RM200000、出力≥180kW</x:v>
      </x:c>
      <x:c r="C19" s="7" t="str">
        <x:v>CBUの継続補充条件とCKDの採算を分けて設計</x:v>
      </x:c>
      <x:c r="D19" s="7" t="str">
        <x:v>R10,R18</x:v>
      </x:c>
      <x:c r="E19" s="2"/>
      <x:c r="F19" s="2"/>
      <x:c r="G19" s="2"/>
    </x:row>
    <x:row r="20" ht="75" customHeight="1">
      <x:c r="A20" s="7" t="str">
        <x:v>ベトナム</x:v>
      </x:c>
      <x:c r="B20" s="7" t="str">
        <x:v>BEV初回登録料0%を2030年末まで継続、2027/3施行。地場VinFastが主力</x:v>
      </x:c>
      <x:c r="C20" s="7" t="str">
        <x:v>地場競合も含め、BEVの商品・販売網・充電条件を評価</x:v>
      </x:c>
      <x:c r="D20" s="7" t="str">
        <x:v>R11,S46</x:v>
      </x:c>
      <x:c r="E20" s="2"/>
      <x:c r="F20" s="2"/>
      <x:c r="G20" s="2"/>
    </x:row>
    <x:row r="21" ht="75" customHeight="1">
      <x:c r="A21" s="7" t="str">
        <x:v>フィリピン</x:v>
      </x:c>
      <x:c r="B21" s="7" t="str">
        <x:v>対象HEV/PHEV等へ関税0%を2028年まで拡大</x:v>
      </x:c>
      <x:c r="C21" s="7" t="str">
        <x:v>HEVも制度を使って再価格評価。原産地・HSで支援効果を確認</x:v>
      </x:c>
      <x:c r="D21" s="7" t="str">
        <x:v>R12,R18</x:v>
      </x:c>
      <x:c r="E21" s="2"/>
      <x:c r="F21" s="2"/>
      <x:c r="G21" s="2"/>
    </x:row>
    <x:row r="22" ht="75" customHeight="1">
      <x:c r="A22" s="7" t="str">
        <x:v>シンガポール</x:v>
      </x:c>
      <x:c r="B22" s="7" t="str">
        <x:v>2026年VESはEVのみリベート。EEAI上限SGD7500、2027年終了</x:v>
      </x:c>
      <x:c r="C22" s="7" t="str">
        <x:v>COE区分とARFを含む負担でBEV仕様・販売計画を判断</x:v>
      </x:c>
      <x:c r="D22" s="7" t="str">
        <x:v>R13,R18</x:v>
      </x:c>
      <x:c r="E22" s="2"/>
      <x:c r="F22" s="2"/>
      <x:c r="G22" s="2"/>
    </x:row>
    <x:row r="23" ht="18.75" customHeight="1">
      <x:c r="A23" s="2"/>
      <x:c r="B23" s="2"/>
      <x:c r="C23" s="2"/>
      <x:c r="D23" s="2"/>
      <x:c r="E23" s="2"/>
      <x:c r="F23" s="2"/>
      <x:c r="G23" s="2"/>
    </x:row>
    <x:row r="24" ht="18.75" customHeight="1">
      <x:c r="A24" s="2"/>
      <x:c r="B24" s="2"/>
      <x:c r="C24" s="2"/>
      <x:c r="D24" s="2"/>
      <x:c r="E24" s="2"/>
      <x:c r="F24" s="2"/>
      <x:c r="G24" s="2"/>
    </x:row>
    <x:row r="25" ht="18.75" customHeight="1">
      <x:c r="A25" s="2"/>
      <x:c r="B25" s="2"/>
      <x:c r="C25" s="2"/>
      <x:c r="D25" s="2"/>
      <x:c r="E25" s="2"/>
      <x:c r="F25" s="2"/>
      <x:c r="G25" s="2"/>
    </x:row>
    <x:row r="26" ht="36" customHeight="1">
      <x:c r="A26" s="6" t="str">
        <x:v>実行段階</x:v>
      </x:c>
      <x:c r="B26" s="6" t="str">
        <x:v>提案する進め方</x:v>
      </x:c>
      <x:c r="C26" s="6" t="str">
        <x:v>判定条件</x:v>
      </x:c>
      <x:c r="D26" s="2"/>
      <x:c r="E26" s="2"/>
      <x:c r="F26" s="2"/>
      <x:c r="G26" s="2"/>
    </x:row>
    <x:row r="27" ht="75" customHeight="1">
      <x:c r="A27" s="7" t="str">
        <x:v>0–6か月</x:v>
      </x:c>
      <x:c r="B27" s="7" t="str">
        <x:v>同クラスの実見積、SOH・買取実績、失注理由をそろえる</x:v>
      </x:c>
      <x:c r="C27" s="7" t="str">
        <x:v>残価優位が許容できる購入価格差と、改善が必要な項目を把握</x:v>
      </x:c>
      <x:c r="D27" s="2"/>
      <x:c r="E27" s="2"/>
      <x:c r="F27" s="2"/>
      <x:c r="G27" s="2"/>
    </x:row>
    <x:row r="28" ht="75" customHeight="1">
      <x:c r="A28" s="7" t="str">
        <x:v>6–18か月</x:v>
      </x:c>
      <x:c r="B28" s="7" t="str">
        <x:v>主力HEVの仕様・実支払改善、選択的BEV・共通化案件を進める</x:v>
      </x:c>
      <x:c r="C28" s="7" t="str">
        <x:v>顧客の用途・充電条件と、車系の限界利益・開発回収を確認</x:v>
      </x:c>
      <x:c r="D28" s="2"/>
      <x:c r="E28" s="2"/>
      <x:c r="F28" s="2"/>
      <x:c r="G28" s="2"/>
    </x:row>
    <x:row r="29" ht="75" customHeight="1">
      <x:c r="A29" s="7" t="str">
        <x:v>18–36か月</x:v>
      </x:c>
      <x:c r="B29" s="7" t="str">
        <x:v>現地化・ライン増強を受注と輸出に合わせる</x:v>
      </x:c>
      <x:c r="C29" s="7" t="str">
        <x:v>国内需要＋輸出受注が損益分岐出荷台数を超えるか確認</x:v>
      </x:c>
      <x:c r="D29" s="2"/>
      <x:c r="E29" s="2"/>
      <x:c r="F29" s="2"/>
      <x:c r="G29" s="2"/>
    </x:row>
    <x:row r="30" ht="18.75" customHeight="1">
      <x:c r="A30" s="2"/>
      <x:c r="B30" s="2"/>
      <x:c r="C30" s="2"/>
      <x:c r="D30" s="2"/>
      <x:c r="E30" s="2"/>
      <x:c r="F30" s="2"/>
      <x:c r="G30" s="2"/>
    </x:row>
    <x:row r="31" ht="18.75" customHeight="1">
      <x:c r="A31" s="2"/>
      <x:c r="B31" s="2"/>
      <x:c r="C31" s="2"/>
      <x:c r="D31" s="2"/>
      <x:c r="E31" s="2"/>
      <x:c r="F31" s="2"/>
      <x:c r="G31" s="2"/>
    </x:row>
    <x:row r="32" ht="18.75" customHeight="1">
      <x:c r="A32" s="2" t="str">
        <x:v>企業の採算</x:v>
      </x:c>
      <x:c r="B32" s="2" t="str">
        <x:v>利益＝Σ（車系台数×限界利益）−共通基盤固定費−改良費−保証・残価リスクの費用</x:v>
      </x:c>
      <x:c r="C32" s="2"/>
      <x:c r="D32" s="2"/>
      <x:c r="E32" s="2"/>
      <x:c r="F32" s="2"/>
      <x:c r="G32" s="2"/>
    </x:row>
    <x:row r="33" ht="18.75" customHeight="1">
      <x:c r="A33" s="2"/>
      <x:c r="B33" s="2" t="str">
        <x:v>車系数、シェア、低価格だけでは利益を示せない。採算と販売継続を併せて評価する。</x:v>
      </x:c>
      <x:c r="C33" s="2"/>
      <x:c r="D33" s="2"/>
      <x:c r="E33" s="2"/>
      <x:c r="F33" s="2"/>
      <x:c r="G33" s="2"/>
    </x:row>
    <x:row r="34" ht="18.75" customHeight="1">
      <x:c r="A34" s="2"/>
      <x:c r="B34" s="2"/>
      <x:c r="C34" s="2"/>
      <x:c r="D34" s="2"/>
      <x:c r="E34" s="2"/>
      <x:c r="F34" s="2"/>
      <x:c r="G34" s="2"/>
    </x:row>
    <x:row r="35" ht="18.75" customHeight="1">
      <x:c r="A35" s="2"/>
      <x:c r="B35" s="2"/>
      <x:c r="C35" s="2"/>
      <x:c r="D35" s="2"/>
      <x:c r="E35" s="2"/>
      <x:c r="F35" s="2"/>
      <x:c r="G35" s="2"/>
    </x:row>
  </x:sheetData>
  <x:pageMargins left="0.7" right="0.7" top="0.75" bottom="0.75" header="0.3" footer="0.3"/>
  <x:tableParts count="2">
    <x:tablePart xmlns:r="http://schemas.openxmlformats.org/officeDocument/2006/relationships" r:id="R8e4f78f7ee69464c"/>
    <x:tablePart xmlns:r="http://schemas.openxmlformats.org/officeDocument/2006/relationships" r:id="R9ea44cb7ad3848ee"/>
  </x:tableParts>
</x:worksheet>
</file>

<file path=xl/worksheets/sheet9.xml><?xml version="1.0" encoding="utf-8"?>
<x:worksheet xmlns:x="http://schemas.openxmlformats.org/spreadsheetml/2006/main">
  <x:sheetPr>
    <x:tabColor rgb="FF287FB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21999979019165" hidden="0" customWidth="1"/>
    <x:col min="2" max="2" width="30" hidden="0" customWidth="1"/>
    <x:col min="3" max="3" width="48.88999938964844" hidden="0" customWidth="1"/>
    <x:col min="4" max="4" width="45" hidden="0" customWidth="1"/>
    <x:col min="5" max="5" width="47.779998779296875" hidden="0" customWidth="1"/>
    <x:col min="6" max="6" width="34.439998626708984" hidden="0" customWidth="1"/>
  </x:cols>
  <x:sheetData>
    <x:row r="1" ht="18.75" customHeight="1">
      <x:c r="A1" s="2"/>
      <x:c r="B1" s="2"/>
      <x:c r="C1" s="2"/>
      <x:c r="D1" s="2"/>
      <x:c r="E1" s="2"/>
      <x:c r="F1" s="2"/>
    </x:row>
    <x:row r="2" ht="18.75" customHeight="1">
      <x:c r="A2" s="3" t="str">
        <x:v>検証設計</x:v>
      </x:c>
      <x:c r="B2" s="2"/>
      <x:c r="C2" s="2"/>
      <x:c r="D2" s="2"/>
      <x:c r="E2" s="2"/>
      <x:c r="F2" s="2"/>
    </x:row>
    <x:row r="3" ht="22.5" customHeight="1">
      <x:c r="A3" s="2" t="str">
        <x:v>必要なモデル月次販売・実測SOH・個社採算は添付に含まれず、係数や因果寄与は未推定です。</x:v>
      </x:c>
      <x:c r="B3" s="2"/>
      <x:c r="C3" s="2"/>
      <x:c r="D3" s="2"/>
      <x:c r="E3" s="2"/>
      <x:c r="F3" s="2"/>
    </x:row>
    <x:row r="4" ht="18.75" customHeight="1">
      <x:c r="A4" s="2"/>
      <x:c r="B4" s="2"/>
      <x:c r="C4" s="2"/>
      <x:c r="D4" s="2"/>
      <x:c r="E4" s="2"/>
      <x:c r="F4" s="2"/>
    </x:row>
    <x:row r="5" ht="36" customHeight="1">
      <x:c r="A5" s="6" t="str">
        <x:v>ID</x:v>
      </x:c>
      <x:c r="B5" s="6" t="str">
        <x:v>検証する問い</x:v>
      </x:c>
      <x:c r="C5" s="6" t="str">
        <x:v>比較方法</x:v>
      </x:c>
      <x:c r="D5" s="6" t="str">
        <x:v>必要なデータ</x:v>
      </x:c>
      <x:c r="E5" s="6" t="str">
        <x:v>識別上の条件</x:v>
      </x:c>
      <x:c r="F5" s="6" t="str">
        <x:v>評価指標</x:v>
      </x:c>
    </x:row>
    <x:row r="6" ht="87" customHeight="1">
      <x:c r="A6" s="7" t="str">
        <x:v>T01</x:v>
      </x:c>
      <x:c r="B6" s="7" t="str">
        <x:v>改良頻度が競争力を高めるか</x:v>
      </x:c>
      <x:c r="C6" s="7" t="str">
        <x:v>国×車体クラス×動力×価格帯を揃え、同一車系の改良前後を比較</x:v>
      </x:c>
      <x:c r="D6" s="7" t="str">
        <x:v>MarkLines月次、実売価格、改良種別・日付、制度、供給量</x:v>
      </x:c>
      <x:c r="E6" s="7" t="str">
        <x:v>改良時期の内生性と、新規参入車の観測期間を考慮</x:v>
      </x:c>
      <x:c r="F6" s="7" t="str">
        <x:v>改良後の同セグメント内シェア・限界利益・継続販売</x:v>
      </x:c>
    </x:row>
    <x:row r="7" ht="87" customHeight="1">
      <x:c r="A7" s="7" t="str">
        <x:v>T02</x:v>
      </x:c>
      <x:c r="B7" s="7" t="str">
        <x:v>中国系のκ/λが日系より大きいか</x:v>
      </x:c>
      <x:c r="C7" s="7" t="str">
        <x:v>同じ動力・セグメント・発売コホートで販売カーブの形を推定</x:v>
      </x:c>
      <x:c r="D7" s="7" t="str">
        <x:v>タイ現地発売月、同じ定義の月次販売、価格・政策・供給</x:v>
      </x:c>
      <x:c r="E7" s="7" t="str">
        <x:v>κ/λは実効的な販売パラメータ。電池劣化・技術寿命とは別</x:v>
      </x:c>
      <x:c r="F7" s="7" t="str">
        <x:v>パラメータ差、半減期、推定不確実性</x:v>
      </x:c>
    </x:row>
    <x:row r="8" ht="87" customHeight="1">
      <x:c r="A8" s="7" t="str">
        <x:v>T03</x:v>
      </x:c>
      <x:c r="B8" s="7" t="str">
        <x:v>新車値下げが中古価格を押し下げるか</x:v>
      </x:c>
      <x:c r="C8" s="7" t="str">
        <x:v>値下げ前後を、値下げしない近い車種と比較する差の差分析</x:v>
      </x:c>
      <x:c r="D8" s="7" t="str">
        <x:v>同型・同年式・走行等を統制した成約/掲載価格の時系列</x:v>
      </x:c>
      <x:c r="E8" s="7" t="str">
        <x:v>改良・補助・季節・同時期の競合値下げを考慮</x:v>
      </x:c>
      <x:c r="F8" s="7" t="str">
        <x:v>先行トレンド、価格変化、販売期間</x:v>
      </x:c>
    </x:row>
    <x:row r="9" ht="87" customHeight="1">
      <x:c r="A9" s="7" t="str">
        <x:v>T04</x:v>
      </x:c>
      <x:c r="B9" s="7" t="str">
        <x:v>電池劣化の価格への寄与はどれだけか</x:v>
      </x:c>
      <x:c r="C9" s="7" t="str">
        <x:v>同型・同年式・同程度の距離でSOHの違いを比較</x:v>
      </x:c>
      <x:c r="D9" s="7" t="str">
        <x:v>実測SOH、測定法、成約価格、事故/修理/保証・充電履歴</x:v>
      </x:c>
      <x:c r="E9" s="7" t="str">
        <x:v>SOH測定誤差や売り手選択を考慮。回帰だけで因果としない</x:v>
      </x:c>
      <x:c r="F9" s="7" t="str">
        <x:v>SOHと価格の関係、信頼区間、保証による差</x:v>
      </x:c>
    </x:row>
    <x:row r="10" ht="87" customHeight="1">
      <x:c r="A10" s="7" t="str">
        <x:v>T05</x:v>
      </x:c>
      <x:c r="B10" s="7" t="str">
        <x:v>複数ヒット車系がOEMを支えるか</x:v>
      </x:c>
      <x:c r="C10" s="7" t="str">
        <x:v>販売構成と採算の変化を企業・車系で追う</x:v>
      </x:c>
      <x:c r="D10" s="7" t="str">
        <x:v>モデル別台数、価格、粗利、共通部品、固定費</x:v>
      </x:c>
      <x:c r="E10" s="7" t="str">
        <x:v>Hilux等の合算と、旧新・グレードの重複を除去</x:v>
      </x:c>
      <x:c r="F10" s="7" t="str">
        <x:v>上位1車系比率、HHI、実効車系数、利益/車系</x:v>
      </x:c>
    </x:row>
    <x:row r="11" ht="87" customHeight="1">
      <x:c r="A11" s="7" t="str">
        <x:v>T06</x:v>
      </x:c>
      <x:c r="B11" s="7" t="str">
        <x:v>現地化が競争力を変えるか</x:v>
      </x:c>
      <x:c r="C11" s="7" t="str">
        <x:v>同じ仕様のCBU→CKDを追い、価格・供給・原価を比較</x:v>
      </x:c>
      <x:c r="D11" s="7" t="str">
        <x:v>個社認定、生産国、現地調達、輸入税、能力/稼働率、在庫</x:v>
      </x:c>
      <x:c r="E11" s="7" t="str">
        <x:v>国籍を制度適用の代理変数としない</x:v>
      </x:c>
      <x:c r="F11" s="7" t="str">
        <x:v>実支払価格、供給安定、在庫、利益</x:v>
      </x:c>
    </x:row>
    <x:row r="12" ht="87" customHeight="1">
      <x:c r="A12" s="7" t="str">
        <x:v>T07</x:v>
      </x:c>
      <x:c r="B12" s="7" t="str">
        <x:v>日本1980年代との類似を検証できるか</x:v>
      </x:c>
      <x:c r="C12" s="7" t="str">
        <x:v>市場鈍化・車種増・固定費・在庫・利益という観測量で比較</x:v>
      </x:c>
      <x:c r="D12" s="7" t="str">
        <x:v>日中のモデル別販売、開発投資、共通化、在庫、信用環境</x:v>
      </x:c>
      <x:c r="E12" s="7" t="str">
        <x:v>歴史の類似は機序の候補。現在の失敗を必然としない</x:v>
      </x:c>
      <x:c r="F12" s="7" t="str">
        <x:v>市場成長低下時の台当たり・車系当たり利益</x:v>
      </x:c>
    </x:row>
    <x:row r="13" ht="18.75" customHeight="1">
      <x:c r="A13" s="2"/>
      <x:c r="B13" s="2"/>
      <x:c r="C13" s="2"/>
      <x:c r="D13" s="2"/>
      <x:c r="E13" s="2"/>
      <x:c r="F13" s="2"/>
    </x:row>
    <x:row r="14" ht="18.75" customHeight="1">
      <x:c r="A14" s="2"/>
      <x:c r="B14" s="2"/>
      <x:c r="C14" s="2"/>
      <x:c r="D14" s="2"/>
      <x:c r="E14" s="2"/>
      <x:c r="F14" s="2"/>
    </x:row>
    <x:row r="15" ht="60" customHeight="1">
      <x:c r="A15" s="2" t="str">
        <x:v>κ・λの位置づけ</x:v>
      </x:c>
      <x:c r="B15" s="7" t="str">
        <x:v>販売カーブの形状候補：y(m) ∝ [1−exp(−κm)] exp(−λm)。振幅は別に観測し、政策・価格・供給が動く実効パラメータとして読む。</x:v>
      </x:c>
      <x:c r="C15" s="7"/>
      <x:c r="D15" s="7"/>
      <x:c r="E15" s="7"/>
      <x:c r="F15" s="2"/>
    </x:row>
    <x:row r="16" ht="18.75" customHeight="1">
      <x:c r="A16" s="2"/>
      <x:c r="B16" s="2"/>
      <x:c r="C16" s="2"/>
      <x:c r="D16" s="2"/>
      <x:c r="E16" s="2"/>
      <x:c r="F16" s="2"/>
    </x:row>
    <x:row r="17" ht="18.75" customHeight="1">
      <x:c r="A17" s="2"/>
      <x:c r="B17" s="2"/>
      <x:c r="C17" s="2"/>
      <x:c r="D17" s="2"/>
      <x:c r="E17" s="2"/>
      <x:c r="F17" s="2"/>
    </x:row>
    <x:row r="18" ht="18.75" customHeight="1">
      <x:c r="A18" s="2"/>
      <x:c r="B18" s="2"/>
      <x:c r="C18" s="2"/>
      <x:c r="D18" s="2"/>
      <x:c r="E18" s="2"/>
      <x:c r="F18" s="2"/>
    </x:row>
  </x:sheetData>
  <x:mergeCells>
    <x:mergeCell ref="B15:E15"/>
  </x:mergeCells>
  <x:pageMargins left="0.7" right="0.7" top="0.75" bottom="0.75" header="0.3" footer="0.3"/>
  <x:tableParts count="1">
    <x:tablePart xmlns:r="http://schemas.openxmlformats.org/officeDocument/2006/relationships" r:id="R08068f595c4a4403"/>
  </x:tableParts>
</x:worksheet>
</file>

<file path=xl/worksheets/sheet10.xml><?xml version="1.0" encoding="utf-8"?>
<x:worksheet xmlns:x="http://schemas.openxmlformats.org/spreadsheetml/2006/main">
  <x:sheetPr>
    <x:tabColor rgb="FF287FB0"/>
  </x:sheetPr>
  <x:sheetViews>
    <x:sheetView showGridLines="0" workbookViewId="0"/>
  </x:sheetViews>
  <x:sheetFormatPr defaultRowHeight="15"/>
  <x:cols>
    <x:col min="1" max="1" width="8.890000343322754" hidden="0" customWidth="1"/>
    <x:col min="2" max="2" width="25.559999465942383" hidden="0" customWidth="1"/>
    <x:col min="3" max="3" width="42.220001220703125" hidden="0" customWidth="1"/>
    <x:col min="4" max="4" width="17.780000686645508" hidden="0" customWidth="1"/>
    <x:col min="5" max="5" width="81.11000061035156" hidden="0" customWidth="1"/>
    <x:col min="6" max="6" width="60" hidden="0" customWidth="1"/>
  </x:cols>
  <x:sheetData>
    <x:row r="1" ht="18.75" customHeight="1">
      <x:c r="A1" s="2"/>
      <x:c r="B1" s="2"/>
      <x:c r="C1" s="2"/>
      <x:c r="D1" s="2"/>
      <x:c r="E1" s="2"/>
      <x:c r="F1" s="2"/>
    </x:row>
    <x:row r="2" ht="18.75" customHeight="1">
      <x:c r="A2" s="3" t="str">
        <x:v>根拠と注意</x:v>
      </x:c>
      <x:c r="B2" s="2"/>
      <x:c r="C2" s="2"/>
      <x:c r="D2" s="2"/>
      <x:c r="E2" s="2"/>
      <x:c r="F2" s="2"/>
    </x:row>
    <x:row r="3" ht="22.5" customHeight="1">
      <x:c r="A3" s="2" t="str">
        <x:v>出典・入力資料の採否と、比較の限界をまとめています。</x:v>
      </x:c>
      <x:c r="B3" s="2"/>
      <x:c r="C3" s="2"/>
      <x:c r="D3" s="2"/>
      <x:c r="E3" s="2"/>
      <x:c r="F3" s="2"/>
    </x:row>
    <x:row r="4" ht="18.75" customHeight="1">
      <x:c r="A4" s="2"/>
      <x:c r="B4" s="2"/>
      <x:c r="C4" s="2"/>
      <x:c r="D4" s="2"/>
      <x:c r="E4" s="2"/>
      <x:c r="F4" s="2"/>
    </x:row>
    <x:row r="5" ht="36" customHeight="1">
      <x:c r="A5" s="6" t="str">
        <x:v>入力資料</x:v>
      </x:c>
      <x:c r="B5" s="6"/>
      <x:c r="C5" s="6"/>
      <x:c r="D5" s="6" t="str">
        <x:v>形式</x:v>
      </x:c>
      <x:c r="E5" s="6" t="str">
        <x:v>採用・除外の理由</x:v>
      </x:c>
      <x:c r="F5" s="6"/>
    </x:row>
    <x:row r="6" ht="48" customHeight="1">
      <x:c r="A6" s="7" t="str">
        <x:v>ASEAN5_Auto_Policy_Monthly_Timeline_2020-2027(1).xlsx</x:v>
      </x:c>
      <x:c r="B6" s="7"/>
      <x:c r="C6" s="7"/>
      <x:c r="D6" s="7" t="str">
        <x:v>xlsx</x:v>
      </x:c>
      <x:c r="E6" s="7" t="str">
        <x:v>制度時点を参照。月次販売入力は空欄なので、制度の販売効果を推定しない。</x:v>
      </x:c>
      <x:c r="F6" s="7"/>
    </x:row>
    <x:row r="7" ht="48" customHeight="1">
      <x:c r="A7" s="7" t="str">
        <x:v>ASEAN_6countries_policy_history_2020-2026(1).pptx</x:v>
      </x:c>
      <x:c r="B7" s="7"/>
      <x:c r="C7" s="7"/>
      <x:c r="D7" s="7" t="str">
        <x:v>pptx</x:v>
      </x:c>
      <x:c r="E7" s="7" t="str">
        <x:v>ASEAN6の国別条件を抽出。重要な現行/将来条件は政府資料で照合。</x:v>
      </x:c>
      <x:c r="F7" s="7"/>
    </x:row>
    <x:row r="8" ht="48" customHeight="1">
      <x:c r="A8" s="7" t="str">
        <x:v>ASEAN_Used_Car_Residual_Value_2026-10(2).xlsx</x:v>
      </x:c>
      <x:c r="B8" s="7"/>
      <x:c r="C8" s="7"/>
      <x:c r="D8" s="7" t="str">
        <x:v>xlsx</x:v>
      </x:c>
      <x:c r="E8" s="7" t="str">
        <x:v>6件の事例。新しい中古ファイルとの重複を別の証拠として加算しない。</x:v>
      </x:c>
      <x:c r="F8" s="7"/>
    </x:row>
    <x:row r="9" ht="48" customHeight="1">
      <x:c r="A9" s="7" t="str">
        <x:v>ASEAN_統合ツール(1).zip</x:v>
      </x:c>
      <x:c r="B9" s="7"/>
      <x:c r="C9" s="7"/>
      <x:c r="D9" s="7" t="str">
        <x:v>zip</x:v>
      </x:c>
      <x:c r="E9" s="7" t="str">
        <x:v>統合テンプレートとコードの構成を確認。モデル月次販売の実データは未提供。</x:v>
      </x:c>
      <x:c r="F9" s="7"/>
    </x:row>
    <x:row r="10" ht="48" customHeight="1">
      <x:c r="A10" s="7" t="str">
        <x:v>ASEAN_自動車制度とOEM影響_20261006(1).pdf</x:v>
      </x:c>
      <x:c r="B10" s="7"/>
      <x:c r="C10" s="7"/>
      <x:c r="D10" s="7" t="str">
        <x:v>pdf</x:v>
      </x:c>
      <x:c r="E10" s="7" t="str">
        <x:v>制度と販売への作用を参照。6カ国に限定、仮説を実測効果にしない。</x:v>
      </x:c>
      <x:c r="F10" s="7"/>
    </x:row>
    <x:row r="11" ht="48" customHeight="1">
      <x:c r="A11" s="7" t="str">
        <x:v>ASEAN_自動車制度とOEM影響_20261006(1).pptx</x:v>
      </x:c>
      <x:c r="B11" s="7"/>
      <x:c r="C11" s="7"/>
      <x:c r="D11" s="7" t="str">
        <x:v>pptx</x:v>
      </x:c>
      <x:c r="E11" s="7" t="str">
        <x:v>制度と販売への作用を参照。6カ国に限定、仮説を実測効果にしない。</x:v>
      </x:c>
      <x:c r="F11" s="7"/>
    </x:row>
    <x:row r="12" ht="48" customHeight="1">
      <x:c r="A12" s="7" t="str">
        <x:v>Auto_Prices_GDP_Japanese_Comparison_2026-10(1).xlsx</x:v>
      </x:c>
      <x:c r="B12" s="7"/>
      <x:c r="C12" s="7"/>
      <x:c r="D12" s="7" t="str">
        <x:v>xlsx</x:v>
      </x:c>
      <x:c r="E12" s="7" t="str">
        <x:v>国ごとの最安仕様・価格基準が異なる。GDPとの相関を原価差・競争の因果証拠にしない。</x:v>
      </x:c>
      <x:c r="F12" s="7"/>
    </x:row>
    <x:row r="13" ht="48" customHeight="1">
      <x:c r="A13" s="7" t="str">
        <x:v>Chinese_Auto_Prices_10_Markets_2026-10(1).xlsx</x:v>
      </x:c>
      <x:c r="B13" s="7"/>
      <x:c r="C13" s="7"/>
      <x:c r="D13" s="7" t="str">
        <x:v>xlsx</x:v>
      </x:c>
      <x:c r="E13" s="7" t="str">
        <x:v>国ごとの最安仕様・価格基準が異なる。GDPとの相関を原価差・競争の因果証拠にしない。</x:v>
      </x:c>
      <x:c r="F13" s="7"/>
    </x:row>
    <x:row r="14" ht="48" customHeight="1">
      <x:c r="A14" s="7" t="str">
        <x:v>Thailand_BYD_Toyota_Used_New_Prices_2026-10(1).xlsx</x:v>
      </x:c>
      <x:c r="B14" s="7"/>
      <x:c r="C14" s="7"/>
      <x:c r="D14" s="7" t="str">
        <x:v>xlsx</x:v>
      </x:c>
      <x:c r="E14" s="7" t="str">
        <x:v>1133掲載行のうち、同サイト・2023年式・グレード固定・距離帯で12件を再集計。</x:v>
      </x:c>
      <x:c r="F14" s="7"/>
    </x:row>
    <x:row r="15" ht="48" customHeight="1">
      <x:c r="A15" s="7" t="str">
        <x:v>Thailand_C_SUV_Comparison_With_Photos_2026-10(1).xlsx</x:v>
      </x:c>
      <x:c r="B15" s="7"/>
      <x:c r="C15" s="7"/>
      <x:c r="D15" s="7" t="str">
        <x:v>xlsx</x:v>
      </x:c>
      <x:c r="E15" s="7" t="str">
        <x:v>寸法・通常価格・特価・仕様。失効特価と過去ICE仕様を現行価格比較から除外。</x:v>
      </x:c>
      <x:c r="F15" s="7"/>
    </x:row>
    <x:row r="16" ht="48" customHeight="1">
      <x:c r="A16" s="7" t="str">
        <x:v>Thailand_model_launch_dates_2026-10.xlsx</x:v>
      </x:c>
      <x:c r="B16" s="7"/>
      <x:c r="C16" s="7"/>
      <x:c r="D16" s="7" t="str">
        <x:v>xlsx</x:v>
      </x:c>
      <x:c r="E16" s="7" t="str">
        <x:v>現地発売時期の候補。204車名の経過年数から変更周期やヒット数を推定しない。</x:v>
      </x:c>
      <x:c r="F16" s="7"/>
    </x:row>
    <x:row r="17" ht="48" customHeight="1">
      <x:c r="A17" s="7" t="str">
        <x:v>中国系OEM台頭_仮説と分析方針.pptx</x:v>
      </x:c>
      <x:c r="B17" s="7"/>
      <x:c r="C17" s="7"/>
      <x:c r="D17" s="7" t="str">
        <x:v>pptx</x:v>
      </x:c>
      <x:c r="E17" s="7" t="str">
        <x:v>仮説の出発点。仮定κ/λ曲線と実績を分け、結論を修正。</x:v>
      </x:c>
      <x:c r="F17" s="7"/>
    </x:row>
    <x:row r="18" ht="48" customHeight="1">
      <x:c r="A18" s="7" t="str">
        <x:v>中国系OEM台頭の仮説と検証方針.pptx</x:v>
      </x:c>
      <x:c r="B18" s="7"/>
      <x:c r="C18" s="7"/>
      <x:c r="D18" s="7" t="str">
        <x:v>pptx</x:v>
      </x:c>
      <x:c r="E18" s="7" t="str">
        <x:v>仮説の出発点。仮定κ/λ曲線と実績を分け、結論を修正。</x:v>
      </x:c>
      <x:c r="F18" s="7"/>
    </x:row>
    <x:row r="19" ht="18.75" customHeight="1">
      <x:c r="A19" s="2"/>
      <x:c r="B19" s="2"/>
      <x:c r="C19" s="2"/>
      <x:c r="D19" s="2"/>
      <x:c r="E19" s="2"/>
      <x:c r="F19" s="2"/>
    </x:row>
    <x:row r="20" ht="18.75" customHeight="1">
      <x:c r="A20" s="2"/>
      <x:c r="B20" s="2"/>
      <x:c r="C20" s="2"/>
      <x:c r="D20" s="2"/>
      <x:c r="E20" s="2"/>
      <x:c r="F20" s="2"/>
    </x:row>
    <x:row r="21" ht="18.75" customHeight="1">
      <x:c r="A21" s="2" t="str">
        <x:v>比較の注意</x:v>
      </x:c>
      <x:c r="B21" s="2"/>
      <x:c r="C21" s="2"/>
      <x:c r="D21" s="2"/>
      <x:c r="E21" s="2"/>
      <x:c r="F21" s="2"/>
    </x:row>
    <x:row r="22" ht="18.75" customHeight="1">
      <x:c r="A22" s="2"/>
      <x:c r="B22" s="2"/>
      <x:c r="C22" s="2"/>
      <x:c r="D22" s="2"/>
      <x:c r="E22" s="2"/>
      <x:c r="F22" s="2"/>
    </x:row>
    <x:row r="23" ht="57" customHeight="1">
      <x:c r="A23" s="7" t="str">
        <x:v>販売と登録</x:v>
      </x:c>
      <x:c r="B23" s="7" t="str">
        <x:v>市場構成の図は乗用車登録。制度の販売期限・登録期限・生産期限を同じ月に置かない。</x:v>
      </x:c>
      <x:c r="C23" s="7"/>
      <x:c r="D23" s="7"/>
      <x:c r="E23" s="7"/>
      <x:c r="F23" s="7"/>
    </x:row>
    <x:row r="24" ht="57" customHeight="1">
      <x:c r="A24" s="7" t="str">
        <x:v>市場の分母</x:v>
      </x:c>
      <x:c r="B24" s="7" t="str">
        <x:v>BEV・HEV・PHEVの内訳、同セグメント内シェア、全自動車シェアを区別。地域・動力の構成変化を国籍の販売寿命と呼ばない。</x:v>
      </x:c>
      <x:c r="C24" s="7"/>
      <x:c r="D24" s="7"/>
      <x:c r="E24" s="7"/>
      <x:c r="F24" s="7"/>
    </x:row>
    <x:row r="25" ht="57" customHeight="1">
      <x:c r="A25" s="7" t="str">
        <x:v>中古の分母</x:v>
      </x:c>
      <x:c r="B25" s="7" t="str">
        <x:v>旧公表価格比は旧購入者の価格基準。現在の近似代替価格比は中古購入者の比較基準。実購入額・同一新車仕様の比較ではない。</x:v>
      </x:c>
      <x:c r="C25" s="7"/>
      <x:c r="D25" s="7"/>
      <x:c r="E25" s="7"/>
      <x:c r="F25" s="7"/>
    </x:row>
    <x:row r="26" ht="57" customHeight="1">
      <x:c r="A26" s="7" t="str">
        <x:v>時系列と断面</x:v>
      </x:c>
      <x:c r="B26" s="7" t="str">
        <x:v>2024/25の平均掲載価格の指数と2026/10の掲載中央値を一本の減価曲線に接続しない。SOH劣化の寄与は未推定。</x:v>
      </x:c>
      <x:c r="C26" s="7"/>
      <x:c r="D26" s="7"/>
      <x:c r="E26" s="7"/>
      <x:c r="F26" s="7"/>
    </x:row>
    <x:row r="27" ht="57" customHeight="1">
      <x:c r="A27" s="7" t="str">
        <x:v>供給と車種数</x:v>
      </x:c>
      <x:c r="B27" s="7" t="str">
        <x:v>承認投資能力・稼働能力・実生産・国内販売・輸出を分ける。モデル別実台数がないため販売集中度・ヒット数を作らない。</x:v>
      </x:c>
      <x:c r="C27" s="7"/>
      <x:c r="D27" s="7"/>
      <x:c r="E27" s="7"/>
      <x:c r="F27" s="7"/>
    </x:row>
    <x:row r="28" ht="57" customHeight="1">
      <x:c r="A28" s="7" t="str">
        <x:v>費用の仮定</x:v>
      </x:c>
      <x:c r="B28" s="7" t="str">
        <x:v>将来売却・電費/燃費・料金・走行・整備・保険・資金調達等は説明用の仮定。価格はメーカー公表。実際の見積と将来価格の予測ではない。</x:v>
      </x:c>
      <x:c r="C28" s="7"/>
      <x:c r="D28" s="7"/>
      <x:c r="E28" s="7"/>
      <x:c r="F28" s="7"/>
    </x:row>
    <x:row r="29" ht="57" customHeight="1">
      <x:c r="A29" s="7" t="str">
        <x:v>比較期間の統一</x:v>
      </x:c>
      <x:c r="B29" s="7" t="str">
        <x:v>2025H1 BEVは2026年JETRO比較表の56973を採用。2025年BOI発表57289を混ぜず、最新比較表に統一。</x:v>
      </x:c>
      <x:c r="C29" s="7"/>
      <x:c r="D29" s="7"/>
      <x:c r="E29" s="7"/>
      <x:c r="F29" s="7"/>
    </x:row>
    <x:row r="30" ht="57" customHeight="1">
      <x:c r="A30" s="7" t="str">
        <x:v>更新</x:v>
      </x:c>
      <x:c r="B30" s="7" t="str">
        <x:v>抽出12件の既存価格編集は計算・グラフに反映。新規広告追加・条件変更は原データを再抽出。PPTXは作成時点の計算値。</x:v>
      </x:c>
      <x:c r="C30" s="7"/>
      <x:c r="D30" s="7"/>
      <x:c r="E30" s="7"/>
      <x:c r="F30" s="7"/>
    </x:row>
    <x:row r="31" ht="18.75" customHeight="1">
      <x:c r="A31" s="2"/>
      <x:c r="B31" s="2"/>
      <x:c r="C31" s="2"/>
      <x:c r="D31" s="2"/>
      <x:c r="E31" s="2"/>
      <x:c r="F31" s="2"/>
    </x:row>
    <x:row r="32" ht="18.75" customHeight="1">
      <x:c r="A32" s="2"/>
      <x:c r="B32" s="2"/>
      <x:c r="C32" s="2"/>
      <x:c r="D32" s="2"/>
      <x:c r="E32" s="2"/>
      <x:c r="F32" s="2"/>
    </x:row>
    <x:row r="33" ht="18.75" customHeight="1">
      <x:c r="A33" s="2"/>
      <x:c r="B33" s="2"/>
      <x:c r="C33" s="2"/>
      <x:c r="D33" s="2"/>
      <x:c r="E33" s="2"/>
      <x:c r="F33" s="2"/>
    </x:row>
    <x:row r="34" ht="36" customHeight="1">
      <x:c r="A34" s="6" t="str">
        <x:v>ID</x:v>
      </x:c>
      <x:c r="B34" s="6" t="str">
        <x:v>発表主体</x:v>
      </x:c>
      <x:c r="C34" s="6" t="str">
        <x:v>資料</x:v>
      </x:c>
      <x:c r="D34" s="6" t="str">
        <x:v>時点</x:v>
      </x:c>
      <x:c r="E34" s="6" t="str">
        <x:v>URL/入力ファイル</x:v>
      </x:c>
      <x:c r="F34" s="6" t="str">
        <x:v>採用範囲・注意</x:v>
      </x:c>
    </x:row>
    <x:row r="35" ht="46.5" customHeight="1">
      <x:c r="A35" s="7" t="str">
        <x:v>R01</x:v>
      </x:c>
      <x:c r="B35" s="7" t="str">
        <x:v>JETRO</x:v>
      </x:c>
      <x:c r="C35" s="7" t="str">
        <x:v>タイ乗用車登録、2026年上半期</x:v>
      </x:c>
      <x:c r="D35" s="7" t="str">
        <x:v>2026-07-24</x:v>
      </x:c>
      <x:c r="E35" s="23" t="str">
        <x:v>https://www.jetro.go.jp/biznews/2026/07/77f29feefbaff594.html</x:v>
      </x:c>
      <x:c r="F35" s="7" t="str">
        <x:v>登録統計。卸売・生産・全自動車販売との混同を避ける。</x:v>
      </x:c>
    </x:row>
    <x:row r="36" ht="46.5" customHeight="1">
      <x:c r="A36" s="7" t="str">
        <x:v>R02</x:v>
      </x:c>
      <x:c r="B36" s="7" t="str">
        <x:v>JETRO / EVAT・DLT</x:v>
      </x:c>
      <x:c r="C36" s="7" t="str">
        <x:v>乗用車登録統計・添付表1〜4</x:v>
      </x:c>
      <x:c r="D36" s="7" t="str">
        <x:v>2026-07-24</x:v>
      </x:c>
      <x:c r="E36" s="23" t="str">
        <x:v>https://www.jetro.go.jp/view_interface.php?blockId=41510386</x:v>
      </x:c>
      <x:c r="F36" s="7" t="str">
        <x:v>表1の2025/26年同期比較を採用。表2〜4はDLT。BEVの日系明記分はToyota/Honda1113台、その他3496台は未分解。日系BEV全体は1.1〜4.4%の範囲。ICEを含む全市場ではない。</x:v>
      </x:c>
    </x:row>
    <x:row r="37" ht="46.5" customHeight="1">
      <x:c r="A37" s="7" t="str">
        <x:v>R03</x:v>
      </x:c>
      <x:c r="B37" s="7" t="str">
        <x:v>提供ファイル</x:v>
      </x:c>
      <x:c r="C37" s="7" t="str">
        <x:v>中古車掲載・条件別集計</x:v>
      </x:c>
      <x:c r="D37" s="7" t="str">
        <x:v>観測2026-10-08</x:v>
      </x:c>
      <x:c r="E37" s="23" t="str">
        <x:v>Thailand_BYD_Toyota_Used_New_Prices_2026-10(1).xlsx</x:v>
      </x:c>
      <x:c r="F37" s="7" t="str">
        <x:v>One2car、2023年式、グレード固定、表示距離全体が2万〜10万km内。ATTO 3七件、Cross五件。成約・SOH・保証・税条件未統一。</x:v>
      </x:c>
    </x:row>
    <x:row r="38" ht="46.5" customHeight="1">
      <x:c r="A38" s="7" t="str">
        <x:v>R04</x:v>
      </x:c>
      <x:c r="B38" s="7" t="str">
        <x:v>One2car</x:v>
      </x:c>
      <x:c r="C38" s="7" t="str">
        <x:v>中古EVの期間平均価格</x:v>
      </x:c>
      <x:c r="D38" s="7" t="str">
        <x:v>2026-02-06</x:v>
      </x:c>
      <x:c r="E38" s="23" t="str">
        <x:v>https://www.one2car.com/en/news/used-ev-car-price-in-thailand-146126/146126</x:v>
      </x:c>
      <x:c r="F38" s="7" t="str">
        <x:v>2024/1〜10と2025/1〜10の平均掲載価格。Nや同一個体・グレード構成は未開示。現在の単日中央値に接続しない。</x:v>
      </x:c>
    </x:row>
    <x:row r="39" ht="46.5" customHeight="1">
      <x:c r="A39" s="7" t="str">
        <x:v>R05</x:v>
      </x:c>
      <x:c r="B39" s="7" t="str">
        <x:v>BYD Rêver</x:v>
      </x:c>
      <x:c r="C39" s="7" t="str">
        <x:v>ATTO 3 2026年10月キャンペーン</x:v>
      </x:c>
      <x:c r="D39" s="7" t="str">
        <x:v>2026-10-01〜31</x:v>
      </x:c>
      <x:c r="E39" s="23" t="str">
        <x:v>https://www.reverautomotive.com/news/byd-atto-3-oct-2026-campaign</x:v>
      </x:c>
      <x:c r="F39" s="7" t="str">
        <x:v>Premium通常799900・一般特価669900。Extended通常899900・一般特価769900。追加3万の条件付き値引は除外。</x:v>
      </x:c>
    </x:row>
    <x:row r="40" ht="46.5" customHeight="1">
      <x:c r="A40" s="7" t="str">
        <x:v>R06</x:v>
      </x:c>
      <x:c r="B40" s="7" t="str">
        <x:v>Toyota Thailand</x:v>
      </x:c>
      <x:c r="C40" s="7" t="str">
        <x:v>Corolla Cross現行グレード価格</x:v>
      </x:c>
      <x:c r="D40" s="7" t="str">
        <x:v>確認2026-10-15</x:v>
      </x:c>
      <x:c r="E40" s="23" t="str">
        <x:v>https://www.toyota.co.th/en/model/corollacross</x:v>
      </x:c>
      <x:c r="F40" s="7" t="str">
        <x:v>HEV Smart989000、Premium1094000、Premium Luxury1204000。旧Premium Safetyと現行Luxuryは同一仕様ではない。</x:v>
      </x:c>
    </x:row>
    <x:row r="41" ht="46.5" customHeight="1">
      <x:c r="A41" s="7" t="str">
        <x:v>R07</x:v>
      </x:c>
      <x:c r="B41" s="7" t="str">
        <x:v>BOI</x:v>
      </x:c>
      <x:c r="C41" s="7" t="str">
        <x:v>EV3.5原条件</x:v>
      </x:c>
      <x:c r="D41" s="7" t="str">
        <x:v>2023-11</x:v>
      </x:c>
      <x:c r="E41" s="23" t="str">
        <x:v>https://www.boi.go.th/un/boi_event_detail?language=en&amp;module=news&amp;topic_id=134676</x:v>
      </x:c>
      <x:c r="F41" s="7" t="str">
        <x:v>対象CBUの輸入相殺生産は2026年1:2、2027年1:3。HEV販売の倍率ではない。個社の参加制度・修正条件を確認。</x:v>
      </x:c>
    </x:row>
    <x:row r="42" ht="46.5" customHeight="1">
      <x:c r="A42" s="7" t="str">
        <x:v>R08</x:v>
      </x:c>
      <x:c r="B42" s="7" t="str">
        <x:v>BOI</x:v>
      </x:c>
      <x:c r="C42" s="7" t="str">
        <x:v>輸出算入1.5倍、投資案件</x:v>
      </x:c>
      <x:c r="D42" s="7" t="str">
        <x:v>2025-07-30</x:v>
      </x:c>
      <x:c r="E42" s="23" t="str">
        <x:v>https://www.boi.go.th/upload/content/PR97_2568EN.pdf</x:v>
      </x:c>
      <x:c r="F42" s="7" t="str">
        <x:v>輸出1台を相殺1.5台に算入。21件の承認BEV投資能力38.6万台/年は、実稼働能力・生産量ではない。</x:v>
      </x:c>
    </x:row>
    <x:row r="43" ht="46.5" customHeight="1">
      <x:c r="A43" s="7" t="str">
        <x:v>R09</x:v>
      </x:c>
      <x:c r="B43" s="7" t="str">
        <x:v>BOI</x:v>
      </x:c>
      <x:c r="C43" s="7" t="str">
        <x:v>EV制度見直し・登録期限等</x:v>
      </x:c>
      <x:c r="D43" s="7" t="str">
        <x:v>2025-11-25</x:v>
      </x:c>
      <x:c r="E43" s="23" t="str">
        <x:v>https://www.boi.go.th/upload/content/PR168_2568EN.pdf</x:v>
      </x:c>
      <x:c r="F43" s="7" t="str">
        <x:v>輸出1.5倍を再確認。EV3登録は2026/1、EV3.5は2028/1へ。支援・生産・販売・登録を別の時点として扱う。</x:v>
      </x:c>
    </x:row>
    <x:row r="44" ht="46.5" customHeight="1">
      <x:c r="A44" s="7" t="str">
        <x:v>R10</x:v>
      </x:c>
      <x:c r="B44" s="7" t="str">
        <x:v>MITI Malaysia</x:v>
      </x:c>
      <x:c r="C44" s="7" t="str">
        <x:v>新規CBU EV輸入の条件</x:v>
      </x:c>
      <x:c r="D44" s="7" t="str">
        <x:v>2026-07-01適用</x:v>
      </x:c>
      <x:c r="E44" s="23" t="str">
        <x:v>https://www.miti.gov.my/miti/resources/Media%20Release/SIARAN_MEDIA_PENAMATAN_PENGECUALIAN_KHAS_6_Mei_2026_edited.pdf</x:v>
      </x:c>
      <x:c r="F44" s="7" t="str">
        <x:v>CIF最低RM200000、最低出力180kW。CIFと店頭価格を区別。既存在庫等の経過措置を個別確認。</x:v>
      </x:c>
    </x:row>
    <x:row r="45" ht="46.5" customHeight="1">
      <x:c r="A45" s="7" t="str">
        <x:v>R11</x:v>
      </x:c>
      <x:c r="B45" s="7" t="str">
        <x:v>ベトナム政府</x:v>
      </x:c>
      <x:c r="C45" s="7" t="str">
        <x:v>政令202/2026、BEV登録料</x:v>
      </x:c>
      <x:c r="D45" s="7" t="str">
        <x:v>2026-06-08公布</x:v>
      </x:c>
      <x:c r="E45" s="23" t="str">
        <x:v>https://vpcp.chinhphu.vn/o-to-dien-duoc-ap-dung-le-phi-truoc-ba-lan-dau-0-den-het-nam-2030-102260608202712542.htm</x:v>
      </x:c>
      <x:c r="F45" s="7" t="str">
        <x:v>2027/3/1施行、2030年末まで初回登録料0%。従前51/2025による2027/2までの0%から継続。</x:v>
      </x:c>
    </x:row>
    <x:row r="46" ht="46.5" customHeight="1">
      <x:c r="A46" s="7" t="str">
        <x:v>R12</x:v>
      </x:c>
      <x:c r="B46" s="7" t="str">
        <x:v>Philippines Bureau of Customs</x:v>
      </x:c>
      <x:c r="C46" s="7" t="str">
        <x:v>EO62/2024</x:v>
      </x:c>
      <x:c r="D46" s="7" t="str">
        <x:v>2024</x:v>
      </x:c>
      <x:c r="E46" s="23" t="str">
        <x:v>https://customs.gov.ph/wp-content/uploads/2024/07/20240620-EO-62-FRM.pdf</x:v>
      </x:c>
      <x:c r="F46" s="7" t="str">
        <x:v>対象BEV・HEV・PHEV等の関税0%を2028年まで。実効果はHS、原産地、従前のFTA税率で異なる。</x:v>
      </x:c>
    </x:row>
    <x:row r="47" ht="46.5" customHeight="1">
      <x:c r="A47" s="7" t="str">
        <x:v>R13</x:v>
      </x:c>
      <x:c r="B47" s="7" t="str">
        <x:v>LTA / NEA Singapore</x:v>
      </x:c>
      <x:c r="C47" s="7" t="str">
        <x:v>VES・EEAI 2026/27</x:v>
      </x:c>
      <x:c r="D47" s="7" t="str">
        <x:v>2025-09-08</x:v>
      </x:c>
      <x:c r="E47" s="23" t="str">
        <x:v>https://www.lta.gov.sg/content/ltagov/en/newsroom/2025/9/news-releases/extension_of_ves_and_eeai_to_support_vehicle_electrification.html</x:v>
      </x:c>
      <x:c r="F47" s="7" t="str">
        <x:v>2026年EEAI上限SGD7500、2027年終了。2026/27 VESはEVのみリベート対象でHEVは対象外。</x:v>
      </x:c>
    </x:row>
    <x:row r="48" ht="46.5" customHeight="1">
      <x:c r="A48" s="7" t="str">
        <x:v>R14</x:v>
      </x:c>
      <x:c r="B48" s="7" t="str">
        <x:v>Toyota</x:v>
      </x:c>
      <x:c r="C48" s="7" t="str">
        <x:v>bZ3の共同開発</x:v>
      </x:c>
      <x:c r="D48" s="7" t="str">
        <x:v>2022-10-24</x:v>
      </x:c>
      <x:c r="E48" s="23" t="str">
        <x:v>https://global.toyota/jp/newsroom/toyota/38131640.html</x:v>
      </x:c>
      <x:c r="F48" s="7" t="str">
        <x:v>中国向け。Toyota・BYD合弁BTET・一汽Toyotaが共同開発。BYDのLFP電池を使いToyotaが冷却・制御等を設計。タイ導入・価格効果の証拠とはしない。</x:v>
      </x:c>
    </x:row>
    <x:row r="49" ht="46.5" customHeight="1">
      <x:c r="A49" s="7" t="str">
        <x:v>R15</x:v>
      </x:c>
      <x:c r="B49" s="7" t="str">
        <x:v>提供ファイル</x:v>
      </x:c>
      <x:c r="C49" s="7" t="str">
        <x:v>C-SUVの仕様・価格</x:v>
      </x:c>
      <x:c r="D49" s="7" t="str">
        <x:v>観測2026-10-08</x:v>
      </x:c>
      <x:c r="E49" s="23" t="str">
        <x:v>Thailand_C_SUV_Comparison_With_Photos_2026-10(1).xlsx</x:v>
      </x:c>
      <x:c r="F49" s="7" t="str">
        <x:v>サイズ・装備・税と金融条件が完全一致する比較ではない。失効したH6特価、旧Cross ICE価格は現行価格の主比較から外す。</x:v>
      </x:c>
    </x:row>
    <x:row r="50" ht="46.5" customHeight="1">
      <x:c r="A50" s="7" t="str">
        <x:v>R16</x:v>
      </x:c>
      <x:c r="B50" s="7" t="str">
        <x:v>提供ファイル</x:v>
      </x:c>
      <x:c r="C50" s="7" t="str">
        <x:v>元の仮説と検証方針</x:v>
      </x:c>
      <x:c r="D50" s="7" t="str">
        <x:v>2026-10-05</x:v>
      </x:c>
      <x:c r="E50" s="23" t="str">
        <x:v>中国系OEM台頭の仮説と検証方針.pptx</x:v>
      </x:c>
      <x:c r="F50" s="7" t="str">
        <x:v>κ・λの販売カーブは仮定値。今回の資料にモデル月次販売パネルは含まれない。国籍差・減衰差を実証結果に昇格させない。</x:v>
      </x:c>
    </x:row>
    <x:row r="51" ht="46.5" customHeight="1">
      <x:c r="A51" s="7" t="str">
        <x:v>R17</x:v>
      </x:c>
      <x:c r="B51" s="7" t="str">
        <x:v>提供ファイル</x:v>
      </x:c>
      <x:c r="C51" s="7" t="str">
        <x:v>発売時期の候補一覧</x:v>
      </x:c>
      <x:c r="D51" s="7" t="str">
        <x:v>2026-10-06</x:v>
      </x:c>
      <x:c r="E51" s="23" t="str">
        <x:v>Thailand_model_launch_dates_2026-10.xlsx</x:v>
      </x:c>
      <x:c r="F51" s="7" t="str">
        <x:v>204車名。確度A/B/C、月不明時は7月仮定。世代経過年数は更新頻度・開発期間ではない。Hilux合算等で車種数とヒット数を区別。</x:v>
      </x:c>
    </x:row>
    <x:row r="52" ht="46.5" customHeight="1">
      <x:c r="A52" s="7" t="str">
        <x:v>R18</x:v>
      </x:c>
      <x:c r="B52" s="7" t="str">
        <x:v>提供ファイル</x:v>
      </x:c>
      <x:c r="C52" s="7" t="str">
        <x:v>ASEAN6の政策史</x:v>
      </x:c>
      <x:c r="D52" s="7" t="str">
        <x:v>2026-10-06</x:v>
      </x:c>
      <x:c r="E52" s="23" t="str">
        <x:v>ASEAN_6countries_policy_history_2020-2026(1).pptx</x:v>
      </x:c>
      <x:c r="F52" s="7" t="str">
        <x:v>国籍ではなく動力・CBU/CKD・参加認定で制度を適用。マレーシア・ベトナム・シンガポールの条件を一次情報で再確認。</x:v>
      </x:c>
    </x:row>
    <x:row r="53" ht="46.5" customHeight="1">
      <x:c r="A53" s="7" t="str">
        <x:v>S01</x:v>
      </x:c>
      <x:c r="B53" s="7" t="str">
        <x:v>BYD Rêver</x:v>
      </x:c>
      <x:c r="C53" s="7" t="str">
        <x:v>ATTO 3 現行タイ仕様</x:v>
      </x:c>
      <x:c r="D53" s="7" t="str">
        <x:v>現行</x:v>
      </x:c>
      <x:c r="E53" s="23" t="str">
        <x:v>https://www.reverautomotive.com/en/model/newatto3/tech-spec</x:v>
      </x:c>
      <x:c r="F53" s="7" t="str">
        <x:v>タイ販売仕様。Extended 60.48 kWh / 480 km NEDC。</x:v>
      </x:c>
    </x:row>
    <x:row r="54" ht="46.5" customHeight="1">
      <x:c r="A54" s="7" t="str">
        <x:v>S02</x:v>
      </x:c>
      <x:c r="B54" s="7" t="str">
        <x:v>BYD Jinlong 正規販売店</x:v>
      </x:c>
      <x:c r="C54" s="7" t="str">
        <x:v>ATTO 3 MY2024 改良内容</x:v>
      </x:c>
      <x:c r="D54" s="7" t="str">
        <x:v>2024-04-25</x:v>
      </x:c>
      <x:c r="E54" s="23" t="str">
        <x:v>https://bydchaengwatthana.com/%E0%B8%A3%E0%B8%B5%E0%B8%A7%E0%B8%B4%E0%B8%A7-new-byd-atto-3-%E0%B8%9B%E0%B8%B5-2024</x:v>
      </x:c>
      <x:c r="F54" s="7" t="str">
        <x:v>Standard 49.92→50.25 kWh、画面、タイヤ、ロゴ、グレード再編。</x:v>
      </x:c>
    </x:row>
    <x:row r="55" ht="46.5" customHeight="1">
      <x:c r="A55" s="7" t="str">
        <x:v>S03</x:v>
      </x:c>
      <x:c r="B55" s="7" t="str">
        <x:v>BYD Jinlong 正規販売店</x:v>
      </x:c>
      <x:c r="C55" s="7" t="str">
        <x:v>DOLPHIN タイ生産仕様の改良</x:v>
      </x:c>
      <x:c r="D55" s="7" t="str">
        <x:v>2024-07-29</x:v>
      </x:c>
      <x:c r="E55" s="23" t="str">
        <x:v>https://bydchaengwatthana.com/new-byd-dolphin-%E0%B8%88%E0%B8%AD%E0%B8%87%E0%B9%84%E0%B8%94%E0%B9%89%E0%B9%81%E0%B8%A5%E0%B9%89%E0%B8%A7%E0%B8%A7%E0%B8%B1%E0%B8%99%E0%B8%99%E0%B8%B5%E0%B9%89</x:v>
      </x:c>
      <x:c r="F55" s="7" t="str">
        <x:v>44.9→50.25 kWh、410→435 km。DC70 kW表記は現行公式60 kWと不一致。</x:v>
      </x:c>
    </x:row>
    <x:row r="56" ht="46.5" customHeight="1">
      <x:c r="A56" s="7" t="str">
        <x:v>S04</x:v>
      </x:c>
      <x:c r="B56" s="7" t="str">
        <x:v>BYD Rêver</x:v>
      </x:c>
      <x:c r="C56" s="7" t="str">
        <x:v>DOLPHIN 現行タイ仕様</x:v>
      </x:c>
      <x:c r="D56" s="7" t="str">
        <x:v>現行</x:v>
      </x:c>
      <x:c r="E56" s="23" t="str">
        <x:v>https://www.reverautomotive.com/en/model/new-dolphin/tech-spec</x:v>
      </x:c>
      <x:c r="F56" s="7" t="str">
        <x:v>Standard 50.25 / 435、Extended 60.48 / 490。航続距離はNEDC。</x:v>
      </x:c>
    </x:row>
    <x:row r="57" ht="46.5" customHeight="1">
      <x:c r="A57" s="7" t="str">
        <x:v>S05</x:v>
      </x:c>
      <x:c r="B57" s="7" t="str">
        <x:v>BYD Rêver</x:v>
      </x:c>
      <x:c r="C57" s="7" t="str">
        <x:v>DOLPHIN 現地生産車の販売価格</x:v>
      </x:c>
      <x:c r="D57" s="7" t="str">
        <x:v>2024-09-01</x:v>
      </x:c>
      <x:c r="E57" s="23" t="str">
        <x:v>https://www.reverautomotive.com/news/new-byd-dolphin-sep-campaign</x:v>
      </x:c>
      <x:c r="F57" s="7" t="str">
        <x:v>MSRP 569,900 / 709,900 THB。7月販売店の予価を9月公式価格で確認。</x:v>
      </x:c>
    </x:row>
    <x:row r="58" ht="46.5" customHeight="1">
      <x:c r="A58" s="7" t="str">
        <x:v>S06</x:v>
      </x:c>
      <x:c r="B58" s="7" t="str">
        <x:v>MGが配信した発表（ThaiPR）</x:v>
      </x:c>
      <x:c r="C58" s="7" t="str">
        <x:v>MG4 初期タイ仕様</x:v>
      </x:c>
      <x:c r="D58" s="7" t="str">
        <x:v>2022-11-14</x:v>
      </x:c>
      <x:c r="E58" s="23" t="str">
        <x:v>https://www.thaipr.net/auto/3266730</x:v>
      </x:c>
      <x:c r="F58" s="7" t="str">
        <x:v>MGのPR担当会社が配信。51 kWh、425 km NEDC、170 PS。</x:v>
      </x:c>
    </x:row>
    <x:row r="59" ht="46.5" customHeight="1">
      <x:c r="A59" s="7" t="str">
        <x:v>S07</x:v>
      </x:c>
      <x:c r="B59" s="7" t="str">
        <x:v>MG Thailand</x:v>
      </x:c>
      <x:c r="C59" s="7" t="str">
        <x:v>MG4 MY2024 メーカー冊子</x:v>
      </x:c>
      <x:c r="D59" s="7" t="str">
        <x:v>2024年版</x:v>
      </x:c>
      <x:c r="E59" s="23" t="str">
        <x:v>https://revamp.mgcars.com/download-brochures/New_MG4_Electric_2024_Brochure.pdf</x:v>
      </x:c>
      <x:c r="F59" s="7" t="str">
        <x:v>p.7を目視確認。D/X 49 kWh / 423 km、V 64 kWh / 540 km。D/X/Vは170 PS。</x:v>
      </x:c>
    </x:row>
    <x:row r="60" ht="46.5" customHeight="1">
      <x:c r="A60" s="7" t="str">
        <x:v>S08</x:v>
      </x:c>
      <x:c r="B60" s="7" t="str">
        <x:v>MG Thailand</x:v>
      </x:c>
      <x:c r="C60" s="7" t="str">
        <x:v>MG4 MY2026 タイ仕様</x:v>
      </x:c>
      <x:c r="D60" s="7" t="str">
        <x:v>現行</x:v>
      </x:c>
      <x:c r="E60" s="23" t="str">
        <x:v>https://www.mgcars.com/en/cars/mg4-my2026</x:v>
      </x:c>
      <x:c r="F60" s="7" t="str">
        <x:v>Long Range 62.2 kWh / 540 km、DC140 kW、10–80%26分、新しい室内。</x:v>
      </x:c>
    </x:row>
    <x:row r="61" ht="46.5" customHeight="1">
      <x:c r="A61" s="7" t="str">
        <x:v>S09</x:v>
      </x:c>
      <x:c r="B61" s="7" t="str">
        <x:v>MG Thailand</x:v>
      </x:c>
      <x:c r="C61" s="7" t="str">
        <x:v>MG URBAN タイ販売モデル</x:v>
      </x:c>
      <x:c r="D61" s="7" t="str">
        <x:v>現行</x:v>
      </x:c>
      <x:c r="E61" s="23" t="str">
        <x:v>https://www.mgcars.com/en/cars/mg-urban</x:v>
      </x:c>
      <x:c r="F61" s="7" t="str">
        <x:v>E3プラットフォーム・Cell-to-Body・室内刷新。MG4 MY2026と併売。</x:v>
      </x:c>
    </x:row>
    <x:row r="62" ht="46.5" customHeight="1">
      <x:c r="A62" s="7" t="str">
        <x:v>S10</x:v>
      </x:c>
      <x:c r="B62" s="7" t="str">
        <x:v>GWM</x:v>
      </x:c>
      <x:c r="C62" s="7" t="str">
        <x:v>Good Cat タイ生産開始</x:v>
      </x:c>
      <x:c r="D62" s="7" t="str">
        <x:v>2024-01-15</x:v>
      </x:c>
      <x:c r="E62" s="23" t="str">
        <x:v>https://www.gwm-global.com/news/3403214.html</x:v>
      </x:c>
      <x:c r="F62" s="7" t="str">
        <x:v>タイ初発売2021/10/29、タイ生産2024/1/12、SVOLT供給。</x:v>
      </x:c>
    </x:row>
    <x:row r="63" ht="46.5" customHeight="1">
      <x:c r="A63" s="7" t="str">
        <x:v>S11</x:v>
      </x:c>
      <x:c r="B63" s="7" t="str">
        <x:v>GWM Amorn Ratchada 正規販売店</x:v>
      </x:c>
      <x:c r="C63" s="7" t="str">
        <x:v>Good Cat MY2024 改良比較</x:v>
      </x:c>
      <x:c r="D63" s="7" t="str">
        <x:v>2024年改良</x:v>
      </x:c>
      <x:c r="E63" s="23" t="str">
        <x:v>https://gwmamornratchada.com/ora-good-cat-2024-thailand-version/</x:v>
      </x:c>
      <x:c r="F63" s="7" t="str">
        <x:v>500系NMC→57.7 kWh LFP、500→480 km、DC60→70 kW。内装・V2L改良。</x:v>
      </x:c>
    </x:row>
    <x:row r="64" ht="46.5" customHeight="1">
      <x:c r="A64" s="7" t="str">
        <x:v>S12</x:v>
      </x:c>
      <x:c r="B64" s="7" t="str">
        <x:v>GWM Thailand</x:v>
      </x:c>
      <x:c r="C64" s="7" t="str">
        <x:v>ORA 5 EV タイ仕様</x:v>
      </x:c>
      <x:c r="D64" s="7" t="str">
        <x:v>現行</x:v>
      </x:c>
      <x:c r="E64" s="23" t="str">
        <x:v>https://www.gwm.co.th/en/models/ora-5-ev</x:v>
      </x:c>
      <x:c r="F64" s="7" t="str">
        <x:v>新しい車系。58.3 kWh / 520 kmは公式ホームページにも記載。</x:v>
      </x:c>
    </x:row>
    <x:row r="65" ht="46.5" customHeight="1">
      <x:c r="A65" s="7" t="str">
        <x:v>S13</x:v>
      </x:c>
      <x:c r="B65" s="7" t="str">
        <x:v>CHANGAN Thailand</x:v>
      </x:c>
      <x:c r="C65" s="7" t="str">
        <x:v>NEW S07 メーカー冊子</x:v>
      </x:c>
      <x:c r="D65" s="7" t="str">
        <x:v>現行</x:v>
      </x:c>
      <x:c r="E65" s="23" t="str">
        <x:v>https://api.www.changan.co.th/uploads/NEW_S07_Brochure_EN_620b9c3590.pdf</x:v>
      </x:c>
      <x:c r="F65" s="7" t="str">
        <x:v>p.2を目視確認。68.8 kWh LFP / 485 km NEDC / DC167 kW / 30–80%15分。</x:v>
      </x:c>
    </x:row>
    <x:row r="66" ht="46.5" customHeight="1">
      <x:c r="A66" s="7" t="str">
        <x:v>S14</x:v>
      </x:c>
      <x:c r="B66" s="7" t="str">
        <x:v>CHANGAN Thailand</x:v>
      </x:c>
      <x:c r="C66" s="7" t="str">
        <x:v>NEW S07 タイ改良発表</x:v>
      </x:c>
      <x:c r="D66" s="7" t="str">
        <x:v>2025-10-20</x:v>
      </x:c>
      <x:c r="E66" s="23" t="str">
        <x:v>https://www.changan.co.th/en/news/changan-in-thailand-for-thailand-en/</x:v>
      </x:c>
      <x:c r="F66" s="7" t="str">
        <x:v>LFP・充電・サスペンション・ホイール・外観小変更。希望価格1,219,000、早期特価1,099,000。</x:v>
      </x:c>
    </x:row>
    <x:row r="67" ht="46.5" customHeight="1">
      <x:c r="A67" s="7" t="str">
        <x:v>S15</x:v>
      </x:c>
      <x:c r="B67" s="7" t="str">
        <x:v>EVAT</x:v>
      </x:c>
      <x:c r="C67" s="7" t="str">
        <x:v>タイBEV一覧 2024</x:v>
      </x:c>
      <x:c r="D67" s="7" t="str">
        <x:v>2024-07-12</x:v>
      </x:c>
      <x:c r="E67" s="23" t="str">
        <x:v>https://evat.or.th/wp-content/uploads/2025/08/20240712_Updated-BEV-Car.pdf</x:v>
      </x:c>
      <x:c r="F67" s="7" t="str">
        <x:v>S07の旧容量66.8 kWhのみ採用。航続距離・他車の容量にはメーカー資料と不一致があり、採用していない。</x:v>
      </x:c>
    </x:row>
    <x:row r="68" ht="103.5" customHeight="1">
      <x:c r="A68" s="7" t="str">
        <x:v>S16</x:v>
      </x:c>
      <x:c r="B68" s="7" t="str">
        <x:v>GAC Thailand</x:v>
      </x:c>
      <x:c r="C68" s="7" t="str">
        <x:v>Motor Expo 2024 価格施策</x:v>
      </x:c>
      <x:c r="D68" s="7" t="str">
        <x:v>2024-11-28</x:v>
      </x:c>
      <x:c r="E68" s="23" t="str">
        <x:v>https://www.gacgroup.com/th-th/news/article/aion-thailand-%E0%B9%80%E0%B8%9B%E0%B8%B4%E0%B8%94%E0%B8%95%E0%B8%B1%E0%B8%A7%E0%B8%AD%E0%B8%A2%E0%B9%88%E0%B8%B2%E0%B8%87%E0%B8%A2%E0%B8%B4%E0%B9%88%E0%B8%87%E0%B9%83%E0%B8%AB%E0%B8%8D%E0%B9%88%E0%B9%83%E0%B8%99%E0%B8%87%E0%B8%B2%E0%B8%99-motor-expo-2024-%E0%B9%80%E0%B8%9B%E0%B8%B4%E0%B8%94%E0%B8%95%E0%B8%B1%E0%B8%A7%E0%B8%A3%E0%B8%96%E0%B9%84%E0%B8%9F%E0%B8%9F%E0%B9%89%E0%B8%B2%E0%B8%A3%E0%B8%B8%E0%B9%88%E0%B8%99%E0%B8%A5%E0%B9%88%E0%B8%B2%E0%B8%AA%E0%B8%B8%E0%B8%94-aion-v-%E0%B8%9E%E0%B8%A3%E0%B9%89%E0%B8%AD%E0%B8%A1%E0%B8%82%E0%B9%89%E0%B8%AD%E0%B9%80%E0%B8%AA%E0%B8%99%E0%B8%AD%E0%B8%AA%E0%B8%B8%E0%B8%94%E0%B8%9E%E0%B8%B4%E0%B9%80%E0%B8%A8%E0%B8%A9%E0%B8%A1%E0%B8%B2%E0%B8%81%E0%B8%A1%E0%B8%B2%E0%B8%A2-56</x:v>
      </x:c>
      <x:c r="F68" s="7" t="str">
        <x:v>490 Premium 995,900→829,900 THB、410 Premium 859,900→769,900 THB。価格施策として採録。</x:v>
      </x:c>
    </x:row>
    <x:row r="69" ht="46.5" customHeight="1">
      <x:c r="A69" s="7" t="str">
        <x:v>S17</x:v>
      </x:c>
      <x:c r="B69" s="7" t="str">
        <x:v>GAC Thailand</x:v>
      </x:c>
      <x:c r="C69" s="7" t="str">
        <x:v>Y Plus 現行タイ販売ページ</x:v>
      </x:c>
      <x:c r="D69" s="7" t="str">
        <x:v>現行</x:v>
      </x:c>
      <x:c r="E69" s="23" t="str">
        <x:v>https://www.gacgroup.com/th-th/suv/aion-y-plus</x:v>
      </x:c>
      <x:c r="F69" s="7" t="str">
        <x:v>490 Premiumを継続販売。現行掲載価格と過去キャンペーン価格を混同しない。</x:v>
      </x:c>
    </x:row>
    <x:row r="70" ht="46.5" customHeight="1">
      <x:c r="A70" s="7" t="str">
        <x:v>S18</x:v>
      </x:c>
      <x:c r="B70" s="7" t="str">
        <x:v>NETA Thailandが配信した発表（ThaiPR）</x:v>
      </x:c>
      <x:c r="C70" s="7" t="str">
        <x:v>NETA V-II タイ発売</x:v>
      </x:c>
      <x:c r="D70" s="7" t="str">
        <x:v>2024-03-26</x:v>
      </x:c>
      <x:c r="E70" s="23" t="str">
        <x:v>https://www.thaipr.net/auto/3458139</x:v>
      </x:c>
      <x:c r="F70" s="7" t="str">
        <x:v>3月発売発表。382 km NEDC、SMARTにADAS8機能、CarPlay・V2L・現地生産。旧新の容量比較は採用しない。</x:v>
      </x:c>
    </x:row>
    <x:row r="71" ht="46.5" customHeight="1">
      <x:c r="A71" s="7" t="str">
        <x:v>S19</x:v>
      </x:c>
      <x:c r="B71" s="7" t="str">
        <x:v>XPENG</x:v>
      </x:c>
      <x:c r="C71" s="7" t="str">
        <x:v>旧G6 輸出仕様</x:v>
      </x:c>
      <x:c r="D71" s="7" t="str">
        <x:v>2024-04-03</x:v>
      </x:c>
      <x:c r="E71" s="23" t="str">
        <x:v>https://www.xpeng.com/news/018ea2e7e0568dc5f9d32c9e8bfb0a52</x:v>
      </x:c>
      <x:c r="F71" s="7" t="str">
        <x:v>Long Range RWDは87.5 kWh NMC / 570 km WLTP、10–80%20分未満。タイ旧冊子の代わりに同等輸出仕様として明示。</x:v>
      </x:c>
    </x:row>
    <x:row r="72" ht="46.5" customHeight="1">
      <x:c r="A72" s="7" t="str">
        <x:v>S20</x:v>
      </x:c>
      <x:c r="B72" s="7" t="str">
        <x:v>XPENG Thailand</x:v>
      </x:c>
      <x:c r="C72" s="7" t="str">
        <x:v>G6 RHD旧型取扱説明書</x:v>
      </x:c>
      <x:c r="D72" s="7" t="str">
        <x:v>旧型</x:v>
      </x:c>
      <x:c r="E72" s="23" t="str">
        <x:v>https://xpeng.co.th/wp-content/uploads/download/Xpeng%20G6%20User%20Manual%20%28English%29.pdf</x:v>
      </x:c>
      <x:c r="F72" s="7" t="str">
        <x:v>旧型RHDの容量87.5 kWhを確認する補助資料。</x:v>
      </x:c>
    </x:row>
    <x:row r="73" ht="46.5" customHeight="1">
      <x:c r="A73" s="7" t="str">
        <x:v>S21</x:v>
      </x:c>
      <x:c r="B73" s="7" t="str">
        <x:v>XPENG Thailand</x:v>
      </x:c>
      <x:c r="C73" s="7" t="str">
        <x:v>NEW G6 タイ冊子</x:v>
      </x:c>
      <x:c r="D73" s="7" t="str">
        <x:v>2025年改良</x:v>
      </x:c>
      <x:c r="E73" s="23" t="str">
        <x:v>https://xpeng.co.th/wp-content/uploads/2025/01/xpeng-g6.pdf</x:v>
      </x:c>
      <x:c r="F73" s="7" t="str">
        <x:v>印刷コードG6L082025R2。Long Range 80.8 kWh LFP / 525 km WLTP / 600 km NEDC / 10–80%12分。URLの2025/01は版年の根拠にしない。</x:v>
      </x:c>
    </x:row>
    <x:row r="74" ht="46.5" customHeight="1">
      <x:c r="A74" s="7" t="str">
        <x:v>S22</x:v>
      </x:c>
      <x:c r="B74" s="7" t="str">
        <x:v>XPENG</x:v>
      </x:c>
      <x:c r="C74" s="7" t="str">
        <x:v>新G6 電池・充電改良発表</x:v>
      </x:c>
      <x:c r="D74" s="7" t="str">
        <x:v>2025-06-12</x:v>
      </x:c>
      <x:c r="E74" s="23" t="str">
        <x:v>https://www.xpeng.com/news/019762f4239996d25db58a02820b01b0</x:v>
      </x:c>
      <x:c r="F74" s="7" t="str">
        <x:v>5C LFP・800V・10–80%12分。タイ適用はS21で照合。</x:v>
      </x:c>
    </x:row>
    <x:row r="75" ht="46.5" customHeight="1">
      <x:c r="A75" s="7" t="str">
        <x:v>S23</x:v>
      </x:c>
      <x:c r="B75" s="7" t="str">
        <x:v>XPENG</x:v>
      </x:c>
      <x:c r="C75" s="7" t="str">
        <x:v>G6 タイ初発売と価格</x:v>
      </x:c>
      <x:c r="D75" s="7" t="str">
        <x:v>2024-08-23</x:v>
      </x:c>
      <x:c r="E75" s="23" t="str">
        <x:v>https://www.xpeng.com/news/01917edb9a13915a62be8a0282c80026</x:v>
      </x:c>
      <x:c r="F75" s="7" t="str">
        <x:v>初発売8/21。Standard1,439,000 / Long Range1,599,000 THB。本文の580/750 kmは試験規格不明のため比較に使わない。</x:v>
      </x:c>
    </x:row>
    <x:row r="76" ht="46.5" customHeight="1">
      <x:c r="A76" s="7" t="str">
        <x:v>S24</x:v>
      </x:c>
      <x:c r="B76" s="7" t="str">
        <x:v>ZEEKR Thailand</x:v>
      </x:c>
      <x:c r="C76" s="7" t="str">
        <x:v>New ZEEKR X MY2026 改良</x:v>
      </x:c>
      <x:c r="D76" s="7" t="str">
        <x:v>2026-03-17</x:v>
      </x:c>
      <x:c r="E76" s="23" t="str">
        <x:v>https://www.zeekrlife.com/th-th/posts/the-new-zeekr-x</x:v>
      </x:c>
      <x:c r="F76" s="7" t="str">
        <x:v>AWD 66 kWh NMC / 470 km NEDC / 489 hp、Art Deco内装、快適装備。電池寿命の新旧実測比較なし。</x:v>
      </x:c>
    </x:row>
    <x:row r="77" ht="46.5" customHeight="1">
      <x:c r="A77" s="7" t="str">
        <x:v>S25</x:v>
      </x:c>
      <x:c r="B77" s="7" t="str">
        <x:v>ZEEKR Thailand</x:v>
      </x:c>
      <x:c r="C77" s="7" t="str">
        <x:v>X 現行タイ販売ページ</x:v>
      </x:c>
      <x:c r="D77" s="7" t="str">
        <x:v>現行</x:v>
      </x:c>
      <x:c r="E77" s="23" t="str">
        <x:v>https://www.zeekrlife.com/en-th/models/x</x:v>
      </x:c>
      <x:c r="F77" s="7" t="str">
        <x:v>現行公式ページには470/479 kmなど表記差がある。本文では日付付きS24の470を採用。</x:v>
      </x:c>
    </x:row>
    <x:row r="78" ht="46.5" customHeight="1">
      <x:c r="A78" s="7" t="str">
        <x:v>S26</x:v>
      </x:c>
      <x:c r="B78" s="7" t="str">
        <x:v>OMODA &amp; JAECOO Thailand</x:v>
      </x:c>
      <x:c r="C78" s="7" t="str">
        <x:v>C5 EV 旧タイ仕様</x:v>
      </x:c>
      <x:c r="D78" s="7" t="str">
        <x:v>2024-07</x:v>
      </x:c>
      <x:c r="E78" s="23" t="str">
        <x:v>https://www.omodajaecoo.co.th/PDF/SpecSheet_OMODA_C5_EV%20Thai_Version_072024.pdf</x:v>
      </x:c>
      <x:c r="F78" s="7" t="str">
        <x:v>メーカー公表旧仕様 61 kWh / 505 km NEDC、430 km WLTP。公表値の丸めを維持。</x:v>
      </x:c>
    </x:row>
    <x:row r="79" ht="46.5" customHeight="1">
      <x:c r="A79" s="7" t="str">
        <x:v>S27</x:v>
      </x:c>
      <x:c r="B79" s="7" t="str">
        <x:v>OMODA &amp; JAECOO Thailand</x:v>
      </x:c>
      <x:c r="C79" s="7" t="str">
        <x:v>C5 EV MAX+ タイ仕様</x:v>
      </x:c>
      <x:c r="D79" s="7" t="str">
        <x:v>2026-09-30</x:v>
      </x:c>
      <x:c r="E79" s="23" t="str">
        <x:v>https://www.omodajaecoo.co.th/en/blog/omoda-c5-ev-en</x:v>
      </x:c>
      <x:c r="F79" s="7" t="str">
        <x:v>50.6 kWh / 422 km NEDC、110 kW DC、15.6型画面、外内装刷新、タイ生産。MSRP709,000。9月特価649,000は当時限定。</x:v>
      </x:c>
    </x:row>
    <x:row r="80" ht="46.5" customHeight="1">
      <x:c r="A80" s="7" t="str">
        <x:v>S28</x:v>
      </x:c>
      <x:c r="B80" s="7" t="str">
        <x:v>MG Thailand</x:v>
      </x:c>
      <x:c r="C80" s="7" t="str">
        <x:v>MG3 HYBRID+ 全面刷新の発表</x:v>
      </x:c>
      <x:c r="D80" s="7" t="str">
        <x:v>2024年</x:v>
      </x:c>
      <x:c r="E80" s="23" t="str">
        <x:v>https://ex-prod.mgcars.com/th/NewsActivities/Detail/ALL-NEW-MG3-News</x:v>
      </x:c>
      <x:c r="F80" s="7" t="str">
        <x:v>新1.5Lハイブリッド、1.83 kWh、194 PS。燃費26 km/Lはメーカーの走行実証記述で認証値ではない。</x:v>
      </x:c>
    </x:row>
    <x:row r="81" ht="46.5" customHeight="1">
      <x:c r="A81" s="7" t="str">
        <x:v>S29</x:v>
      </x:c>
      <x:c r="B81" s="7" t="str">
        <x:v>MG Thailand</x:v>
      </x:c>
      <x:c r="C81" s="7" t="str">
        <x:v>MG3 HYBRID+ タイ発売確認</x:v>
      </x:c>
      <x:c r="D81" s="7" t="str">
        <x:v>2024年8月</x:v>
      </x:c>
      <x:c r="E81" s="23" t="str">
        <x:v>https://ex-prod.mgcars.com/th/NewsActivities/Detail/Big-Motor-Sale-2024</x:v>
      </x:c>
      <x:c r="F81" s="7" t="str">
        <x:v>2024/8/20発売、末月納車開始。ICE旧世代からHEV新世代へ。</x:v>
      </x:c>
    </x:row>
    <x:row r="82" ht="46.5" customHeight="1">
      <x:c r="A82" s="7" t="str">
        <x:v>S30</x:v>
      </x:c>
      <x:c r="B82" s="7" t="str">
        <x:v>Toyota</x:v>
      </x:c>
      <x:c r="C82" s="7" t="str">
        <x:v>Corolla Cross タイ初代仕様</x:v>
      </x:c>
      <x:c r="D82" s="7" t="str">
        <x:v>2020-07-09</x:v>
      </x:c>
      <x:c r="E82" s="23" t="str">
        <x:v>https://global.toyota/en/newsroom/toyota/33080318.html</x:v>
      </x:c>
      <x:c r="F82" s="7" t="str">
        <x:v>タイ仕様 122 PS、HEV4.3 L/100km NEDC、GA-C。</x:v>
      </x:c>
    </x:row>
    <x:row r="83" ht="46.5" customHeight="1">
      <x:c r="A83" s="7" t="str">
        <x:v>S31</x:v>
      </x:c>
      <x:c r="B83" s="7" t="str">
        <x:v>Toyota Thailand</x:v>
      </x:c>
      <x:c r="C83" s="7" t="str">
        <x:v>Corolla Cross 2024 改良</x:v>
      </x:c>
      <x:c r="D83" s="7" t="str">
        <x:v>2024-02-08</x:v>
      </x:c>
      <x:c r="E83" s="23" t="str">
        <x:v>https://www.toyota.co.th/en/news/New-Corolla-Cross-2024</x:v>
      </x:c>
      <x:c r="F83" s="7" t="str">
        <x:v>タイ1.8 HEV / 122 PS、外装、画面、EPB等。日本・欧州の異なるハイブリッド仕様を転記しない。</x:v>
      </x:c>
    </x:row>
    <x:row r="84" ht="46.5" customHeight="1">
      <x:c r="A84" s="7" t="str">
        <x:v>S32</x:v>
      </x:c>
      <x:c r="B84" s="7" t="str">
        <x:v>Honda Thailand</x:v>
      </x:c>
      <x:c r="C84" s="7" t="str">
        <x:v>HR-V 2024 マイナー改良</x:v>
      </x:c>
      <x:c r="D84" s="7" t="str">
        <x:v>2024-11-07</x:v>
      </x:c>
      <x:c r="E84" s="23" t="str">
        <x:v>https://www.honda.co.th/news/NewHondaHRVeHEV_officialprice</x:v>
      </x:c>
      <x:c r="F84" s="7" t="str">
        <x:v>グリル、ランプ、コンソール、8型画面、装備。1.5L e:HEV・253 Nm・25.6 km/L。11/28納車。</x:v>
      </x:c>
    </x:row>
    <x:row r="85" ht="46.5" customHeight="1">
      <x:c r="A85" s="7" t="str">
        <x:v>S33</x:v>
      </x:c>
      <x:c r="B85" s="7" t="str">
        <x:v>Honda正規販売店保管のメーカー冊子</x:v>
      </x:c>
      <x:c r="C85" s="7" t="str">
        <x:v>HR-V 改良前仕様</x:v>
      </x:c>
      <x:c r="D85" s="7" t="str">
        <x:v>2024-04保管</x:v>
      </x:c>
      <x:c r="E85" s="23" t="str">
        <x:v>https://hondasai4group.com/wp-content/uploads/2024/04/Honda-HR-V-eHEV.pdf</x:v>
      </x:c>
      <x:c r="F85" s="7" t="str">
        <x:v>改良前の公表燃費25.6 km/L。</x:v>
      </x:c>
    </x:row>
    <x:row r="86" ht="46.5" customHeight="1">
      <x:c r="A86" s="7" t="str">
        <x:v>S34</x:v>
      </x:c>
      <x:c r="B86" s="7" t="str">
        <x:v>Honda Thailand</x:v>
      </x:c>
      <x:c r="C86" s="7" t="str">
        <x:v>HR-V 現行2026仕様</x:v>
      </x:c>
      <x:c r="D86" s="7" t="str">
        <x:v>現行</x:v>
      </x:c>
      <x:c r="E86" s="23" t="str">
        <x:v>https://www.honda.co.th/en/hrvehev</x:v>
      </x:c>
      <x:c r="F86" s="7" t="str">
        <x:v>現行24.4 km/LはUN R101 / Euro6表記。2024年25.6と認証条件を揃えず比較しない。</x:v>
      </x:c>
    </x:row>
    <x:row r="87" ht="46.5" customHeight="1">
      <x:c r="A87" s="7" t="str">
        <x:v>S35</x:v>
      </x:c>
      <x:c r="B87" s="7" t="str">
        <x:v>Nissan Thailand</x:v>
      </x:c>
      <x:c r="C87" s="7" t="str">
        <x:v>KICKS 2022 技術改良</x:v>
      </x:c>
      <x:c r="D87" s="7" t="str">
        <x:v>2022-07-01</x:v>
      </x:c>
      <x:c r="E87" s="23" t="str">
        <x:v>https://thailand.nissannews.com/en/releases/nissan-launches-new-kicks-e-power-bringing-unmatched-road-excitement-to-the-thai-market</x:v>
      </x:c>
      <x:c r="F87" s="7" t="str">
        <x:v>第2世代e-POWER、2.06 kWh、136 PS / 280 Nm。26.3は市街地、23.8は総合値。</x:v>
      </x:c>
    </x:row>
    <x:row r="88" ht="46.5" customHeight="1">
      <x:c r="A88" s="7" t="str">
        <x:v>S36</x:v>
      </x:c>
      <x:c r="B88" s="7" t="str">
        <x:v>Toyota Thailand</x:v>
      </x:c>
      <x:c r="C88" s="7" t="str">
        <x:v>Camry 2024 全面刷新</x:v>
      </x:c>
      <x:c r="D88" s="7" t="str">
        <x:v>2024-10-10</x:v>
      </x:c>
      <x:c r="E88" s="23" t="str">
        <x:v>https://www.toyota.co.th/en/news/ALL-NEW-CAMRY-2024</x:v>
      </x:c>
      <x:c r="F88" s="7" t="str">
        <x:v>227 PS、メーカー公表25 km/L。新ハイブリッド・安全装備・外内装。</x:v>
      </x:c>
    </x:row>
    <x:row r="89" ht="46.5" customHeight="1">
      <x:c r="A89" s="7" t="str">
        <x:v>S37</x:v>
      </x:c>
      <x:c r="B89" s="7" t="str">
        <x:v>Toyota Thailand</x:v>
      </x:c>
      <x:c r="C89" s="7" t="str">
        <x:v>Yaris ATIV HEV 追加</x:v>
      </x:c>
      <x:c r="D89" s="7" t="str">
        <x:v>2025-08-21</x:v>
      </x:c>
      <x:c r="E89" s="23" t="str">
        <x:v>https://www.toyota.co.th/en/news/NEW-YARIS-ATIV-HEV-and-NEW-bZ4X-BEV-25</x:v>
      </x:c>
      <x:c r="F89" s="7" t="str">
        <x:v>1.5 HEV 111 PS、29.4 km/L ECO Sticker。同じ車系へのパワトレ追加として分類。</x:v>
      </x:c>
    </x:row>
    <x:row r="90" ht="46.5" customHeight="1">
      <x:c r="A90" s="7" t="str">
        <x:v>S38</x:v>
      </x:c>
      <x:c r="B90" s="7" t="str">
        <x:v>Nissan Thailand</x:v>
      </x:c>
      <x:c r="C90" s="7" t="str">
        <x:v>Almera 2023 マイナー改良</x:v>
      </x:c>
      <x:c r="D90" s="7" t="str">
        <x:v>2023年5月</x:v>
      </x:c>
      <x:c r="E90" s="23" t="str">
        <x:v>https://thailand.nissannews.com/en/releases/new-nissan-almera-excites-thailands-compact-sedan-market</x:v>
      </x:c>
      <x:c r="F90" s="7" t="str">
        <x:v>V-motion外観、NissanConnect、安全装備。1.0Lターボを継続、23.3 km/L。</x:v>
      </x:c>
    </x:row>
    <x:row r="91" ht="46.5" customHeight="1">
      <x:c r="A91" s="7" t="str">
        <x:v>S39</x:v>
      </x:c>
      <x:c r="B91" s="7" t="str">
        <x:v>Toyota Summit 正規販売店</x:v>
      </x:c>
      <x:c r="C91" s="7" t="str">
        <x:v>Yaris ATIV 2022 全面刷新</x:v>
      </x:c>
      <x:c r="D91" s="7" t="str">
        <x:v>2022年</x:v>
      </x:c>
      <x:c r="E91" s="23" t="str">
        <x:v>https://toyotasummit.co.th/th/main/news-and-event/YarisAtiv2022</x:v>
      </x:c>
      <x:c r="F91" s="7" t="str">
        <x:v>メーカー発表モデルの現地販売開始。新車体・内装・安全装備。</x:v>
      </x:c>
    </x:row>
    <x:row r="92" ht="46.5" customHeight="1">
      <x:c r="A92" s="7" t="str">
        <x:v>S40</x:v>
      </x:c>
      <x:c r="B92" s="7" t="str">
        <x:v>BYD Rêver</x:v>
      </x:c>
      <x:c r="C92" s="7" t="str">
        <x:v>同じATTO 3 MY23の値下げ</x:v>
      </x:c>
      <x:c r="D92" s="7" t="str">
        <x:v>2024-07-05〜31</x:v>
      </x:c>
      <x:c r="E92" s="23" t="str">
        <x:v>https://www.reverautomotive.com/news/ContentBYDThailandFactoryCelebration</x:v>
      </x:c>
      <x:c r="F92" s="7" t="str">
        <x:v>Extended MSRP1,199,900→特価859,900 THB。同じMY・グレードの新車値下げ。</x:v>
      </x:c>
    </x:row>
    <x:row r="93" ht="46.5" customHeight="1">
      <x:c r="A93" s="7" t="str">
        <x:v>S41</x:v>
      </x:c>
      <x:c r="B93" s="7" t="str">
        <x:v>Geotab</x:v>
      </x:c>
      <x:c r="C93" s="7" t="str">
        <x:v>実車電池の劣化データ</x:v>
      </x:c>
      <x:c r="D93" s="7" t="str">
        <x:v>2026-01-13</x:v>
      </x:c>
      <x:c r="E93" s="23" t="str">
        <x:v>https://www.geotab.com/press-release/ev-battery-health-degradation-fast-charging-study/</x:v>
      </x:c>
      <x:c r="F93" s="7" t="str">
        <x:v>22,700台超・21車種、平均2.3%/年。高温・急速充電で差。タイの個別車種の寿命予測ではない。</x:v>
      </x:c>
    </x:row>
    <x:row r="94" ht="46.5" customHeight="1">
      <x:c r="A94" s="7" t="str">
        <x:v>S42</x:v>
      </x:c>
      <x:c r="B94" s="7" t="str">
        <x:v>Krungsri Research</x:v>
      </x:c>
      <x:c r="C94" s="7" t="str">
        <x:v>タイ中古BEV214件の分析</x:v>
      </x:c>
      <x:c r="D94" s="7" t="str">
        <x:v>2025-01-27</x:v>
      </x:c>
      <x:c r="E94" s="23" t="str">
        <x:v>https://www.krungsri.com/en/research/research-intelligence/used-bevs-2024</x:v>
      </x:c>
      <x:c r="F94" s="7" t="str">
        <x:v>One2car 2024/1/1〜8/8の214件。掲載価格、年式、距離等。SOH直接測定を用いた劣化の因果推定ではない。</x:v>
      </x:c>
    </x:row>
    <x:row r="95" ht="46.5" customHeight="1">
      <x:c r="A95" s="7" t="str">
        <x:v>S44</x:v>
      </x:c>
      <x:c r="B95" s="7" t="str">
        <x:v>BloombergNEF</x:v>
      </x:c>
      <x:c r="C95" s="7" t="str">
        <x:v>電池製造価格の下落</x:v>
      </x:c>
      <x:c r="D95" s="7" t="str">
        <x:v>2024-12-10</x:v>
      </x:c>
      <x:c r="E95" s="23" t="str">
        <x:v>https://about.bnef.com/insights/commodities/lithium-ion-battery-pack-prices-see-largest-drop-since-2017-falling-to-115-per-kilowatt-hour-bloombergnef/</x:v>
      </x:c>
      <x:c r="F95" s="7" t="str">
        <x:v>世界全用途平均115 USD/kWh、前年比20%減。BEV用平均97 USD/kWh。小売の交換工賃込み価格とは異なる。</x:v>
      </x:c>
    </x:row>
    <x:row r="96" ht="46.5" customHeight="1">
      <x:c r="A96" s="7" t="str">
        <x:v>S46</x:v>
      </x:c>
      <x:c r="B96" s="7" t="str">
        <x:v>IEA</x:v>
      </x:c>
      <x:c r="C96" s="7" t="str">
        <x:v>タイのBEV対ICE購入価格</x:v>
      </x:c>
      <x:c r="D96" s="7" t="str">
        <x:v>2026年版</x:v>
      </x:c>
      <x:c r="E96" s="23" t="str">
        <x:v>https://www.iea.org/reports/global-ev-outlook-2026/trends-in-electric-cars</x:v>
      </x:c>
      <x:c r="F96" s="7" t="str">
        <x:v>2024年にタイのBEV/ICE購入価格が平均ベースで同水準。販売加重平均であり、全車種・同一車格の一致ではない。</x:v>
      </x:c>
    </x:row>
    <x:row r="97" ht="46.5" customHeight="1">
      <x:c r="A97" s="7" t="str">
        <x:v>S49</x:v>
      </x:c>
      <x:c r="B97" s="7" t="str">
        <x:v>BYD Rêver</x:v>
      </x:c>
      <x:c r="C97" s="7" t="str">
        <x:v>既存顧客の対象期間</x:v>
      </x:c>
      <x:c r="D97" s="7" t="str">
        <x:v>2024-07-18</x:v>
      </x:c>
      <x:c r="E97" s="23" t="str">
        <x:v>https://dev.reverautomotive.com/news/existing-customers-privilege-campaign</x:v>
      </x:c>
      <x:c r="F97" s="7" t="str">
        <x:v>SEALの既存客対象は2023/9/28から。タイと中国のSEAL仕様・更新を区別。</x:v>
      </x:c>
    </x:row>
    <x:row r="98" ht="46.5" customHeight="1">
      <x:c r="A98" s="7" t="str">
        <x:v>S50</x:v>
      </x:c>
      <x:c r="B98" s="7" t="str">
        <x:v>Thai Auto News（GWMの説明を報道）</x:v>
      </x:c>
      <x:c r="C98" s="7" t="str">
        <x:v>Good Cat販売終了とORA 5後継投入</x:v>
      </x:c>
      <x:c r="D98" s="7" t="str">
        <x:v>2026-02-10</x:v>
      </x:c>
      <x:c r="E98" s="23" t="str">
        <x:v>https://www.thaiautonews.net/bye-good-cat-hello-ora-5/</x:v>
      </x:c>
      <x:c r="F98" s="7" t="str">
        <x:v>後継という市場上の位置付けのみ参照。ORA 5技術仕様はGWM公式S12。</x:v>
      </x:c>
    </x:row>
    <x:row r="99" ht="18.75" customHeight="1">
      <x:c r="A99" s="2"/>
      <x:c r="B99" s="2"/>
      <x:c r="C99" s="2"/>
      <x:c r="D99" s="2"/>
      <x:c r="E99" s="2"/>
      <x:c r="F99" s="2"/>
    </x:row>
    <x:row r="100" ht="18.75" customHeight="1">
      <x:c r="A100" s="2"/>
      <x:c r="B100" s="2"/>
      <x:c r="C100" s="2"/>
      <x:c r="D100" s="2"/>
      <x:c r="E100" s="2"/>
      <x:c r="F100" s="2"/>
    </x:row>
    <x:row r="101" ht="18.75" customHeight="1">
      <x:c r="A101" s="2"/>
      <x:c r="B101" s="2"/>
      <x:c r="C101" s="2"/>
      <x:c r="D101" s="2"/>
      <x:c r="E101" s="2"/>
      <x:c r="F101" s="2"/>
    </x:row>
    <x:row r="102" ht="18.75" customHeight="1">
      <x:c r="A102" s="2"/>
      <x:c r="B102" s="2"/>
      <x:c r="C102" s="2"/>
      <x:c r="D102" s="2"/>
      <x:c r="E102" s="2"/>
      <x:c r="F102" s="2"/>
    </x:row>
    <x:row r="103" ht="18.75" customHeight="1">
      <x:c r="A103" s="2"/>
      <x:c r="B103" s="2"/>
      <x:c r="C103" s="2"/>
      <x:c r="D103" s="2"/>
      <x:c r="E103" s="2"/>
      <x:c r="F103" s="2"/>
    </x:row>
    <x:row r="104" ht="18.75" customHeight="1">
      <x:c r="A104" s="2"/>
      <x:c r="B104" s="2"/>
      <x:c r="C104" s="2"/>
      <x:c r="D104" s="2"/>
      <x:c r="E104" s="2"/>
      <x:c r="F104" s="2"/>
    </x:row>
    <x:row r="105" ht="18.75" customHeight="1">
      <x:c r="A105" s="2"/>
      <x:c r="B105" s="2"/>
      <x:c r="C105" s="2"/>
      <x:c r="D105" s="2"/>
      <x:c r="E105" s="2"/>
      <x:c r="F105" s="2"/>
    </x:row>
    <x:row r="106" ht="18.75" customHeight="1">
      <x:c r="A106" s="2"/>
      <x:c r="B106" s="2"/>
      <x:c r="C106" s="2"/>
      <x:c r="D106" s="2"/>
      <x:c r="E106" s="2"/>
      <x:c r="F106" s="2"/>
    </x:row>
    <x:row r="107" ht="18.75" customHeight="1">
      <x:c r="A107" s="2"/>
      <x:c r="B107" s="2"/>
      <x:c r="C107" s="2"/>
      <x:c r="D107" s="2"/>
      <x:c r="E107" s="2"/>
      <x:c r="F107" s="2"/>
    </x:row>
    <x:row r="108" ht="18.75" customHeight="1">
      <x:c r="A108" s="2"/>
      <x:c r="B108" s="2"/>
      <x:c r="C108" s="2"/>
      <x:c r="D108" s="2"/>
      <x:c r="E108" s="2"/>
      <x:c r="F108" s="2"/>
    </x:row>
    <x:row r="109" ht="18.75" customHeight="1">
      <x:c r="A109" s="2"/>
      <x:c r="B109" s="2"/>
      <x:c r="C109" s="2"/>
      <x:c r="D109" s="2"/>
      <x:c r="E109" s="2"/>
      <x:c r="F109" s="2"/>
    </x:row>
    <x:row r="110" ht="18.75" customHeight="1">
      <x:c r="A110" s="2"/>
      <x:c r="B110" s="2"/>
      <x:c r="C110" s="2"/>
      <x:c r="D110" s="2"/>
      <x:c r="E110" s="2"/>
      <x:c r="F110" s="2"/>
    </x:row>
  </x:sheetData>
  <x:mergeCells>
    <x:mergeCell ref="A5:C5"/>
    <x:mergeCell ref="E5:F5"/>
    <x:mergeCell ref="A6:C6"/>
    <x:mergeCell ref="E6:F6"/>
    <x:mergeCell ref="A7:C7"/>
    <x:mergeCell ref="E7:F7"/>
    <x:mergeCell ref="A8:C8"/>
    <x:mergeCell ref="E8:F8"/>
    <x:mergeCell ref="A9:C9"/>
    <x:mergeCell ref="E9:F9"/>
    <x:mergeCell ref="A10:C10"/>
    <x:mergeCell ref="E10:F10"/>
    <x:mergeCell ref="A11:C11"/>
    <x:mergeCell ref="E11:F11"/>
    <x:mergeCell ref="A12:C12"/>
    <x:mergeCell ref="E12:F12"/>
    <x:mergeCell ref="A13:C13"/>
    <x:mergeCell ref="E13:F13"/>
    <x:mergeCell ref="A14:C14"/>
    <x:mergeCell ref="E14:F14"/>
    <x:mergeCell ref="A15:C15"/>
    <x:mergeCell ref="E15:F15"/>
    <x:mergeCell ref="A16:C16"/>
    <x:mergeCell ref="E16:F16"/>
    <x:mergeCell ref="A17:C17"/>
    <x:mergeCell ref="E17:F17"/>
    <x:mergeCell ref="A18:C18"/>
    <x:mergeCell ref="E18:F18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