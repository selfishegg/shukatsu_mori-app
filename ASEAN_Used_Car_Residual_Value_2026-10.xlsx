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3fe2729eb9247a1" /></Relationships>
</file>

<file path=xl/workbook.xml><?xml version="1.0" encoding="utf-8"?>
<x:workbook xmlns:x="http://schemas.openxmlformats.org/spreadsheetml/2006/main">
  <x:sheets>
    <x:sheet xmlns:r="http://schemas.openxmlformats.org/officeDocument/2006/relationships" name="比較と考察" sheetId="1" r:id="R038200567f034dd5"/>
    <x:sheet xmlns:r="http://schemas.openxmlformats.org/officeDocument/2006/relationships" name="個別データ" sheetId="2" r:id="Re64c1335ee93488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
    <x:numFmt numFmtId="202" formatCode="yyyy/mm/dd"/>
    <x:numFmt numFmtId="203" formatCode="#,##0.0"/>
  </x:numFmts>
  <x:fonts count="14">
    <x:font>
      <x:sz val="11"/>
      <x:name val="Carlito"/>
    </x:font>
    <x:font>
      <x:sz val="10"/>
      <x:color rgb="FF193348"/>
      <x:name val="Noto Sans CJK JP"/>
    </x:font>
    <x:font>
      <x:b/>
      <x:sz val="15"/>
      <x:color rgb="FF193348"/>
      <x:name val="Noto Sans CJK JP"/>
    </x:font>
    <x:font>
      <x:sz val="10"/>
      <x:color rgb="FF193348"/>
      <x:name val="Noto Sans CJK JP"/>
    </x:font>
    <x:font>
      <x:b/>
      <x:sz val="10"/>
      <x:color rgb="FFFFFFFF"/>
      <x:name val="Noto Sans CJK JP"/>
    </x:font>
    <x:font>
      <x:sz val="10"/>
      <x:color rgb="FF2463B4"/>
      <x:name val="Noto Sans CJK JP"/>
    </x:font>
    <x:font>
      <x:sz val="9"/>
      <x:color rgb="FF193348"/>
      <x:name val="Noto Sans CJK JP"/>
    </x:font>
    <x:font>
      <x:sz val="11"/>
      <x:color rgb="FF2463B4"/>
      <x:name val="Carlito"/>
    </x:font>
    <x:font>
      <x:b/>
      <x:sz val="16"/>
      <x:color rgb="FF193348"/>
      <x:name val="Noto Sans CJK JP"/>
    </x:font>
    <x:font>
      <x:b/>
      <x:sz val="10"/>
      <x:color rgb="FF087F8C"/>
      <x:name val="Noto Sans CJK JP"/>
    </x:font>
    <x:font>
      <x:b/>
      <x:sz val="11"/>
      <x:color rgb="FF193348"/>
      <x:name val="Noto Sans CJK JP"/>
    </x:font>
    <x:font>
      <x:b/>
      <x:sz val="12"/>
      <x:color rgb="FF193348"/>
      <x:name val="Noto Sans CJK JP"/>
    </x:font>
    <x:font>
      <x:b/>
      <x:sz val="10"/>
      <x:color rgb="FF193348"/>
      <x:name val="Noto Sans CJK JP"/>
    </x:font>
    <x:font>
      <x:sz val="9"/>
      <x:color rgb="FF193348"/>
      <x:name val="Noto Sans CJK JP"/>
    </x:font>
  </x:fonts>
  <x:fills count="5">
    <x:fill>
      <x:patternFill patternType="none"/>
    </x:fill>
    <x:fill>
      <x:patternFill patternType="gray125"/>
    </x:fill>
    <x:fill>
      <x:patternFill patternType="solid">
        <x:fgColor rgb="FFEAF3F6"/>
      </x:patternFill>
    </x:fill>
    <x:fill>
      <x:patternFill patternType="solid">
        <x:fgColor rgb="FF193348"/>
      </x:patternFill>
    </x:fill>
    <x:fill>
      <x:patternFill patternType="solid">
        <x:fgColor rgb="FFFFF1DA"/>
      </x:patternFill>
    </x:fill>
  </x:fills>
  <x:borders count="1">
    <x:border>
      <x:left/>
      <x:right/>
      <x:top/>
      <x:bottom/>
      <x:diagonal/>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0" fontId="5" fillId="0" borderId="0" xfId="0" applyNumberFormat="1" applyFont="1" applyFill="1" applyBorder="1" applyAlignment="1">
      <x:alignment vertical="center" wrapText="1"/>
    </x:xf>
    <x:xf numFmtId="200" fontId="1" fillId="2" borderId="0" xfId="0" applyNumberFormat="1" applyFont="1" applyFill="1" applyBorder="1" applyAlignment="1">
      <x:alignment vertical="center" wrapText="1"/>
    </x:xf>
    <x:xf numFmtId="201" fontId="1" fillId="2"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200" fontId="0" fillId="0" borderId="0" xfId="0" applyNumberFormat="1" applyFont="1" applyFill="1" applyBorder="1"/>
    <x:xf numFmtId="202"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0" fontId="7" fillId="0" borderId="0" xfId="0" applyNumberFormat="1" applyFont="1" applyFill="1" applyBorder="1" applyAlignment="1">
      <x:alignment wrapText="1"/>
    </x:xf>
    <x:xf numFmtId="0" fontId="8" fillId="0" borderId="0" xfId="0" applyNumberFormat="1" applyFont="1" applyFill="1" applyBorder="1" applyAlignment="1">
      <x:alignment vertical="center"/>
    </x:xf>
    <x:xf numFmtId="0" fontId="8" fillId="0"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wrapText="1"/>
    </x:xf>
    <x:xf numFmtId="201" fontId="9" fillId="2"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0" fontId="10" fillId="2" borderId="0" xfId="0" applyNumberFormat="1" applyFont="1" applyFill="1" applyBorder="1" applyAlignment="1">
      <x:alignment vertical="center"/>
    </x:xf>
    <x:xf numFmtId="0" fontId="10" fillId="2" borderId="0" xfId="0" applyNumberFormat="1" applyFont="1" applyFill="1" applyBorder="1" applyAlignment="1">
      <x:alignment vertical="center" wrapText="1"/>
    </x:xf>
    <x:xf numFmtId="203"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1" fillId="2" borderId="0" xfId="0" applyNumberFormat="1" applyFont="1" applyFill="1" applyBorder="1" applyAlignment="1">
      <x:alignment vertical="center"/>
    </x:xf>
    <x:xf numFmtId="0" fontId="11" fillId="2" borderId="0" xfId="0" applyNumberFormat="1" applyFont="1" applyFill="1" applyBorder="1" applyAlignment="1">
      <x:alignment vertical="center" wrapText="1"/>
    </x:xf>
    <x:xf numFmtId="0" fontId="12" fillId="2" borderId="0" xfId="0" applyNumberFormat="1" applyFont="1" applyFill="1" applyBorder="1" applyAlignment="1">
      <x:alignment vertical="center"/>
    </x:xf>
    <x:xf numFmtId="0" fontId="12" fillId="2" borderId="0" xfId="0" applyNumberFormat="1" applyFont="1" applyFill="1" applyBorder="1" applyAlignment="1">
      <x:alignment vertical="center" wrapText="1"/>
    </x:xf>
    <x:xf numFmtId="0" fontId="13" fillId="0" borderId="0" xfId="0" applyNumberFormat="1" applyFont="1" applyFill="1" applyBorder="1" applyAlignment="1">
      <x:alignment vertical="center"/>
    </x:xf>
    <x:xf numFmtId="0" fontId="13"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dc3882da7d44f7" /><Relationship Type="http://schemas.openxmlformats.org/officeDocument/2006/relationships/theme" Target="/xl/theme/theme1.xml" Id="R07aca86fa7764213" /><Relationship Type="http://schemas.openxmlformats.org/officeDocument/2006/relationships/sharedStrings" Target="/xl/sharedStrings.xml" Id="R3297fc30bf3e469d" /><Relationship Type="http://schemas.openxmlformats.org/officeDocument/2006/relationships/worksheet" Target="/xl/worksheets/sheet1.xml" Id="R038200567f034dd5" /><Relationship Type="http://schemas.openxmlformats.org/officeDocument/2006/relationships/worksheet" Target="/xl/worksheets/sheet2.xml" Id="Re64c1335ee93488c" /></Relationships>
</file>

<file path=xl/drawings/_rels/drawing1.xml.rels>&#65279;<?xml version="1.0" encoding="utf-8"?><Relationships xmlns="http://schemas.openxmlformats.org/package/2006/relationships"><Relationship Type="http://schemas.openxmlformats.org/officeDocument/2006/relationships/chart" Target="/xl/drawings/charts/chart1.xml" Id="R26ceebdc2a50469e" /><Relationship Type="http://schemas.openxmlformats.org/officeDocument/2006/relationships/chart" Target="/xl/drawings/charts/chart2.xml" Id="R6b7959e0df5b4be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Noto Sans CJK JP"/>
                <a:ea typeface="Noto Sans CJK JP"/>
                <a:cs typeface="Noto Sans CJK JP"/>
              </a:rPr>
              <a:t>当時新車価格に対する中古掲載残価率（%）</a:t>
            </a:r>
          </a:p>
        </c:rich>
      </c:tx>
      <c:overlay val="0"/>
      <c:txPr>
        <a:bodyPr xmlns:a="http://schemas.openxmlformats.org/drawingml/2006/main" anchorCtr="1"/>
        <a:lstStyle xmlns:a="http://schemas.openxmlformats.org/drawingml/2006/main"/>
        <a:p xmlns:a="http://schemas.openxmlformats.org/drawingml/2006/main">
          <a:pPr>
            <a:defRPr sz="1050">
              <a:latin typeface="Noto Sans CJK JP"/>
              <a:ea typeface="Noto Sans CJK JP"/>
              <a:cs typeface="Noto Sans CJK JP"/>
            </a:defRPr>
          </a:pPr>
        </a:p>
      </c:txPr>
    </c:title>
    <c:plotArea>
      <c:barChart>
        <c:barDir val="col"/>
        <c:varyColors val="0"/>
        <c:ser>
          <c:idx val="0"/>
          <c:order val="0"/>
          <c:tx>
            <c:v>主残価率</c:v>
          </c:tx>
          <c:spPr>
            <a:solidFill xmlns:a="http://schemas.openxmlformats.org/drawingml/2006/main">
              <a:srgbClr val="087F8C"/>
            </a:solidFill>
          </c:spPr>
          <c:cat>
            <c:strRef>
              <c:f>'比較と考察'!$A$80:$A$85</c:f>
              <c:strCache>
                <c:ptCount val="0"/>
              </c:strCache>
            </c:strRef>
          </c:cat>
          <c:val>
            <c:numRef>
              <c:f>'比較と考察'!$B$80:$B$85</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Noto Sans CJK JP"/>
                <a:ea typeface="Noto Sans CJK JP"/>
                <a:cs typeface="Noto Sans CJK JP"/>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Noto Sans CJK JP"/>
                <a:ea typeface="Noto Sans CJK JP"/>
                <a:cs typeface="Noto Sans CJK JP"/>
              </a:rPr>
              <a:t>Atto 3 MY23：価格の段階（千THB）</a:t>
            </a:r>
          </a:p>
        </c:rich>
      </c:tx>
      <c:overlay val="0"/>
      <c:txPr>
        <a:bodyPr xmlns:a="http://schemas.openxmlformats.org/drawingml/2006/main" anchorCtr="1"/>
        <a:lstStyle xmlns:a="http://schemas.openxmlformats.org/drawingml/2006/main"/>
        <a:p xmlns:a="http://schemas.openxmlformats.org/drawingml/2006/main">
          <a:pPr>
            <a:defRPr sz="900">
              <a:latin typeface="Noto Sans CJK JP"/>
              <a:ea typeface="Noto Sans CJK JP"/>
              <a:cs typeface="Noto Sans CJK JP"/>
            </a:defRPr>
          </a:pPr>
        </a:p>
      </c:txPr>
    </c:title>
    <c:plotArea>
      <c:barChart>
        <c:barDir val="col"/>
        <c:varyColors val="0"/>
        <c:ser>
          <c:idx val="0"/>
          <c:order val="0"/>
          <c:tx>
            <c:v>千THB</c:v>
          </c:tx>
          <c:spPr>
            <a:solidFill xmlns:a="http://schemas.openxmlformats.org/drawingml/2006/main">
              <a:srgbClr val="2463B4"/>
            </a:solidFill>
          </c:spPr>
          <c:cat>
            <c:strRef>
              <c:f>'比較と考察'!$D$80:$D$82</c:f>
              <c:strCache>
                <c:ptCount val="0"/>
              </c:strCache>
            </c:strRef>
          </c:cat>
          <c:val>
            <c:numRef>
              <c:f>'比較と考察'!$E$80:$E$82</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14</xdr:row>
      <xdr:rowOff>0</xdr:rowOff>
    </xdr:from>
    <xdr:to>
      <xdr:col>10</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6ceebdc2a50469e"/>
        </a:graphicData>
      </a:graphic>
    </xdr:graphicFrame>
    <xdr:clientData/>
  </xdr:twoCellAnchor>
  <xdr:twoCellAnchor>
    <xdr:from>
      <xdr:col>0</xdr:col>
      <xdr:colOff>0</xdr:colOff>
      <xdr:row>34</xdr:row>
      <xdr:rowOff>0</xdr:rowOff>
    </xdr:from>
    <xdr:to>
      <xdr:col>6</xdr:col>
      <xdr:colOff>0</xdr:colOff>
      <xdr:row>50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b7959e0df5b4bef"/>
        </a:graphicData>
      </a:graphic>
    </xdr:graphicFrame>
    <xdr:clientData/>
  </xdr:twoCellAnchor>
</xdr:wsDr>
</file>

<file path=xl/tables/table1.xml><?xml version="1.0" encoding="utf-8"?>
<x:table xmlns:x="http://schemas.openxmlformats.org/spreadsheetml/2006/main" id="1" name="UsedPrices" displayName="UsedPrices" ref="A5:AE11" headerRowCount="1" totalsRowCount="0" totalsRowShown="0">
  <x:tableColumns count="31">
    <x:tableColumn id="1" name="ID"/>
    <x:tableColumn id="2" name="市場"/>
    <x:tableColumn id="3" name="動力"/>
    <x:tableColumn id="4" name="企業国籍"/>
    <x:tableColumn id="5" name="支配グループ"/>
    <x:tableColumn id="6" name="ブランド"/>
    <x:tableColumn id="7" name="モデル"/>
    <x:tableColumn id="8" name="グレード"/>
    <x:tableColumn id="9" name="年式"/>
    <x:tableColumn id="10" name="車体"/>
    <x:tableColumn id="11" name="走行下限km"/>
    <x:tableColumn id="12" name="走行上限km"/>
    <x:tableColumn id="13" name="中古条件・確認範囲"/>
    <x:tableColumn id="14" name="新車価格の基準"/>
    <x:tableColumn id="15" name="当時通常価格THB"/>
    <x:tableColumn id="16" name="政策支援差額THB"/>
    <x:tableColumn id="17" name="新車比較分母THB"/>
    <x:tableColumn id="18" name="中古掲載価格THB"/>
    <x:tableColumn id="19" name="通常価格比残価率"/>
    <x:tableColumn id="20" name="比較分母比残価率"/>
    <x:tableColumn id="21" name="比較分母比下落率"/>
    <x:tableColumn id="22" name="比較分母との差額THB"/>
    <x:tableColumn id="23" name="新車資料日"/>
    <x:tableColumn id="24" name="中古掲載更新日"/>
    <x:tableColumn id="25" name="確認日"/>
    <x:tableColumn id="26" name="新車価格URL"/>
    <x:tableColumn id="27" name="中古車URL"/>
    <x:tableColumn id="28" name="新車情報主体"/>
    <x:tableColumn id="29" name="比較上の注意"/>
    <x:tableColumn id="30" name="補足URL"/>
    <x:tableColumn id="31" name="販売店・地域"/>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45d93f81c644243" /></Relationships>
</file>

<file path=xl/worksheets/_rels/sheet2.xml.rels>&#65279;<?xml version="1.0" encoding="utf-8"?><Relationships xmlns="http://schemas.openxmlformats.org/package/2006/relationships"><Relationship Type="http://schemas.openxmlformats.org/officeDocument/2006/relationships/table" Target="/xl/tables/table1.xml" Id="R0c3956f36c234b08"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9" hidden="0" customWidth="1"/>
    <x:col min="2" max="2" width="10" hidden="0" customWidth="1"/>
    <x:col min="3" max="3" width="10" hidden="0" customWidth="1"/>
    <x:col min="4" max="4" width="18" hidden="0" customWidth="1"/>
    <x:col min="5" max="5" width="18" hidden="0" customWidth="1"/>
    <x:col min="6" max="6" width="18" hidden="0" customWidth="1"/>
    <x:col min="7" max="7" width="17" hidden="0" customWidth="1"/>
    <x:col min="8" max="8" width="13" hidden="0" customWidth="1"/>
    <x:col min="9" max="9" width="33" hidden="0" customWidth="1"/>
    <x:col min="10" max="10" width="10" hidden="0" customWidth="1"/>
  </x:cols>
  <x:sheetData>
    <x:row r="1" ht="24" customHeight="1">
      <x:c r="A1" s="29" t="str">
        <x:v>新車EVの値下げと中古車残価：タイ6事例</x:v>
      </x:c>
      <x:c r="B1" s="29" t="str">
        <x:v>新車EVの値下げと中古車残価：タイ6事例</x:v>
      </x:c>
      <x:c r="C1" s="29" t="str">
        <x:v>新車EVの値下げと中古車残価：タイ6事例</x:v>
      </x:c>
      <x:c r="D1" s="29" t="str">
        <x:v>新車EVの値下げと中古車残価：タイ6事例</x:v>
      </x:c>
      <x:c r="E1" s="29" t="str">
        <x:v>新車EVの値下げと中古車残価：タイ6事例</x:v>
      </x:c>
      <x:c r="F1" s="29" t="str">
        <x:v>新車EVの値下げと中古車残価：タイ6事例</x:v>
      </x:c>
      <x:c r="G1" s="29" t="str">
        <x:v>新車EVの値下げと中古車残価：タイ6事例</x:v>
      </x:c>
      <x:c r="H1" s="29" t="str">
        <x:v>新車EVの値下げと中古車残価：タイ6事例</x:v>
      </x:c>
      <x:c r="I1" s="29" t="str">
        <x:v>新車EVの値下げと中古車残価：タイ6事例</x:v>
      </x:c>
      <x:c r="J1" s="29" t="str">
        <x:v>新車EVの値下げと中古車残価：タイ6事例</x:v>
      </x:c>
    </x:row>
    <x:row r="2" ht="24" customHeight="1">
      <x:c r="A2" s="7" t="str">
        <x:v>2026/10/07確認｜2023年式、主に35–45千km。BEV2・HEV2・ICE2、企業国籍は中国4・日本2。MGはSAIC支配を基準に中国と分類。各モデル1台の事例比較であり、市場平均ではない。</x:v>
      </x:c>
      <x:c r="B2" s="7" t="str">
        <x:v>2026/10/07確認｜2023年式、主に35–45千km。BEV2・HEV2・ICE2、企業国籍は中国4・日本2。MGはSAIC支配を基準に中国と分類。各モデル1台の事例比較であり、市場平均ではない。</x:v>
      </x:c>
      <x:c r="C2" s="7" t="str">
        <x:v>2026/10/07確認｜2023年式、主に35–45千km。BEV2・HEV2・ICE2、企業国籍は中国4・日本2。MGはSAIC支配を基準に中国と分類。各モデル1台の事例比較であり、市場平均ではない。</x:v>
      </x:c>
      <x:c r="D2" s="7" t="str">
        <x:v>2026/10/07確認｜2023年式、主に35–45千km。BEV2・HEV2・ICE2、企業国籍は中国4・日本2。MGはSAIC支配を基準に中国と分類。各モデル1台の事例比較であり、市場平均ではない。</x:v>
      </x:c>
      <x:c r="E2" s="7" t="str">
        <x:v>2026/10/07確認｜2023年式、主に35–45千km。BEV2・HEV2・ICE2、企業国籍は中国4・日本2。MGはSAIC支配を基準に中国と分類。各モデル1台の事例比較であり、市場平均ではない。</x:v>
      </x:c>
      <x:c r="F2" s="7" t="str">
        <x:v>2026/10/07確認｜2023年式、主に35–45千km。BEV2・HEV2・ICE2、企業国籍は中国4・日本2。MGはSAIC支配を基準に中国と分類。各モデル1台の事例比較であり、市場平均ではない。</x:v>
      </x:c>
      <x:c r="G2" s="7" t="str">
        <x:v>2026/10/07確認｜2023年式、主に35–45千km。BEV2・HEV2・ICE2、企業国籍は中国4・日本2。MGはSAIC支配を基準に中国と分類。各モデル1台の事例比較であり、市場平均ではない。</x:v>
      </x:c>
      <x:c r="H2" s="7" t="str">
        <x:v>2026/10/07確認｜2023年式、主に35–45千km。BEV2・HEV2・ICE2、企業国籍は中国4・日本2。MGはSAIC支配を基準に中国と分類。各モデル1台の事例比較であり、市場平均ではない。</x:v>
      </x:c>
      <x:c r="I2" s="7" t="str">
        <x:v>2026/10/07確認｜2023年式、主に35–45千km。BEV2・HEV2・ICE2、企業国籍は中国4・日本2。MGはSAIC支配を基準に中国と分類。各モデル1台の事例比較であり、市場平均ではない。</x:v>
      </x:c>
      <x:c r="J2" s="7" t="str">
        <x:v>2026/10/07確認｜2023年式、主に35–45千km。BEV2・HEV2・ICE2、企業国籍は中国4・日本2。MGはSAIC支配を基準に中国と分類。各モデル1台の事例比較であり、市場平均ではない。</x:v>
      </x:c>
    </x:row>
    <x:row r="3" ht="24" customHeight="1">
      <x:c r="A3" s="7" t="str">
        <x:v>2026/10/07確認｜2023年式、主に35–45千km。BEV2・HEV2・ICE2、企業国籍は中国4・日本2。MGはSAIC支配を基準に中国と分類。各モデル1台の事例比較であり、市場平均ではない。</x:v>
      </x:c>
      <x:c r="B3" s="7" t="str">
        <x:v>2026/10/07確認｜2023年式、主に35–45千km。BEV2・HEV2・ICE2、企業国籍は中国4・日本2。MGはSAIC支配を基準に中国と分類。各モデル1台の事例比較であり、市場平均ではない。</x:v>
      </x:c>
      <x:c r="C3" s="7" t="str">
        <x:v>2026/10/07確認｜2023年式、主に35–45千km。BEV2・HEV2・ICE2、企業国籍は中国4・日本2。MGはSAIC支配を基準に中国と分類。各モデル1台の事例比較であり、市場平均ではない。</x:v>
      </x:c>
      <x:c r="D3" s="7" t="str">
        <x:v>2026/10/07確認｜2023年式、主に35–45千km。BEV2・HEV2・ICE2、企業国籍は中国4・日本2。MGはSAIC支配を基準に中国と分類。各モデル1台の事例比較であり、市場平均ではない。</x:v>
      </x:c>
      <x:c r="E3" s="7" t="str">
        <x:v>2026/10/07確認｜2023年式、主に35–45千km。BEV2・HEV2・ICE2、企業国籍は中国4・日本2。MGはSAIC支配を基準に中国と分類。各モデル1台の事例比較であり、市場平均ではない。</x:v>
      </x:c>
      <x:c r="F3" s="7" t="str">
        <x:v>2026/10/07確認｜2023年式、主に35–45千km。BEV2・HEV2・ICE2、企業国籍は中国4・日本2。MGはSAIC支配を基準に中国と分類。各モデル1台の事例比較であり、市場平均ではない。</x:v>
      </x:c>
      <x:c r="G3" s="7" t="str">
        <x:v>2026/10/07確認｜2023年式、主に35–45千km。BEV2・HEV2・ICE2、企業国籍は中国4・日本2。MGはSAIC支配を基準に中国と分類。各モデル1台の事例比較であり、市場平均ではない。</x:v>
      </x:c>
      <x:c r="H3" s="7" t="str">
        <x:v>2026/10/07確認｜2023年式、主に35–45千km。BEV2・HEV2・ICE2、企業国籍は中国4・日本2。MGはSAIC支配を基準に中国と分類。各モデル1台の事例比較であり、市場平均ではない。</x:v>
      </x:c>
      <x:c r="I3" s="7" t="str">
        <x:v>2026/10/07確認｜2023年式、主に35–45千km。BEV2・HEV2・ICE2、企業国籍は中国4・日本2。MGはSAIC支配を基準に中国と分類。各モデル1台の事例比較であり、市場平均ではない。</x:v>
      </x:c>
      <x:c r="J3" s="7" t="str">
        <x:v>2026/10/07確認｜2023年式、主に35–45千km。BEV2・HEV2・ICE2、企業国籍は中国4・日本2。MGはSAIC支配を基準に中国と分類。各モデル1台の事例比較であり、市場平均ではない。</x:v>
      </x:c>
    </x:row>
    <x:row r="4" ht="24" customHeight="1">
      <x:c r="A4" s="2"/>
      <x:c r="B4" s="2"/>
      <x:c r="C4" s="2"/>
      <x:c r="D4" s="2"/>
      <x:c r="E4" s="2"/>
      <x:c r="F4" s="2"/>
      <x:c r="G4" s="2"/>
      <x:c r="H4" s="2"/>
      <x:c r="I4" s="2"/>
      <x:c r="J4" s="2"/>
    </x:row>
    <x:row r="5" ht="52" customHeight="1">
      <x:c r="A5" s="10" t="str">
        <x:v>モデル / グレード</x:v>
      </x:c>
      <x:c r="B5" s="10" t="str">
        <x:v>動力</x:v>
      </x:c>
      <x:c r="C5" s="10" t="str">
        <x:v>企業国籍</x:v>
      </x:c>
      <x:c r="D5" s="10" t="str">
        <x:v>当時通常価格THB</x:v>
      </x:c>
      <x:c r="E5" s="10" t="str">
        <x:v>支援後基準THB</x:v>
      </x:c>
      <x:c r="F5" s="10" t="str">
        <x:v>中古価格THB</x:v>
      </x:c>
      <x:c r="G5" s="10" t="str">
        <x:v>走行距離km</x:v>
      </x:c>
      <x:c r="H5" s="10" t="str">
        <x:v>主残価率</x:v>
      </x:c>
      <x:c r="I5" s="10" t="str">
        <x:v>条件の主な差</x:v>
      </x:c>
      <x:c r="J5" s="10" t="str">
        <x:v>ID</x:v>
      </x:c>
    </x:row>
    <x:row r="6" ht="53" customHeight="1">
      <x:c r="A6" s="11" t="str">
        <x:v>BYD Atto 3 Extended</x:v>
      </x:c>
      <x:c r="B6" s="11" t="str">
        <x:v>BEV</x:v>
      </x:c>
      <x:c r="C6" s="11" t="str">
        <x:v>中国</x:v>
      </x:c>
      <x:c r="D6" s="12" t="n">
        <x:f>'個別データ'!O6</x:f>
        <x:v>1199900</x:v>
      </x:c>
      <x:c r="E6" s="12" t="n">
        <x:f>'個別データ'!Q6</x:f>
        <x:v>1199900</x:v>
      </x:c>
      <x:c r="F6" s="12" t="n">
        <x:f>'個別データ'!R6</x:f>
        <x:v>499000</x:v>
      </x:c>
      <x:c r="G6" s="30" t="str">
        <x:v>40–45千</x:v>
      </x:c>
      <x:c r="H6" s="31" t="n">
        <x:f>'個別データ'!T6</x:f>
        <x:v>0.4158679889990833</x:v>
      </x:c>
      <x:c r="I6" s="11" t="str">
        <x:v>旧MY23 / SOH未掲載</x:v>
      </x:c>
      <x:c r="J6" s="11" t="str">
        <x:v>TH01</x:v>
      </x:c>
    </x:row>
    <x:row r="7" ht="53" customHeight="1">
      <x:c r="A7" s="11" t="str">
        <x:v>MG ZS EV X</x:v>
      </x:c>
      <x:c r="B7" s="11" t="str">
        <x:v>BEV</x:v>
      </x:c>
      <x:c r="C7" s="11" t="str">
        <x:v>中国</x:v>
      </x:c>
      <x:c r="D7" s="12" t="n">
        <x:f>'個別データ'!O7</x:f>
        <x:v>1269000</x:v>
      </x:c>
      <x:c r="E7" s="12" t="n">
        <x:f>'個別データ'!Q7</x:f>
        <x:v>1023000</x:v>
      </x:c>
      <x:c r="F7" s="12" t="n">
        <x:f>'個別データ'!R7</x:f>
        <x:v>399000</x:v>
      </x:c>
      <x:c r="G7" s="30" t="str">
        <x:v>25–30千</x:v>
      </x:c>
      <x:c r="H7" s="31" t="n">
        <x:f>'個別データ'!T7</x:f>
        <x:v>0.39002932551319647</x:v>
      </x:c>
      <x:c r="I7" s="32" t="str">
        <x:v>低走行の参考比較 / SOH未掲載</x:v>
      </x:c>
      <x:c r="J7" s="11" t="str">
        <x:v>TH02</x:v>
      </x:c>
    </x:row>
    <x:row r="8" ht="53" customHeight="1">
      <x:c r="A8" s="11" t="str">
        <x:v>MG ZS 1.5 X</x:v>
      </x:c>
      <x:c r="B8" s="11" t="str">
        <x:v>ICE</x:v>
      </x:c>
      <x:c r="C8" s="11" t="str">
        <x:v>中国</x:v>
      </x:c>
      <x:c r="D8" s="12" t="n">
        <x:f>'個別データ'!O8</x:f>
        <x:v>759000</x:v>
      </x:c>
      <x:c r="E8" s="12" t="n">
        <x:f>'個別データ'!Q8</x:f>
        <x:v>759000</x:v>
      </x:c>
      <x:c r="F8" s="12" t="n">
        <x:f>'個別データ'!R8</x:f>
        <x:v>398000</x:v>
      </x:c>
      <x:c r="G8" s="30" t="str">
        <x:v>35–40千</x:v>
      </x:c>
      <x:c r="H8" s="31" t="n">
        <x:f>'個別データ'!T8</x:f>
        <x:v>0.5243741765480896</x:v>
      </x:c>
      <x:c r="I8" s="11" t="str">
        <x:v>掲載更新2026/4 / 構造検査の申告</x:v>
      </x:c>
      <x:c r="J8" s="11" t="str">
        <x:v>TH03</x:v>
      </x:c>
    </x:row>
    <x:row r="9" ht="53" customHeight="1">
      <x:c r="A9" s="11" t="str">
        <x:v>Haval H6 HEV Ultra</x:v>
      </x:c>
      <x:c r="B9" s="11" t="str">
        <x:v>HEV</x:v>
      </x:c>
      <x:c r="C9" s="11" t="str">
        <x:v>中国</x:v>
      </x:c>
      <x:c r="D9" s="12" t="n">
        <x:f>'個別データ'!O9</x:f>
        <x:v>1349000</x:v>
      </x:c>
      <x:c r="E9" s="12" t="n">
        <x:f>'個別データ'!Q9</x:f>
        <x:v>1349000</x:v>
      </x:c>
      <x:c r="F9" s="12" t="n">
        <x:f>'個別データ'!R9</x:f>
        <x:v>639000</x:v>
      </x:c>
      <x:c r="G9" s="30" t="str">
        <x:v>40–45千</x:v>
      </x:c>
      <x:c r="H9" s="31" t="n">
        <x:f>'個別データ'!T9</x:f>
        <x:v>0.47368421052631576</x:v>
      </x:c>
      <x:c r="I9" s="11" t="str">
        <x:v>MNCを採用 / SOH未掲載</x:v>
      </x:c>
      <x:c r="J9" s="11" t="str">
        <x:v>TH04</x:v>
      </x:c>
    </x:row>
    <x:row r="10" ht="53" customHeight="1">
      <x:c r="A10" s="11" t="str">
        <x:v>Corolla Cross GR</x:v>
      </x:c>
      <x:c r="B10" s="11" t="str">
        <x:v>HEV</x:v>
      </x:c>
      <x:c r="C10" s="11" t="str">
        <x:v>日本</x:v>
      </x:c>
      <x:c r="D10" s="12" t="n">
        <x:f>'個別データ'!O10</x:f>
        <x:v>1254000</x:v>
      </x:c>
      <x:c r="E10" s="12" t="n">
        <x:f>'個別データ'!Q10</x:f>
        <x:v>1254000</x:v>
      </x:c>
      <x:c r="F10" s="12" t="n">
        <x:f>'個別データ'!R10</x:f>
        <x:v>839000</x:v>
      </x:c>
      <x:c r="G10" s="30" t="str">
        <x:v>40–45千</x:v>
      </x:c>
      <x:c r="H10" s="31" t="n">
        <x:f>'個別データ'!T10</x:f>
        <x:v>0.6690590111642744</x:v>
      </x:c>
      <x:c r="I10" s="11" t="str">
        <x:v>Phuket / 事故歴の明記未確認</x:v>
      </x:c>
      <x:c r="J10" s="11" t="str">
        <x:v>TH05</x:v>
      </x:c>
    </x:row>
    <x:row r="11" ht="53" customHeight="1">
      <x:c r="A11" s="11" t="str">
        <x:v>Honda City Turbo V</x:v>
      </x:c>
      <x:c r="B11" s="11" t="str">
        <x:v>ICE</x:v>
      </x:c>
      <x:c r="C11" s="11" t="str">
        <x:v>日本</x:v>
      </x:c>
      <x:c r="D11" s="12" t="n">
        <x:f>'個別データ'!O11</x:f>
        <x:v>609000</x:v>
      </x:c>
      <x:c r="E11" s="12" t="n">
        <x:f>'個別データ'!Q11</x:f>
        <x:v>609000</x:v>
      </x:c>
      <x:c r="F11" s="12" t="n">
        <x:f>'個別データ'!R11</x:f>
        <x:v>379000</x:v>
      </x:c>
      <x:c r="G11" s="30" t="str">
        <x:v>35–40千</x:v>
      </x:c>
      <x:c r="H11" s="31" t="n">
        <x:f>'個別データ'!T11</x:f>
        <x:v>0.6223316912972086</x:v>
      </x:c>
      <x:c r="I11" s="11" t="str">
        <x:v>セダン / 他車はSUV</x:v>
      </x:c>
      <x:c r="J11" s="11" t="str">
        <x:v>TH06</x:v>
      </x:c>
    </x:row>
    <x:row r="12" ht="24" customHeight="1">
      <x:c r="A12" s="7" t="str">
        <x:v>主残価率＝中古掲載売価÷支援後の当時通常新車価格。MG ZS EVの補助前通常価格比は31.4%、支援後基準比は39.0%。BYDの通常価格は既に支援反映後。値引き・補助の分母差を車両の劣化と混同しない。</x:v>
      </x:c>
      <x:c r="B12" s="7" t="str">
        <x:v>主残価率＝中古掲載売価÷支援後の当時通常新車価格。MG ZS EVの補助前通常価格比は31.4%、支援後基準比は39.0%。BYDの通常価格は既に支援反映後。値引き・補助の分母差を車両の劣化と混同しない。</x:v>
      </x:c>
      <x:c r="C12" s="7" t="str">
        <x:v>主残価率＝中古掲載売価÷支援後の当時通常新車価格。MG ZS EVの補助前通常価格比は31.4%、支援後基準比は39.0%。BYDの通常価格は既に支援反映後。値引き・補助の分母差を車両の劣化と混同しない。</x:v>
      </x:c>
      <x:c r="D12" s="7" t="str">
        <x:v>主残価率＝中古掲載売価÷支援後の当時通常新車価格。MG ZS EVの補助前通常価格比は31.4%、支援後基準比は39.0%。BYDの通常価格は既に支援反映後。値引き・補助の分母差を車両の劣化と混同しない。</x:v>
      </x:c>
      <x:c r="E12" s="7" t="str">
        <x:v>主残価率＝中古掲載売価÷支援後の当時通常新車価格。MG ZS EVの補助前通常価格比は31.4%、支援後基準比は39.0%。BYDの通常価格は既に支援反映後。値引き・補助の分母差を車両の劣化と混同しない。</x:v>
      </x:c>
      <x:c r="F12" s="7" t="str">
        <x:v>主残価率＝中古掲載売価÷支援後の当時通常新車価格。MG ZS EVの補助前通常価格比は31.4%、支援後基準比は39.0%。BYDの通常価格は既に支援反映後。値引き・補助の分母差を車両の劣化と混同しない。</x:v>
      </x:c>
      <x:c r="G12" s="7" t="str">
        <x:v>主残価率＝中古掲載売価÷支援後の当時通常新車価格。MG ZS EVの補助前通常価格比は31.4%、支援後基準比は39.0%。BYDの通常価格は既に支援反映後。値引き・補助の分母差を車両の劣化と混同しない。</x:v>
      </x:c>
      <x:c r="H12" s="7" t="str">
        <x:v>主残価率＝中古掲載売価÷支援後の当時通常新車価格。MG ZS EVの補助前通常価格比は31.4%、支援後基準比は39.0%。BYDの通常価格は既に支援反映後。値引き・補助の分母差を車両の劣化と混同しない。</x:v>
      </x:c>
      <x:c r="I12" s="7" t="str">
        <x:v>主残価率＝中古掲載売価÷支援後の当時通常新車価格。MG ZS EVの補助前通常価格比は31.4%、支援後基準比は39.0%。BYDの通常価格は既に支援反映後。値引き・補助の分母差を車両の劣化と混同しない。</x:v>
      </x:c>
      <x:c r="J12" s="7" t="str">
        <x:v>主残価率＝中古掲載売価÷支援後の当時通常新車価格。MG ZS EVの補助前通常価格比は31.4%、支援後基準比は39.0%。BYDの通常価格は既に支援反映後。値引き・補助の分母差を車両の劣化と混同しない。</x:v>
      </x:c>
    </x:row>
    <x:row r="13" ht="24" customHeight="1">
      <x:c r="A13" s="7" t="str">
        <x:v>主残価率＝中古掲載売価÷支援後の当時通常新車価格。MG ZS EVの補助前通常価格比は31.4%、支援後基準比は39.0%。BYDの通常価格は既に支援反映後。値引き・補助の分母差を車両の劣化と混同しない。</x:v>
      </x:c>
      <x:c r="B13" s="7" t="str">
        <x:v>主残価率＝中古掲載売価÷支援後の当時通常新車価格。MG ZS EVの補助前通常価格比は31.4%、支援後基準比は39.0%。BYDの通常価格は既に支援反映後。値引き・補助の分母差を車両の劣化と混同しない。</x:v>
      </x:c>
      <x:c r="C13" s="7" t="str">
        <x:v>主残価率＝中古掲載売価÷支援後の当時通常新車価格。MG ZS EVの補助前通常価格比は31.4%、支援後基準比は39.0%。BYDの通常価格は既に支援反映後。値引き・補助の分母差を車両の劣化と混同しない。</x:v>
      </x:c>
      <x:c r="D13" s="7" t="str">
        <x:v>主残価率＝中古掲載売価÷支援後の当時通常新車価格。MG ZS EVの補助前通常価格比は31.4%、支援後基準比は39.0%。BYDの通常価格は既に支援反映後。値引き・補助の分母差を車両の劣化と混同しない。</x:v>
      </x:c>
      <x:c r="E13" s="7" t="str">
        <x:v>主残価率＝中古掲載売価÷支援後の当時通常新車価格。MG ZS EVの補助前通常価格比は31.4%、支援後基準比は39.0%。BYDの通常価格は既に支援反映後。値引き・補助の分母差を車両の劣化と混同しない。</x:v>
      </x:c>
      <x:c r="F13" s="7" t="str">
        <x:v>主残価率＝中古掲載売価÷支援後の当時通常新車価格。MG ZS EVの補助前通常価格比は31.4%、支援後基準比は39.0%。BYDの通常価格は既に支援反映後。値引き・補助の分母差を車両の劣化と混同しない。</x:v>
      </x:c>
      <x:c r="G13" s="7" t="str">
        <x:v>主残価率＝中古掲載売価÷支援後の当時通常新車価格。MG ZS EVの補助前通常価格比は31.4%、支援後基準比は39.0%。BYDの通常価格は既に支援反映後。値引き・補助の分母差を車両の劣化と混同しない。</x:v>
      </x:c>
      <x:c r="H13" s="7" t="str">
        <x:v>主残価率＝中古掲載売価÷支援後の当時通常新車価格。MG ZS EVの補助前通常価格比は31.4%、支援後基準比は39.0%。BYDの通常価格は既に支援反映後。値引き・補助の分母差を車両の劣化と混同しない。</x:v>
      </x:c>
      <x:c r="I13" s="7" t="str">
        <x:v>主残価率＝中古掲載売価÷支援後の当時通常新車価格。MG ZS EVの補助前通常価格比は31.4%、支援後基準比は39.0%。BYDの通常価格は既に支援反映後。値引き・補助の分母差を車両の劣化と混同しない。</x:v>
      </x:c>
      <x:c r="J13" s="7" t="str">
        <x:v>主残価率＝中古掲載売価÷支援後の当時通常新車価格。MG ZS EVの補助前通常価格比は31.4%、支援後基準比は39.0%。BYDの通常価格は既に支援反映後。値引き・補助の分母差を車両の劣化と混同しない。</x:v>
      </x:c>
    </x:row>
    <x:row r="14" ht="24" customHeight="1">
      <x:c r="A14" s="2"/>
      <x:c r="B14" s="2"/>
      <x:c r="C14" s="2"/>
      <x:c r="D14" s="2"/>
      <x:c r="E14" s="2"/>
      <x:c r="F14" s="2"/>
      <x:c r="G14" s="2"/>
      <x:c r="H14" s="2"/>
      <x:c r="I14" s="2"/>
      <x:c r="J14" s="2"/>
    </x:row>
    <x:row r="15" ht="24" customHeight="1">
      <x:c r="A15" s="2"/>
      <x:c r="B15" s="2"/>
      <x:c r="C15" s="2"/>
      <x:c r="D15" s="2"/>
      <x:c r="E15" s="2"/>
      <x:c r="F15" s="2"/>
      <x:c r="G15" s="2"/>
      <x:c r="H15" s="2"/>
      <x:c r="I15" s="2"/>
      <x:c r="J15" s="2"/>
    </x:row>
    <x:row r="16" ht="24" customHeight="1">
      <x:c r="A16" s="2"/>
      <x:c r="B16" s="2"/>
      <x:c r="C16" s="2"/>
      <x:c r="D16" s="2"/>
      <x:c r="E16" s="2"/>
      <x:c r="F16" s="2"/>
      <x:c r="G16" s="2"/>
      <x:c r="H16" s="2"/>
      <x:c r="I16" s="2"/>
      <x:c r="J16" s="2"/>
    </x:row>
    <x:row r="17" ht="24" customHeight="1">
      <x:c r="A17" s="2"/>
      <x:c r="B17" s="2"/>
      <x:c r="C17" s="2"/>
      <x:c r="D17" s="2"/>
      <x:c r="E17" s="2"/>
      <x:c r="F17" s="2"/>
      <x:c r="G17" s="2"/>
      <x:c r="H17" s="2"/>
      <x:c r="I17" s="2"/>
      <x:c r="J17" s="2"/>
    </x:row>
    <x:row r="18" ht="24" customHeight="1">
      <x:c r="A18" s="2"/>
      <x:c r="B18" s="2"/>
      <x:c r="C18" s="2"/>
      <x:c r="D18" s="2"/>
      <x:c r="E18" s="2"/>
      <x:c r="F18" s="2"/>
      <x:c r="G18" s="2"/>
      <x:c r="H18" s="2"/>
      <x:c r="I18" s="2"/>
      <x:c r="J18" s="2"/>
    </x:row>
    <x:row r="19" ht="24" customHeight="1">
      <x:c r="A19" s="2"/>
      <x:c r="B19" s="2"/>
      <x:c r="C19" s="2"/>
      <x:c r="D19" s="2"/>
      <x:c r="E19" s="2"/>
      <x:c r="F19" s="2"/>
      <x:c r="G19" s="2"/>
      <x:c r="H19" s="2"/>
      <x:c r="I19" s="2"/>
      <x:c r="J19" s="2"/>
    </x:row>
    <x:row r="20" ht="24" customHeight="1">
      <x:c r="A20" s="2"/>
      <x:c r="B20" s="2"/>
      <x:c r="C20" s="2"/>
      <x:c r="D20" s="2"/>
      <x:c r="E20" s="2"/>
      <x:c r="F20" s="2"/>
      <x:c r="G20" s="2"/>
      <x:c r="H20" s="2"/>
      <x:c r="I20" s="2"/>
      <x:c r="J20" s="2"/>
    </x:row>
    <x:row r="21" ht="24" customHeight="1">
      <x:c r="A21" s="2"/>
      <x:c r="B21" s="2"/>
      <x:c r="C21" s="2"/>
      <x:c r="D21" s="2"/>
      <x:c r="E21" s="2"/>
      <x:c r="F21" s="2"/>
      <x:c r="G21" s="2"/>
      <x:c r="H21" s="2"/>
      <x:c r="I21" s="2"/>
      <x:c r="J21" s="2"/>
    </x:row>
    <x:row r="22" ht="24" customHeight="1">
      <x:c r="A22" s="2"/>
      <x:c r="B22" s="2"/>
      <x:c r="C22" s="2"/>
      <x:c r="D22" s="2"/>
      <x:c r="E22" s="2"/>
      <x:c r="F22" s="2"/>
      <x:c r="G22" s="2"/>
      <x:c r="H22" s="2"/>
      <x:c r="I22" s="2"/>
      <x:c r="J22" s="2"/>
    </x:row>
    <x:row r="23" ht="24" customHeight="1">
      <x:c r="A23" s="2"/>
      <x:c r="B23" s="2"/>
      <x:c r="C23" s="2"/>
      <x:c r="D23" s="2"/>
      <x:c r="E23" s="2"/>
      <x:c r="F23" s="2"/>
      <x:c r="G23" s="2"/>
      <x:c r="H23" s="2"/>
      <x:c r="I23" s="2"/>
      <x:c r="J23" s="2"/>
    </x:row>
    <x:row r="24" ht="24" customHeight="1">
      <x:c r="A24" s="2"/>
      <x:c r="B24" s="2"/>
      <x:c r="C24" s="2"/>
      <x:c r="D24" s="2"/>
      <x:c r="E24" s="2"/>
      <x:c r="F24" s="2"/>
      <x:c r="G24" s="2"/>
      <x:c r="H24" s="2"/>
      <x:c r="I24" s="2"/>
      <x:c r="J24" s="2"/>
    </x:row>
    <x:row r="25" ht="24" customHeight="1">
      <x:c r="A25" s="2"/>
      <x:c r="B25" s="2"/>
      <x:c r="C25" s="2"/>
      <x:c r="D25" s="2"/>
      <x:c r="E25" s="2"/>
      <x:c r="F25" s="2"/>
      <x:c r="G25" s="2"/>
      <x:c r="H25" s="2"/>
      <x:c r="I25" s="2"/>
      <x:c r="J25" s="2"/>
    </x:row>
    <x:row r="26" ht="24" customHeight="1">
      <x:c r="A26" s="2"/>
      <x:c r="B26" s="2"/>
      <x:c r="C26" s="2"/>
      <x:c r="D26" s="2"/>
      <x:c r="E26" s="2"/>
      <x:c r="F26" s="2"/>
      <x:c r="G26" s="2"/>
      <x:c r="H26" s="2"/>
      <x:c r="I26" s="2"/>
      <x:c r="J26" s="2"/>
    </x:row>
    <x:row r="27" ht="24" customHeight="1">
      <x:c r="A27" s="2"/>
      <x:c r="B27" s="2"/>
      <x:c r="C27" s="2"/>
      <x:c r="D27" s="2"/>
      <x:c r="E27" s="2"/>
      <x:c r="F27" s="2"/>
      <x:c r="G27" s="2"/>
      <x:c r="H27" s="2"/>
      <x:c r="I27" s="2"/>
      <x:c r="J27" s="2"/>
    </x:row>
    <x:row r="28" ht="24" customHeight="1">
      <x:c r="A28" s="2"/>
      <x:c r="B28" s="2"/>
      <x:c r="C28" s="2"/>
      <x:c r="D28" s="2"/>
      <x:c r="E28" s="2"/>
      <x:c r="F28" s="2"/>
      <x:c r="G28" s="2"/>
      <x:c r="H28" s="2"/>
      <x:c r="I28" s="2"/>
      <x:c r="J28" s="2"/>
    </x:row>
    <x:row r="29" ht="24" customHeight="1">
      <x:c r="A29" s="2"/>
      <x:c r="B29" s="2"/>
      <x:c r="C29" s="2"/>
      <x:c r="D29" s="2"/>
      <x:c r="E29" s="2"/>
      <x:c r="F29" s="2"/>
      <x:c r="G29" s="2"/>
      <x:c r="H29" s="2"/>
      <x:c r="I29" s="2"/>
      <x:c r="J29" s="2"/>
    </x:row>
    <x:row r="30" ht="24" customHeight="1">
      <x:c r="A30" s="2"/>
      <x:c r="B30" s="2"/>
      <x:c r="C30" s="2"/>
      <x:c r="D30" s="2"/>
      <x:c r="E30" s="2"/>
      <x:c r="F30" s="2"/>
      <x:c r="G30" s="2"/>
      <x:c r="H30" s="2"/>
      <x:c r="I30" s="2"/>
      <x:c r="J30" s="2"/>
    </x:row>
    <x:row r="31" ht="24" customHeight="1">
      <x:c r="A31" s="2"/>
      <x:c r="B31" s="2"/>
      <x:c r="C31" s="2"/>
      <x:c r="D31" s="2"/>
      <x:c r="E31" s="2"/>
      <x:c r="F31" s="2"/>
      <x:c r="G31" s="2"/>
      <x:c r="H31" s="2"/>
      <x:c r="I31" s="2"/>
      <x:c r="J31" s="2"/>
    </x:row>
    <x:row r="32" ht="24" customHeight="1">
      <x:c r="A32" s="2"/>
      <x:c r="B32" s="2"/>
      <x:c r="C32" s="2"/>
      <x:c r="D32" s="2"/>
      <x:c r="E32" s="2"/>
      <x:c r="F32" s="2"/>
      <x:c r="G32" s="2"/>
      <x:c r="H32" s="2"/>
      <x:c r="I32" s="2"/>
      <x:c r="J32" s="2"/>
    </x:row>
    <x:row r="33" ht="24" customHeight="1">
      <x:c r="A33" s="35" t="str">
        <x:v>新車側の値下げを確認する：同じMY2023 Atto 3 Extended</x:v>
      </x:c>
      <x:c r="B33" s="35" t="str">
        <x:v>新車側の値下げを確認する：同じMY2023 Atto 3 Extended</x:v>
      </x:c>
      <x:c r="C33" s="35" t="str">
        <x:v>新車側の値下げを確認する：同じMY2023 Atto 3 Extended</x:v>
      </x:c>
      <x:c r="D33" s="35" t="str">
        <x:v>新車側の値下げを確認する：同じMY2023 Atto 3 Extended</x:v>
      </x:c>
      <x:c r="E33" s="35" t="str">
        <x:v>新車側の値下げを確認する：同じMY2023 Atto 3 Extended</x:v>
      </x:c>
      <x:c r="F33" s="35" t="str">
        <x:v>新車側の値下げを確認する：同じMY2023 Atto 3 Extended</x:v>
      </x:c>
      <x:c r="G33" s="35" t="str">
        <x:v>新車側の値下げを確認する：同じMY2023 Atto 3 Extended</x:v>
      </x:c>
      <x:c r="H33" s="35" t="str">
        <x:v>新車側の値下げを確認する：同じMY2023 Atto 3 Extended</x:v>
      </x:c>
      <x:c r="I33" s="35" t="str">
        <x:v>新車側の値下げを確認する：同じMY2023 Atto 3 Extended</x:v>
      </x:c>
      <x:c r="J33" s="35" t="str">
        <x:v>新車側の値下げを確認する：同じMY2023 Atto 3 Extended</x:v>
      </x:c>
    </x:row>
    <x:row r="34" ht="24" customHeight="1">
      <x:c r="A34" s="2"/>
      <x:c r="B34" s="2"/>
      <x:c r="C34" s="2"/>
      <x:c r="D34" s="2"/>
      <x:c r="E34" s="2"/>
      <x:c r="F34" s="2"/>
      <x:c r="G34" s="2"/>
      <x:c r="H34" s="2"/>
      <x:c r="I34" s="2"/>
      <x:c r="J34" s="2"/>
    </x:row>
    <x:row r="35" ht="24" customHeight="1">
      <x:c r="A35" s="2"/>
      <x:c r="B35" s="2"/>
      <x:c r="C35" s="2"/>
      <x:c r="D35" s="2"/>
      <x:c r="E35" s="2"/>
      <x:c r="F35" s="2"/>
      <x:c r="G35" s="7" t="str">
        <x:v>メーカー・輸入者の通常価格1,199,900から、同じMY23の2024年7月在庫特価859,900へ28.3%下落。中古価格を旧新車価格だけで読むと、新車側の代替購入価格の低下を見落とす。</x:v>
      </x:c>
      <x:c r="H35" s="7" t="str">
        <x:v>メーカー・輸入者の通常価格1,199,900から、同じMY23の2024年7月在庫特価859,900へ28.3%下落。中古価格を旧新車価格だけで読むと、新車側の代替購入価格の低下を見落とす。</x:v>
      </x:c>
      <x:c r="I35" s="7" t="str">
        <x:v>メーカー・輸入者の通常価格1,199,900から、同じMY23の2024年7月在庫特価859,900へ28.3%下落。中古価格を旧新車価格だけで読むと、新車側の代替購入価格の低下を見落とす。</x:v>
      </x:c>
      <x:c r="J35" s="7" t="str">
        <x:v>メーカー・輸入者の通常価格1,199,900から、同じMY23の2024年7月在庫特価859,900へ28.3%下落。中古価格を旧新車価格だけで読むと、新車側の代替購入価格の低下を見落とす。</x:v>
      </x:c>
    </x:row>
    <x:row r="36" ht="24" customHeight="1">
      <x:c r="A36" s="2"/>
      <x:c r="B36" s="2"/>
      <x:c r="C36" s="2"/>
      <x:c r="D36" s="2"/>
      <x:c r="E36" s="2"/>
      <x:c r="F36" s="2"/>
      <x:c r="G36" s="7" t="str">
        <x:v>メーカー・輸入者の通常価格1,199,900から、同じMY23の2024年7月在庫特価859,900へ28.3%下落。中古価格を旧新車価格だけで読むと、新車側の代替購入価格の低下を見落とす。</x:v>
      </x:c>
      <x:c r="H36" s="7" t="str">
        <x:v>メーカー・輸入者の通常価格1,199,900から、同じMY23の2024年7月在庫特価859,900へ28.3%下落。中古価格を旧新車価格だけで読むと、新車側の代替購入価格の低下を見落とす。</x:v>
      </x:c>
      <x:c r="I36" s="7" t="str">
        <x:v>メーカー・輸入者の通常価格1,199,900から、同じMY23の2024年7月在庫特価859,900へ28.3%下落。中古価格を旧新車価格だけで読むと、新車側の代替購入価格の低下を見落とす。</x:v>
      </x:c>
      <x:c r="J36" s="7" t="str">
        <x:v>メーカー・輸入者の通常価格1,199,900から、同じMY23の2024年7月在庫特価859,900へ28.3%下落。中古価格を旧新車価格だけで読むと、新車側の代替購入価格の低下を見落とす。</x:v>
      </x:c>
    </x:row>
    <x:row r="37" ht="24" customHeight="1">
      <x:c r="A37" s="2"/>
      <x:c r="B37" s="2"/>
      <x:c r="C37" s="2"/>
      <x:c r="D37" s="2"/>
      <x:c r="E37" s="2"/>
      <x:c r="F37" s="2"/>
      <x:c r="G37" s="7" t="str">
        <x:v>メーカー・輸入者の通常価格1,199,900から、同じMY23の2024年7月在庫特価859,900へ28.3%下落。中古価格を旧新車価格だけで読むと、新車側の代替購入価格の低下を見落とす。</x:v>
      </x:c>
      <x:c r="H37" s="7" t="str">
        <x:v>メーカー・輸入者の通常価格1,199,900から、同じMY23の2024年7月在庫特価859,900へ28.3%下落。中古価格を旧新車価格だけで読むと、新車側の代替購入価格の低下を見落とす。</x:v>
      </x:c>
      <x:c r="I37" s="7" t="str">
        <x:v>メーカー・輸入者の通常価格1,199,900から、同じMY23の2024年7月在庫特価859,900へ28.3%下落。中古価格を旧新車価格だけで読むと、新車側の代替購入価格の低下を見落とす。</x:v>
      </x:c>
      <x:c r="J37" s="7" t="str">
        <x:v>メーカー・輸入者の通常価格1,199,900から、同じMY23の2024年7月在庫特価859,900へ28.3%下落。中古価格を旧新車価格だけで読むと、新車側の代替購入価格の低下を見落とす。</x:v>
      </x:c>
    </x:row>
    <x:row r="38" ht="24" customHeight="1">
      <x:c r="A38" s="2"/>
      <x:c r="B38" s="2"/>
      <x:c r="C38" s="2"/>
      <x:c r="D38" s="2"/>
      <x:c r="E38" s="2"/>
      <x:c r="F38" s="2"/>
      <x:c r="G38" s="7" t="str">
        <x:v>メーカー・輸入者の通常価格1,199,900から、同じMY23の2024年7月在庫特価859,900へ28.3%下落。中古価格を旧新車価格だけで読むと、新車側の代替購入価格の低下を見落とす。</x:v>
      </x:c>
      <x:c r="H38" s="7" t="str">
        <x:v>メーカー・輸入者の通常価格1,199,900から、同じMY23の2024年7月在庫特価859,900へ28.3%下落。中古価格を旧新車価格だけで読むと、新車側の代替購入価格の低下を見落とす。</x:v>
      </x:c>
      <x:c r="I38" s="7" t="str">
        <x:v>メーカー・輸入者の通常価格1,199,900から、同じMY23の2024年7月在庫特価859,900へ28.3%下落。中古価格を旧新車価格だけで読むと、新車側の代替購入価格の低下を見落とす。</x:v>
      </x:c>
      <x:c r="J38" s="7" t="str">
        <x:v>メーカー・輸入者の通常価格1,199,900から、同じMY23の2024年7月在庫特価859,900へ28.3%下落。中古価格を旧新車価格だけで読むと、新車側の代替購入価格の低下を見落とす。</x:v>
      </x:c>
    </x:row>
    <x:row r="39" ht="24" customHeight="1">
      <x:c r="A39" s="2"/>
      <x:c r="B39" s="2"/>
      <x:c r="C39" s="2"/>
      <x:c r="D39" s="2"/>
      <x:c r="E39" s="2"/>
      <x:c r="F39" s="2"/>
      <x:c r="G39" s="7" t="str">
        <x:v>メーカー・輸入者の通常価格1,199,900から、同じMY23の2024年7月在庫特価859,900へ28.3%下落。中古価格を旧新車価格だけで読むと、新車側の代替購入価格の低下を見落とす。</x:v>
      </x:c>
      <x:c r="H39" s="7" t="str">
        <x:v>メーカー・輸入者の通常価格1,199,900から、同じMY23の2024年7月在庫特価859,900へ28.3%下落。中古価格を旧新車価格だけで読むと、新車側の代替購入価格の低下を見落とす。</x:v>
      </x:c>
      <x:c r="I39" s="7" t="str">
        <x:v>メーカー・輸入者の通常価格1,199,900から、同じMY23の2024年7月在庫特価859,900へ28.3%下落。中古価格を旧新車価格だけで読むと、新車側の代替購入価格の低下を見落とす。</x:v>
      </x:c>
      <x:c r="J39" s="7" t="str">
        <x:v>メーカー・輸入者の通常価格1,199,900から、同じMY23の2024年7月在庫特価859,900へ28.3%下落。中古価格を旧新車価格だけで読むと、新車側の代替購入価格の低下を見落とす。</x:v>
      </x:c>
    </x:row>
    <x:row r="40" ht="24" customHeight="1">
      <x:c r="A40" s="2"/>
      <x:c r="B40" s="2"/>
      <x:c r="C40" s="2"/>
      <x:c r="D40" s="2"/>
      <x:c r="E40" s="2"/>
      <x:c r="F40" s="2"/>
      <x:c r="G40" s="38" t="str">
        <x:v>2026年9月の中古掲載499,000は旧通常価格の41.6%。2024年7月の特価を参考分母にすると58.0%。後者は当時の特価との比率であり、現在新車価格比や実購入額比ではない。</x:v>
      </x:c>
      <x:c r="H40" s="38" t="str">
        <x:v>2026年9月の中古掲載499,000は旧通常価格の41.6%。2024年7月の特価を参考分母にすると58.0%。後者は当時の特価との比率であり、現在新車価格比や実購入額比ではない。</x:v>
      </x:c>
      <x:c r="I40" s="38" t="str">
        <x:v>2026年9月の中古掲載499,000は旧通常価格の41.6%。2024年7月の特価を参考分母にすると58.0%。後者は当時の特価との比率であり、現在新車価格比や実購入額比ではない。</x:v>
      </x:c>
      <x:c r="J40" s="38" t="str">
        <x:v>2026年9月の中古掲載499,000は旧通常価格の41.6%。2024年7月の特価を参考分母にすると58.0%。後者は当時の特価との比率であり、現在新車価格比や実購入額比ではない。</x:v>
      </x:c>
    </x:row>
    <x:row r="41" ht="24" customHeight="1">
      <x:c r="A41" s="2"/>
      <x:c r="B41" s="2"/>
      <x:c r="C41" s="2"/>
      <x:c r="D41" s="2"/>
      <x:c r="E41" s="2"/>
      <x:c r="F41" s="2"/>
      <x:c r="G41" s="38" t="str">
        <x:v>2026年9月の中古掲載499,000は旧通常価格の41.6%。2024年7月の特価を参考分母にすると58.0%。後者は当時の特価との比率であり、現在新車価格比や実購入額比ではない。</x:v>
      </x:c>
      <x:c r="H41" s="38" t="str">
        <x:v>2026年9月の中古掲載499,000は旧通常価格の41.6%。2024年7月の特価を参考分母にすると58.0%。後者は当時の特価との比率であり、現在新車価格比や実購入額比ではない。</x:v>
      </x:c>
      <x:c r="I41" s="38" t="str">
        <x:v>2026年9月の中古掲載499,000は旧通常価格の41.6%。2024年7月の特価を参考分母にすると58.0%。後者は当時の特価との比率であり、現在新車価格比や実購入額比ではない。</x:v>
      </x:c>
      <x:c r="J41" s="38" t="str">
        <x:v>2026年9月の中古掲載499,000は旧通常価格の41.6%。2024年7月の特価を参考分母にすると58.0%。後者は当時の特価との比率であり、現在新車価格比や実購入額比ではない。</x:v>
      </x:c>
    </x:row>
    <x:row r="42" ht="24" customHeight="1">
      <x:c r="A42" s="2"/>
      <x:c r="B42" s="2"/>
      <x:c r="C42" s="2"/>
      <x:c r="D42" s="2"/>
      <x:c r="E42" s="2"/>
      <x:c r="F42" s="2"/>
      <x:c r="G42" s="38" t="str">
        <x:v>2026年9月の中古掲載499,000は旧通常価格の41.6%。2024年7月の特価を参考分母にすると58.0%。後者は当時の特価との比率であり、現在新車価格比や実購入額比ではない。</x:v>
      </x:c>
      <x:c r="H42" s="38" t="str">
        <x:v>2026年9月の中古掲載499,000は旧通常価格の41.6%。2024年7月の特価を参考分母にすると58.0%。後者は当時の特価との比率であり、現在新車価格比や実購入額比ではない。</x:v>
      </x:c>
      <x:c r="I42" s="38" t="str">
        <x:v>2026年9月の中古掲載499,000は旧通常価格の41.6%。2024年7月の特価を参考分母にすると58.0%。後者は当時の特価との比率であり、現在新車価格比や実購入額比ではない。</x:v>
      </x:c>
      <x:c r="J42" s="38" t="str">
        <x:v>2026年9月の中古掲載499,000は旧通常価格の41.6%。2024年7月の特価を参考分母にすると58.0%。後者は当時の特価との比率であり、現在新車価格比や実購入額比ではない。</x:v>
      </x:c>
    </x:row>
    <x:row r="43" ht="24" customHeight="1">
      <x:c r="A43" s="2"/>
      <x:c r="B43" s="2"/>
      <x:c r="C43" s="2"/>
      <x:c r="D43" s="2"/>
      <x:c r="E43" s="2"/>
      <x:c r="F43" s="2"/>
      <x:c r="G43" s="38" t="str">
        <x:v>2026年9月の中古掲載499,000は旧通常価格の41.6%。2024年7月の特価を参考分母にすると58.0%。後者は当時の特価との比率であり、現在新車価格比や実購入額比ではない。</x:v>
      </x:c>
      <x:c r="H43" s="38" t="str">
        <x:v>2026年9月の中古掲載499,000は旧通常価格の41.6%。2024年7月の特価を参考分母にすると58.0%。後者は当時の特価との比率であり、現在新車価格比や実購入額比ではない。</x:v>
      </x:c>
      <x:c r="I43" s="38" t="str">
        <x:v>2026年9月の中古掲載499,000は旧通常価格の41.6%。2024年7月の特価を参考分母にすると58.0%。後者は当時の特価との比率であり、現在新車価格比や実購入額比ではない。</x:v>
      </x:c>
      <x:c r="J43" s="38" t="str">
        <x:v>2026年9月の中古掲載499,000は旧通常価格の41.6%。2024年7月の特価を参考分母にすると58.0%。後者は当時の特価との比率であり、現在新車価格比や実購入額比ではない。</x:v>
      </x:c>
    </x:row>
    <x:row r="44" ht="24" customHeight="1">
      <x:c r="A44" s="2"/>
      <x:c r="B44" s="2"/>
      <x:c r="C44" s="2"/>
      <x:c r="D44" s="2"/>
      <x:c r="E44" s="2"/>
      <x:c r="F44" s="2"/>
      <x:c r="G44" s="38" t="str">
        <x:v>2026年9月の中古掲載499,000は旧通常価格の41.6%。2024年7月の特価を参考分母にすると58.0%。後者は当時の特価との比率であり、現在新車価格比や実購入額比ではない。</x:v>
      </x:c>
      <x:c r="H44" s="38" t="str">
        <x:v>2026年9月の中古掲載499,000は旧通常価格の41.6%。2024年7月の特価を参考分母にすると58.0%。後者は当時の特価との比率であり、現在新車価格比や実購入額比ではない。</x:v>
      </x:c>
      <x:c r="I44" s="38" t="str">
        <x:v>2026年9月の中古掲載499,000は旧通常価格の41.6%。2024年7月の特価を参考分母にすると58.0%。後者は当時の特価との比率であり、現在新車価格比や実購入額比ではない。</x:v>
      </x:c>
      <x:c r="J44" s="38" t="str">
        <x:v>2026年9月の中古掲載499,000は旧通常価格の41.6%。2024年7月の特価を参考分母にすると58.0%。後者は当時の特価との比率であり、現在新車価格比や実購入額比ではない。</x:v>
      </x:c>
    </x:row>
    <x:row r="45" ht="24" customHeight="1">
      <x:c r="A45" s="2"/>
      <x:c r="B45" s="2"/>
      <x:c r="C45" s="2"/>
      <x:c r="D45" s="2"/>
      <x:c r="E45" s="2"/>
      <x:c r="F45" s="2"/>
      <x:c r="G45"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H45"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I45"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J45"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row>
    <x:row r="46" ht="24" customHeight="1">
      <x:c r="A46" s="2"/>
      <x:c r="B46" s="2"/>
      <x:c r="C46" s="2"/>
      <x:c r="D46" s="2"/>
      <x:c r="E46" s="2"/>
      <x:c r="F46" s="2"/>
      <x:c r="G46"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H46"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I46"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J46"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row>
    <x:row r="47" ht="24" customHeight="1">
      <x:c r="A47" s="2"/>
      <x:c r="B47" s="2"/>
      <x:c r="C47" s="2"/>
      <x:c r="D47" s="2"/>
      <x:c r="E47" s="2"/>
      <x:c r="F47" s="2"/>
      <x:c r="G47"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H47"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I47"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J47"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row>
    <x:row r="48" ht="24" customHeight="1">
      <x:c r="A48" s="2"/>
      <x:c r="B48" s="2"/>
      <x:c r="C48" s="2"/>
      <x:c r="D48" s="2"/>
      <x:c r="E48" s="2"/>
      <x:c r="F48" s="2"/>
      <x:c r="G48"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H48"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I48"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J48"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row>
    <x:row r="49" ht="24" customHeight="1">
      <x:c r="A49" s="2"/>
      <x:c r="B49" s="2"/>
      <x:c r="C49" s="2"/>
      <x:c r="D49" s="2"/>
      <x:c r="E49" s="2"/>
      <x:c r="F49" s="2"/>
      <x:c r="G49"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H49"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I49"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J49"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row>
    <x:row r="50" ht="24" customHeight="1">
      <x:c r="A50" s="2"/>
      <x:c r="B50" s="2"/>
      <x:c r="C50" s="2"/>
      <x:c r="D50" s="2"/>
      <x:c r="E50" s="2"/>
      <x:c r="F50" s="2"/>
      <x:c r="G50"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H50"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I50"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c r="J50" s="7" t="str">
        <x:v>時点の違う3価格を並べた図。新車値下げが中古下落の何割を引き起こしたか、という因果分解ではない。在庫処分、時間経過、車両状態と保証差が混在する。中古掲載が同時点の新車を下回る度合いの推計にも使わない。</x:v>
      </x:c>
    </x:row>
    <x:row r="51" ht="24" customHeight="1">
      <x:c r="A51" s="2"/>
      <x:c r="B51" s="2"/>
      <x:c r="C51" s="2"/>
      <x:c r="D51" s="2"/>
      <x:c r="E51" s="2"/>
      <x:c r="F51" s="2"/>
      <x:c r="G51" s="2"/>
      <x:c r="H51" s="2"/>
      <x:c r="I51" s="2"/>
      <x:c r="J51" s="2"/>
    </x:row>
    <x:row r="52" ht="24" customHeight="1">
      <x:c r="A52" s="40" t="str">
        <x:v>この6事例からの考察（観測と仮説を分ける）</x:v>
      </x:c>
      <x:c r="B52" s="40" t="str">
        <x:v>この6事例からの考察（観測と仮説を分ける）</x:v>
      </x:c>
      <x:c r="C52" s="40" t="str">
        <x:v>この6事例からの考察（観測と仮説を分ける）</x:v>
      </x:c>
      <x:c r="D52" s="40" t="str">
        <x:v>この6事例からの考察（観測と仮説を分ける）</x:v>
      </x:c>
      <x:c r="E52" s="40" t="str">
        <x:v>この6事例からの考察（観測と仮説を分ける）</x:v>
      </x:c>
      <x:c r="F52" s="40" t="str">
        <x:v>この6事例からの考察（観測と仮説を分ける）</x:v>
      </x:c>
      <x:c r="G52" s="40" t="str">
        <x:v>この6事例からの考察（観測と仮説を分ける）</x:v>
      </x:c>
      <x:c r="H52" s="40" t="str">
        <x:v>この6事例からの考察（観測と仮説を分ける）</x:v>
      </x:c>
      <x:c r="I52" s="40" t="str">
        <x:v>この6事例からの考察（観測と仮説を分ける）</x:v>
      </x:c>
      <x:c r="J52" s="40" t="str">
        <x:v>この6事例からの考察（観測と仮説を分ける）</x:v>
      </x:c>
    </x:row>
    <x:row r="53" ht="24" customHeight="1">
      <x:c r="A53" s="2"/>
      <x:c r="B53" s="2"/>
      <x:c r="C53" s="2"/>
      <x:c r="D53" s="2"/>
      <x:c r="E53" s="2"/>
      <x:c r="F53" s="2"/>
      <x:c r="G53" s="2"/>
      <x:c r="H53" s="2"/>
      <x:c r="I53" s="2"/>
      <x:c r="J53" s="2"/>
    </x:row>
    <x:row r="54" ht="24" customHeight="1">
      <x:c r="A54" s="42" t="str">
        <x:v>観測1：BEV2事例は低め</x:v>
      </x:c>
      <x:c r="B54" s="42" t="str">
        <x:v>観測1：BEV2事例は低め</x:v>
      </x:c>
      <x:c r="C54" s="38" t="str">
        <x:v>BYD Atto 3 41.6%、MG ZS EV 39.0%。MGの中古は2.5–3万kmで他車より低走行でも残価率が低い。年式・走行差だけで全て説明できるとは考えにくいが、2台でBEV全体を代表することはできない。</x:v>
      </x:c>
      <x:c r="D54" s="38" t="str">
        <x:v>BYD Atto 3 41.6%、MG ZS EV 39.0%。MGの中古は2.5–3万kmで他車より低走行でも残価率が低い。年式・走行差だけで全て説明できるとは考えにくいが、2台でBEV全体を代表することはできない。</x:v>
      </x:c>
      <x:c r="E54" s="38" t="str">
        <x:v>BYD Atto 3 41.6%、MG ZS EV 39.0%。MGの中古は2.5–3万kmで他車より低走行でも残価率が低い。年式・走行差だけで全て説明できるとは考えにくいが、2台でBEV全体を代表することはできない。</x:v>
      </x:c>
      <x:c r="F54" s="38" t="str">
        <x:v>BYD Atto 3 41.6%、MG ZS EV 39.0%。MGの中古は2.5–3万kmで他車より低走行でも残価率が低い。年式・走行差だけで全て説明できるとは考えにくいが、2台でBEV全体を代表することはできない。</x:v>
      </x:c>
      <x:c r="G54" s="38" t="str">
        <x:v>BYD Atto 3 41.6%、MG ZS EV 39.0%。MGの中古は2.5–3万kmで他車より低走行でも残価率が低い。年式・走行差だけで全て説明できるとは考えにくいが、2台でBEV全体を代表することはできない。</x:v>
      </x:c>
      <x:c r="H54" s="38" t="str">
        <x:v>BYD Atto 3 41.6%、MG ZS EV 39.0%。MGの中古は2.5–3万kmで他車より低走行でも残価率が低い。年式・走行差だけで全て説明できるとは考えにくいが、2台でBEV全体を代表することはできない。</x:v>
      </x:c>
      <x:c r="I54" s="38" t="str">
        <x:v>BYD Atto 3 41.6%、MG ZS EV 39.0%。MGの中古は2.5–3万kmで他車より低走行でも残価率が低い。年式・走行差だけで全て説明できるとは考えにくいが、2台でBEV全体を代表することはできない。</x:v>
      </x:c>
      <x:c r="J54" s="38" t="str">
        <x:v>BYD Atto 3 41.6%、MG ZS EV 39.0%。MGの中古は2.5–3万kmで他車より低走行でも残価率が低い。年式・走行差だけで全て説明できるとは考えにくいが、2台でBEV全体を代表することはできない。</x:v>
      </x:c>
    </x:row>
    <x:row r="55" ht="24" customHeight="1">
      <x:c r="A55" s="42" t="str">
        <x:v>観測1：BEV2事例は低め</x:v>
      </x:c>
      <x:c r="B55" s="42" t="str">
        <x:v>観測1：BEV2事例は低め</x:v>
      </x:c>
      <x:c r="C55" s="38" t="str">
        <x:v>BYD Atto 3 41.6%、MG ZS EV 39.0%。MGの中古は2.5–3万kmで他車より低走行でも残価率が低い。年式・走行差だけで全て説明できるとは考えにくいが、2台でBEV全体を代表することはできない。</x:v>
      </x:c>
      <x:c r="D55" s="38" t="str">
        <x:v>BYD Atto 3 41.6%、MG ZS EV 39.0%。MGの中古は2.5–3万kmで他車より低走行でも残価率が低い。年式・走行差だけで全て説明できるとは考えにくいが、2台でBEV全体を代表することはできない。</x:v>
      </x:c>
      <x:c r="E55" s="38" t="str">
        <x:v>BYD Atto 3 41.6%、MG ZS EV 39.0%。MGの中古は2.5–3万kmで他車より低走行でも残価率が低い。年式・走行差だけで全て説明できるとは考えにくいが、2台でBEV全体を代表することはできない。</x:v>
      </x:c>
      <x:c r="F55" s="38" t="str">
        <x:v>BYD Atto 3 41.6%、MG ZS EV 39.0%。MGの中古は2.5–3万kmで他車より低走行でも残価率が低い。年式・走行差だけで全て説明できるとは考えにくいが、2台でBEV全体を代表することはできない。</x:v>
      </x:c>
      <x:c r="G55" s="38" t="str">
        <x:v>BYD Atto 3 41.6%、MG ZS EV 39.0%。MGの中古は2.5–3万kmで他車より低走行でも残価率が低い。年式・走行差だけで全て説明できるとは考えにくいが、2台でBEV全体を代表することはできない。</x:v>
      </x:c>
      <x:c r="H55" s="38" t="str">
        <x:v>BYD Atto 3 41.6%、MG ZS EV 39.0%。MGの中古は2.5–3万kmで他車より低走行でも残価率が低い。年式・走行差だけで全て説明できるとは考えにくいが、2台でBEV全体を代表することはできない。</x:v>
      </x:c>
      <x:c r="I55" s="38" t="str">
        <x:v>BYD Atto 3 41.6%、MG ZS EV 39.0%。MGの中古は2.5–3万kmで他車より低走行でも残価率が低い。年式・走行差だけで全て説明できるとは考えにくいが、2台でBEV全体を代表することはできない。</x:v>
      </x:c>
      <x:c r="J55" s="38" t="str">
        <x:v>BYD Atto 3 41.6%、MG ZS EV 39.0%。MGの中古は2.5–3万kmで他車より低走行でも残価率が低い。年式・走行差だけで全て説明できるとは考えにくいが、2台でBEV全体を代表することはできない。</x:v>
      </x:c>
    </x:row>
    <x:row r="56" ht="24" customHeight="1">
      <x:c r="A56" s="42" t="str">
        <x:v>観測1：BEV2事例は低め</x:v>
      </x:c>
      <x:c r="B56" s="42" t="str">
        <x:v>観測1：BEV2事例は低め</x:v>
      </x:c>
      <x:c r="C56" s="38" t="str">
        <x:v>BYD Atto 3 41.6%、MG ZS EV 39.0%。MGの中古は2.5–3万kmで他車より低走行でも残価率が低い。年式・走行差だけで全て説明できるとは考えにくいが、2台でBEV全体を代表することはできない。</x:v>
      </x:c>
      <x:c r="D56" s="38" t="str">
        <x:v>BYD Atto 3 41.6%、MG ZS EV 39.0%。MGの中古は2.5–3万kmで他車より低走行でも残価率が低い。年式・走行差だけで全て説明できるとは考えにくいが、2台でBEV全体を代表することはできない。</x:v>
      </x:c>
      <x:c r="E56" s="38" t="str">
        <x:v>BYD Atto 3 41.6%、MG ZS EV 39.0%。MGの中古は2.5–3万kmで他車より低走行でも残価率が低い。年式・走行差だけで全て説明できるとは考えにくいが、2台でBEV全体を代表することはできない。</x:v>
      </x:c>
      <x:c r="F56" s="38" t="str">
        <x:v>BYD Atto 3 41.6%、MG ZS EV 39.0%。MGの中古は2.5–3万kmで他車より低走行でも残価率が低い。年式・走行差だけで全て説明できるとは考えにくいが、2台でBEV全体を代表することはできない。</x:v>
      </x:c>
      <x:c r="G56" s="38" t="str">
        <x:v>BYD Atto 3 41.6%、MG ZS EV 39.0%。MGの中古は2.5–3万kmで他車より低走行でも残価率が低い。年式・走行差だけで全て説明できるとは考えにくいが、2台でBEV全体を代表することはできない。</x:v>
      </x:c>
      <x:c r="H56" s="38" t="str">
        <x:v>BYD Atto 3 41.6%、MG ZS EV 39.0%。MGの中古は2.5–3万kmで他車より低走行でも残価率が低い。年式・走行差だけで全て説明できるとは考えにくいが、2台でBEV全体を代表することはできない。</x:v>
      </x:c>
      <x:c r="I56" s="38" t="str">
        <x:v>BYD Atto 3 41.6%、MG ZS EV 39.0%。MGの中古は2.5–3万kmで他車より低走行でも残価率が低い。年式・走行差だけで全て説明できるとは考えにくいが、2台でBEV全体を代表することはできない。</x:v>
      </x:c>
      <x:c r="J56" s="38" t="str">
        <x:v>BYD Atto 3 41.6%、MG ZS EV 39.0%。MGの中古は2.5–3万kmで他車より低走行でも残価率が低い。年式・走行差だけで全て説明できるとは考えにくいが、2台でBEV全体を代表することはできない。</x:v>
      </x:c>
    </x:row>
    <x:row r="57" ht="24" customHeight="1">
      <x:c r="A57" s="42" t="str">
        <x:v>観測2：xEVを一括しない</x:v>
      </x:c>
      <x:c r="B57" s="42" t="str">
        <x:v>観測2：xEVを一括しない</x:v>
      </x:c>
      <x:c r="C57" s="38" t="str">
        <x:v>ToyotaのHEV 66.9%とHavalのHEV 47.4%には約19.5ポイント差。HEV同士でもモデル・ブランド・新車価格戦略の違いが大きい。BEV、HEV、PHEV、MHEV、FCEVを分けて追跡する。今回はPHEV等の事例を採っていない。</x:v>
      </x:c>
      <x:c r="D57" s="38" t="str">
        <x:v>ToyotaのHEV 66.9%とHavalのHEV 47.4%には約19.5ポイント差。HEV同士でもモデル・ブランド・新車価格戦略の違いが大きい。BEV、HEV、PHEV、MHEV、FCEVを分けて追跡する。今回はPHEV等の事例を採っていない。</x:v>
      </x:c>
      <x:c r="E57" s="38" t="str">
        <x:v>ToyotaのHEV 66.9%とHavalのHEV 47.4%には約19.5ポイント差。HEV同士でもモデル・ブランド・新車価格戦略の違いが大きい。BEV、HEV、PHEV、MHEV、FCEVを分けて追跡する。今回はPHEV等の事例を採っていない。</x:v>
      </x:c>
      <x:c r="F57" s="38" t="str">
        <x:v>ToyotaのHEV 66.9%とHavalのHEV 47.4%には約19.5ポイント差。HEV同士でもモデル・ブランド・新車価格戦略の違いが大きい。BEV、HEV、PHEV、MHEV、FCEVを分けて追跡する。今回はPHEV等の事例を採っていない。</x:v>
      </x:c>
      <x:c r="G57" s="38" t="str">
        <x:v>ToyotaのHEV 66.9%とHavalのHEV 47.4%には約19.5ポイント差。HEV同士でもモデル・ブランド・新車価格戦略の違いが大きい。BEV、HEV、PHEV、MHEV、FCEVを分けて追跡する。今回はPHEV等の事例を採っていない。</x:v>
      </x:c>
      <x:c r="H57" s="38" t="str">
        <x:v>ToyotaのHEV 66.9%とHavalのHEV 47.4%には約19.5ポイント差。HEV同士でもモデル・ブランド・新車価格戦略の違いが大きい。BEV、HEV、PHEV、MHEV、FCEVを分けて追跡する。今回はPHEV等の事例を採っていない。</x:v>
      </x:c>
      <x:c r="I57" s="38" t="str">
        <x:v>ToyotaのHEV 66.9%とHavalのHEV 47.4%には約19.5ポイント差。HEV同士でもモデル・ブランド・新車価格戦略の違いが大きい。BEV、HEV、PHEV、MHEV、FCEVを分けて追跡する。今回はPHEV等の事例を採っていない。</x:v>
      </x:c>
      <x:c r="J57" s="38" t="str">
        <x:v>ToyotaのHEV 66.9%とHavalのHEV 47.4%には約19.5ポイント差。HEV同士でもモデル・ブランド・新車価格戦略の違いが大きい。BEV、HEV、PHEV、MHEV、FCEVを分けて追跡する。今回はPHEV等の事例を採っていない。</x:v>
      </x:c>
    </x:row>
    <x:row r="58" ht="24" customHeight="1">
      <x:c r="A58" s="42" t="str">
        <x:v>観測2：xEVを一括しない</x:v>
      </x:c>
      <x:c r="B58" s="42" t="str">
        <x:v>観測2：xEVを一括しない</x:v>
      </x:c>
      <x:c r="C58" s="38" t="str">
        <x:v>ToyotaのHEV 66.9%とHavalのHEV 47.4%には約19.5ポイント差。HEV同士でもモデル・ブランド・新車価格戦略の違いが大きい。BEV、HEV、PHEV、MHEV、FCEVを分けて追跡する。今回はPHEV等の事例を採っていない。</x:v>
      </x:c>
      <x:c r="D58" s="38" t="str">
        <x:v>ToyotaのHEV 66.9%とHavalのHEV 47.4%には約19.5ポイント差。HEV同士でもモデル・ブランド・新車価格戦略の違いが大きい。BEV、HEV、PHEV、MHEV、FCEVを分けて追跡する。今回はPHEV等の事例を採っていない。</x:v>
      </x:c>
      <x:c r="E58" s="38" t="str">
        <x:v>ToyotaのHEV 66.9%とHavalのHEV 47.4%には約19.5ポイント差。HEV同士でもモデル・ブランド・新車価格戦略の違いが大きい。BEV、HEV、PHEV、MHEV、FCEVを分けて追跡する。今回はPHEV等の事例を採っていない。</x:v>
      </x:c>
      <x:c r="F58" s="38" t="str">
        <x:v>ToyotaのHEV 66.9%とHavalのHEV 47.4%には約19.5ポイント差。HEV同士でもモデル・ブランド・新車価格戦略の違いが大きい。BEV、HEV、PHEV、MHEV、FCEVを分けて追跡する。今回はPHEV等の事例を採っていない。</x:v>
      </x:c>
      <x:c r="G58" s="38" t="str">
        <x:v>ToyotaのHEV 66.9%とHavalのHEV 47.4%には約19.5ポイント差。HEV同士でもモデル・ブランド・新車価格戦略の違いが大きい。BEV、HEV、PHEV、MHEV、FCEVを分けて追跡する。今回はPHEV等の事例を採っていない。</x:v>
      </x:c>
      <x:c r="H58" s="38" t="str">
        <x:v>ToyotaのHEV 66.9%とHavalのHEV 47.4%には約19.5ポイント差。HEV同士でもモデル・ブランド・新車価格戦略の違いが大きい。BEV、HEV、PHEV、MHEV、FCEVを分けて追跡する。今回はPHEV等の事例を採っていない。</x:v>
      </x:c>
      <x:c r="I58" s="38" t="str">
        <x:v>ToyotaのHEV 66.9%とHavalのHEV 47.4%には約19.5ポイント差。HEV同士でもモデル・ブランド・新車価格戦略の違いが大きい。BEV、HEV、PHEV、MHEV、FCEVを分けて追跡する。今回はPHEV等の事例を採っていない。</x:v>
      </x:c>
      <x:c r="J58" s="38" t="str">
        <x:v>ToyotaのHEV 66.9%とHavalのHEV 47.4%には約19.5ポイント差。HEV同士でもモデル・ブランド・新車価格戦略の違いが大きい。BEV、HEV、PHEV、MHEV、FCEVを分けて追跡する。今回はPHEV等の事例を採っていない。</x:v>
      </x:c>
    </x:row>
    <x:row r="59" ht="24" customHeight="1">
      <x:c r="A59" s="42" t="str">
        <x:v>観測2：xEVを一括しない</x:v>
      </x:c>
      <x:c r="B59" s="42" t="str">
        <x:v>観測2：xEVを一括しない</x:v>
      </x:c>
      <x:c r="C59" s="38" t="str">
        <x:v>ToyotaのHEV 66.9%とHavalのHEV 47.4%には約19.5ポイント差。HEV同士でもモデル・ブランド・新車価格戦略の違いが大きい。BEV、HEV、PHEV、MHEV、FCEVを分けて追跡する。今回はPHEV等の事例を採っていない。</x:v>
      </x:c>
      <x:c r="D59" s="38" t="str">
        <x:v>ToyotaのHEV 66.9%とHavalのHEV 47.4%には約19.5ポイント差。HEV同士でもモデル・ブランド・新車価格戦略の違いが大きい。BEV、HEV、PHEV、MHEV、FCEVを分けて追跡する。今回はPHEV等の事例を採っていない。</x:v>
      </x:c>
      <x:c r="E59" s="38" t="str">
        <x:v>ToyotaのHEV 66.9%とHavalのHEV 47.4%には約19.5ポイント差。HEV同士でもモデル・ブランド・新車価格戦略の違いが大きい。BEV、HEV、PHEV、MHEV、FCEVを分けて追跡する。今回はPHEV等の事例を採っていない。</x:v>
      </x:c>
      <x:c r="F59" s="38" t="str">
        <x:v>ToyotaのHEV 66.9%とHavalのHEV 47.4%には約19.5ポイント差。HEV同士でもモデル・ブランド・新車価格戦略の違いが大きい。BEV、HEV、PHEV、MHEV、FCEVを分けて追跡する。今回はPHEV等の事例を採っていない。</x:v>
      </x:c>
      <x:c r="G59" s="38" t="str">
        <x:v>ToyotaのHEV 66.9%とHavalのHEV 47.4%には約19.5ポイント差。HEV同士でもモデル・ブランド・新車価格戦略の違いが大きい。BEV、HEV、PHEV、MHEV、FCEVを分けて追跡する。今回はPHEV等の事例を採っていない。</x:v>
      </x:c>
      <x:c r="H59" s="38" t="str">
        <x:v>ToyotaのHEV 66.9%とHavalのHEV 47.4%には約19.5ポイント差。HEV同士でもモデル・ブランド・新車価格戦略の違いが大きい。BEV、HEV、PHEV、MHEV、FCEVを分けて追跡する。今回はPHEV等の事例を採っていない。</x:v>
      </x:c>
      <x:c r="I59" s="38" t="str">
        <x:v>ToyotaのHEV 66.9%とHavalのHEV 47.4%には約19.5ポイント差。HEV同士でもモデル・ブランド・新車価格戦略の違いが大きい。BEV、HEV、PHEV、MHEV、FCEVを分けて追跡する。今回はPHEV等の事例を採っていない。</x:v>
      </x:c>
      <x:c r="J59" s="38" t="str">
        <x:v>ToyotaのHEV 66.9%とHavalのHEV 47.4%には約19.5ポイント差。HEV同士でもモデル・ブランド・新車価格戦略の違いが大きい。BEV、HEV、PHEV、MHEV、FCEVを分けて追跡する。今回はPHEV等の事例を採っていない。</x:v>
      </x:c>
    </x:row>
    <x:row r="60" ht="24" customHeight="1">
      <x:c r="A60" s="42" t="str">
        <x:v>観測3：国籍だけで説明しない</x:v>
      </x:c>
      <x:c r="B60" s="42" t="str">
        <x:v>観測3：国籍だけで説明しない</x:v>
      </x:c>
      <x:c r="C60" s="38" t="str">
        <x:v>中国系MGのICEは52.4%、日本系HondaのICEは62.2%。ただしHondaはセダン、MGはSUVで需要・車格・価格帯が異なる。中国系BEVと日本系HEVの差を企業国籍の効果とみなすことはできない。</x:v>
      </x:c>
      <x:c r="D60" s="38" t="str">
        <x:v>中国系MGのICEは52.4%、日本系HondaのICEは62.2%。ただしHondaはセダン、MGはSUVで需要・車格・価格帯が異なる。中国系BEVと日本系HEVの差を企業国籍の効果とみなすことはできない。</x:v>
      </x:c>
      <x:c r="E60" s="38" t="str">
        <x:v>中国系MGのICEは52.4%、日本系HondaのICEは62.2%。ただしHondaはセダン、MGはSUVで需要・車格・価格帯が異なる。中国系BEVと日本系HEVの差を企業国籍の効果とみなすことはできない。</x:v>
      </x:c>
      <x:c r="F60" s="38" t="str">
        <x:v>中国系MGのICEは52.4%、日本系HondaのICEは62.2%。ただしHondaはセダン、MGはSUVで需要・車格・価格帯が異なる。中国系BEVと日本系HEVの差を企業国籍の効果とみなすことはできない。</x:v>
      </x:c>
      <x:c r="G60" s="38" t="str">
        <x:v>中国系MGのICEは52.4%、日本系HondaのICEは62.2%。ただしHondaはセダン、MGはSUVで需要・車格・価格帯が異なる。中国系BEVと日本系HEVの差を企業国籍の効果とみなすことはできない。</x:v>
      </x:c>
      <x:c r="H60" s="38" t="str">
        <x:v>中国系MGのICEは52.4%、日本系HondaのICEは62.2%。ただしHondaはセダン、MGはSUVで需要・車格・価格帯が異なる。中国系BEVと日本系HEVの差を企業国籍の効果とみなすことはできない。</x:v>
      </x:c>
      <x:c r="I60" s="38" t="str">
        <x:v>中国系MGのICEは52.4%、日本系HondaのICEは62.2%。ただしHondaはセダン、MGはSUVで需要・車格・価格帯が異なる。中国系BEVと日本系HEVの差を企業国籍の効果とみなすことはできない。</x:v>
      </x:c>
      <x:c r="J60" s="38" t="str">
        <x:v>中国系MGのICEは52.4%、日本系HondaのICEは62.2%。ただしHondaはセダン、MGはSUVで需要・車格・価格帯が異なる。中国系BEVと日本系HEVの差を企業国籍の効果とみなすことはできない。</x:v>
      </x:c>
    </x:row>
    <x:row r="61" ht="24" customHeight="1">
      <x:c r="A61" s="42" t="str">
        <x:v>観測3：国籍だけで説明しない</x:v>
      </x:c>
      <x:c r="B61" s="42" t="str">
        <x:v>観測3：国籍だけで説明しない</x:v>
      </x:c>
      <x:c r="C61" s="38" t="str">
        <x:v>中国系MGのICEは52.4%、日本系HondaのICEは62.2%。ただしHondaはセダン、MGはSUVで需要・車格・価格帯が異なる。中国系BEVと日本系HEVの差を企業国籍の効果とみなすことはできない。</x:v>
      </x:c>
      <x:c r="D61" s="38" t="str">
        <x:v>中国系MGのICEは52.4%、日本系HondaのICEは62.2%。ただしHondaはセダン、MGはSUVで需要・車格・価格帯が異なる。中国系BEVと日本系HEVの差を企業国籍の効果とみなすことはできない。</x:v>
      </x:c>
      <x:c r="E61" s="38" t="str">
        <x:v>中国系MGのICEは52.4%、日本系HondaのICEは62.2%。ただしHondaはセダン、MGはSUVで需要・車格・価格帯が異なる。中国系BEVと日本系HEVの差を企業国籍の効果とみなすことはできない。</x:v>
      </x:c>
      <x:c r="F61" s="38" t="str">
        <x:v>中国系MGのICEは52.4%、日本系HondaのICEは62.2%。ただしHondaはセダン、MGはSUVで需要・車格・価格帯が異なる。中国系BEVと日本系HEVの差を企業国籍の効果とみなすことはできない。</x:v>
      </x:c>
      <x:c r="G61" s="38" t="str">
        <x:v>中国系MGのICEは52.4%、日本系HondaのICEは62.2%。ただしHondaはセダン、MGはSUVで需要・車格・価格帯が異なる。中国系BEVと日本系HEVの差を企業国籍の効果とみなすことはできない。</x:v>
      </x:c>
      <x:c r="H61" s="38" t="str">
        <x:v>中国系MGのICEは52.4%、日本系HondaのICEは62.2%。ただしHondaはセダン、MGはSUVで需要・車格・価格帯が異なる。中国系BEVと日本系HEVの差を企業国籍の効果とみなすことはできない。</x:v>
      </x:c>
      <x:c r="I61" s="38" t="str">
        <x:v>中国系MGのICEは52.4%、日本系HondaのICEは62.2%。ただしHondaはセダン、MGはSUVで需要・車格・価格帯が異なる。中国系BEVと日本系HEVの差を企業国籍の効果とみなすことはできない。</x:v>
      </x:c>
      <x:c r="J61" s="38" t="str">
        <x:v>中国系MGのICEは52.4%、日本系HondaのICEは62.2%。ただしHondaはセダン、MGはSUVで需要・車格・価格帯が異なる。中国系BEVと日本系HEVの差を企業国籍の効果とみなすことはできない。</x:v>
      </x:c>
    </x:row>
    <x:row r="62" ht="24" customHeight="1">
      <x:c r="A62" s="42" t="str">
        <x:v>観測3：国籍だけで説明しない</x:v>
      </x:c>
      <x:c r="B62" s="42" t="str">
        <x:v>観測3：国籍だけで説明しない</x:v>
      </x:c>
      <x:c r="C62" s="38" t="str">
        <x:v>中国系MGのICEは52.4%、日本系HondaのICEは62.2%。ただしHondaはセダン、MGはSUVで需要・車格・価格帯が異なる。中国系BEVと日本系HEVの差を企業国籍の効果とみなすことはできない。</x:v>
      </x:c>
      <x:c r="D62" s="38" t="str">
        <x:v>中国系MGのICEは52.4%、日本系HondaのICEは62.2%。ただしHondaはセダン、MGはSUVで需要・車格・価格帯が異なる。中国系BEVと日本系HEVの差を企業国籍の効果とみなすことはできない。</x:v>
      </x:c>
      <x:c r="E62" s="38" t="str">
        <x:v>中国系MGのICEは52.4%、日本系HondaのICEは62.2%。ただしHondaはセダン、MGはSUVで需要・車格・価格帯が異なる。中国系BEVと日本系HEVの差を企業国籍の効果とみなすことはできない。</x:v>
      </x:c>
      <x:c r="F62" s="38" t="str">
        <x:v>中国系MGのICEは52.4%、日本系HondaのICEは62.2%。ただしHondaはセダン、MGはSUVで需要・車格・価格帯が異なる。中国系BEVと日本系HEVの差を企業国籍の効果とみなすことはできない。</x:v>
      </x:c>
      <x:c r="G62" s="38" t="str">
        <x:v>中国系MGのICEは52.4%、日本系HondaのICEは62.2%。ただしHondaはセダン、MGはSUVで需要・車格・価格帯が異なる。中国系BEVと日本系HEVの差を企業国籍の効果とみなすことはできない。</x:v>
      </x:c>
      <x:c r="H62" s="38" t="str">
        <x:v>中国系MGのICEは52.4%、日本系HondaのICEは62.2%。ただしHondaはセダン、MGはSUVで需要・車格・価格帯が異なる。中国系BEVと日本系HEVの差を企業国籍の効果とみなすことはできない。</x:v>
      </x:c>
      <x:c r="I62" s="38" t="str">
        <x:v>中国系MGのICEは52.4%、日本系HondaのICEは62.2%。ただしHondaはセダン、MGはSUVで需要・車格・価格帯が異なる。中国系BEVと日本系HEVの差を企業国籍の効果とみなすことはできない。</x:v>
      </x:c>
      <x:c r="J62" s="38" t="str">
        <x:v>中国系MGのICEは52.4%、日本系HondaのICEは62.2%。ただしHondaはセダン、MGはSUVで需要・車格・価格帯が異なる。中国系BEVと日本系HEVの差を企業国籍の効果とみなすことはできない。</x:v>
      </x:c>
    </x:row>
    <x:row r="63" ht="24" customHeight="1">
      <x:c r="A63" s="42" t="str">
        <x:v>仮説：新車値下げが残価を押す</x:v>
      </x:c>
      <x:c r="B63" s="42" t="str">
        <x:v>仮説：新車値下げが残価を押す</x:v>
      </x:c>
      <x:c r="C63" s="38" t="str">
        <x:v>同型新車が安くなるほど、中古車に必要な値差が広がりうる。Atto 3では新車値下げを一次資料で確認。ただし中古価格の時系列と同時点の新車実売価格がないため、波及率・原因別寄与は未推定。</x:v>
      </x:c>
      <x:c r="D63" s="38" t="str">
        <x:v>同型新車が安くなるほど、中古車に必要な値差が広がりうる。Atto 3では新車値下げを一次資料で確認。ただし中古価格の時系列と同時点の新車実売価格がないため、波及率・原因別寄与は未推定。</x:v>
      </x:c>
      <x:c r="E63" s="38" t="str">
        <x:v>同型新車が安くなるほど、中古車に必要な値差が広がりうる。Atto 3では新車値下げを一次資料で確認。ただし中古価格の時系列と同時点の新車実売価格がないため、波及率・原因別寄与は未推定。</x:v>
      </x:c>
      <x:c r="F63" s="38" t="str">
        <x:v>同型新車が安くなるほど、中古車に必要な値差が広がりうる。Atto 3では新車値下げを一次資料で確認。ただし中古価格の時系列と同時点の新車実売価格がないため、波及率・原因別寄与は未推定。</x:v>
      </x:c>
      <x:c r="G63" s="38" t="str">
        <x:v>同型新車が安くなるほど、中古車に必要な値差が広がりうる。Atto 3では新車値下げを一次資料で確認。ただし中古価格の時系列と同時点の新車実売価格がないため、波及率・原因別寄与は未推定。</x:v>
      </x:c>
      <x:c r="H63" s="38" t="str">
        <x:v>同型新車が安くなるほど、中古車に必要な値差が広がりうる。Atto 3では新車値下げを一次資料で確認。ただし中古価格の時系列と同時点の新車実売価格がないため、波及率・原因別寄与は未推定。</x:v>
      </x:c>
      <x:c r="I63" s="38" t="str">
        <x:v>同型新車が安くなるほど、中古車に必要な値差が広がりうる。Atto 3では新車値下げを一次資料で確認。ただし中古価格の時系列と同時点の新車実売価格がないため、波及率・原因別寄与は未推定。</x:v>
      </x:c>
      <x:c r="J63" s="38" t="str">
        <x:v>同型新車が安くなるほど、中古車に必要な値差が広がりうる。Atto 3では新車値下げを一次資料で確認。ただし中古価格の時系列と同時点の新車実売価格がないため、波及率・原因別寄与は未推定。</x:v>
      </x:c>
    </x:row>
    <x:row r="64" ht="24" customHeight="1">
      <x:c r="A64" s="42" t="str">
        <x:v>仮説：新車値下げが残価を押す</x:v>
      </x:c>
      <x:c r="B64" s="42" t="str">
        <x:v>仮説：新車値下げが残価を押す</x:v>
      </x:c>
      <x:c r="C64" s="38" t="str">
        <x:v>同型新車が安くなるほど、中古車に必要な値差が広がりうる。Atto 3では新車値下げを一次資料で確認。ただし中古価格の時系列と同時点の新車実売価格がないため、波及率・原因別寄与は未推定。</x:v>
      </x:c>
      <x:c r="D64" s="38" t="str">
        <x:v>同型新車が安くなるほど、中古車に必要な値差が広がりうる。Atto 3では新車値下げを一次資料で確認。ただし中古価格の時系列と同時点の新車実売価格がないため、波及率・原因別寄与は未推定。</x:v>
      </x:c>
      <x:c r="E64" s="38" t="str">
        <x:v>同型新車が安くなるほど、中古車に必要な値差が広がりうる。Atto 3では新車値下げを一次資料で確認。ただし中古価格の時系列と同時点の新車実売価格がないため、波及率・原因別寄与は未推定。</x:v>
      </x:c>
      <x:c r="F64" s="38" t="str">
        <x:v>同型新車が安くなるほど、中古車に必要な値差が広がりうる。Atto 3では新車値下げを一次資料で確認。ただし中古価格の時系列と同時点の新車実売価格がないため、波及率・原因別寄与は未推定。</x:v>
      </x:c>
      <x:c r="G64" s="38" t="str">
        <x:v>同型新車が安くなるほど、中古車に必要な値差が広がりうる。Atto 3では新車値下げを一次資料で確認。ただし中古価格の時系列と同時点の新車実売価格がないため、波及率・原因別寄与は未推定。</x:v>
      </x:c>
      <x:c r="H64" s="38" t="str">
        <x:v>同型新車が安くなるほど、中古車に必要な値差が広がりうる。Atto 3では新車値下げを一次資料で確認。ただし中古価格の時系列と同時点の新車実売価格がないため、波及率・原因別寄与は未推定。</x:v>
      </x:c>
      <x:c r="I64" s="38" t="str">
        <x:v>同型新車が安くなるほど、中古車に必要な値差が広がりうる。Atto 3では新車値下げを一次資料で確認。ただし中古価格の時系列と同時点の新車実売価格がないため、波及率・原因別寄与は未推定。</x:v>
      </x:c>
      <x:c r="J64" s="38" t="str">
        <x:v>同型新車が安くなるほど、中古車に必要な値差が広がりうる。Atto 3では新車値下げを一次資料で確認。ただし中古価格の時系列と同時点の新車実売価格がないため、波及率・原因別寄与は未推定。</x:v>
      </x:c>
    </x:row>
    <x:row r="65" ht="24" customHeight="1">
      <x:c r="A65" s="42" t="str">
        <x:v>仮説：新車値下げが残価を押す</x:v>
      </x:c>
      <x:c r="B65" s="42" t="str">
        <x:v>仮説：新車値下げが残価を押す</x:v>
      </x:c>
      <x:c r="C65" s="38" t="str">
        <x:v>同型新車が安くなるほど、中古車に必要な値差が広がりうる。Atto 3では新車値下げを一次資料で確認。ただし中古価格の時系列と同時点の新車実売価格がないため、波及率・原因別寄与は未推定。</x:v>
      </x:c>
      <x:c r="D65" s="38" t="str">
        <x:v>同型新車が安くなるほど、中古車に必要な値差が広がりうる。Atto 3では新車値下げを一次資料で確認。ただし中古価格の時系列と同時点の新車実売価格がないため、波及率・原因別寄与は未推定。</x:v>
      </x:c>
      <x:c r="E65" s="38" t="str">
        <x:v>同型新車が安くなるほど、中古車に必要な値差が広がりうる。Atto 3では新車値下げを一次資料で確認。ただし中古価格の時系列と同時点の新車実売価格がないため、波及率・原因別寄与は未推定。</x:v>
      </x:c>
      <x:c r="F65" s="38" t="str">
        <x:v>同型新車が安くなるほど、中古車に必要な値差が広がりうる。Atto 3では新車値下げを一次資料で確認。ただし中古価格の時系列と同時点の新車実売価格がないため、波及率・原因別寄与は未推定。</x:v>
      </x:c>
      <x:c r="G65" s="38" t="str">
        <x:v>同型新車が安くなるほど、中古車に必要な値差が広がりうる。Atto 3では新車値下げを一次資料で確認。ただし中古価格の時系列と同時点の新車実売価格がないため、波及率・原因別寄与は未推定。</x:v>
      </x:c>
      <x:c r="H65" s="38" t="str">
        <x:v>同型新車が安くなるほど、中古車に必要な値差が広がりうる。Atto 3では新車値下げを一次資料で確認。ただし中古価格の時系列と同時点の新車実売価格がないため、波及率・原因別寄与は未推定。</x:v>
      </x:c>
      <x:c r="I65" s="38" t="str">
        <x:v>同型新車が安くなるほど、中古車に必要な値差が広がりうる。Atto 3では新車値下げを一次資料で確認。ただし中古価格の時系列と同時点の新車実売価格がないため、波及率・原因別寄与は未推定。</x:v>
      </x:c>
      <x:c r="J65" s="38" t="str">
        <x:v>同型新車が安くなるほど、中古車に必要な値差が広がりうる。Atto 3では新車値下げを一次資料で確認。ただし中古価格の時系列と同時点の新車実売価格がないため、波及率・原因別寄与は未推定。</x:v>
      </x:c>
    </x:row>
    <x:row r="66" ht="24" customHeight="1">
      <x:c r="A66" s="42" t="str">
        <x:v>仮説：評価の不確実性が残る</x:v>
      </x:c>
      <x:c r="B66" s="42" t="str">
        <x:v>仮説：評価の不確実性が残る</x:v>
      </x:c>
      <x:c r="C66" s="38" t="str">
        <x:v>BEV・HEVのSOH数値が全4掲載で確認できず、保証移転や修理費への不確実性が買い手の評価を下げる可能性がある。SOH未掲載は劣化の証拠ではない。この調査から電池劣化率は推定しない。</x:v>
      </x:c>
      <x:c r="D66" s="38" t="str">
        <x:v>BEV・HEVのSOH数値が全4掲載で確認できず、保証移転や修理費への不確実性が買い手の評価を下げる可能性がある。SOH未掲載は劣化の証拠ではない。この調査から電池劣化率は推定しない。</x:v>
      </x:c>
      <x:c r="E66" s="38" t="str">
        <x:v>BEV・HEVのSOH数値が全4掲載で確認できず、保証移転や修理費への不確実性が買い手の評価を下げる可能性がある。SOH未掲載は劣化の証拠ではない。この調査から電池劣化率は推定しない。</x:v>
      </x:c>
      <x:c r="F66" s="38" t="str">
        <x:v>BEV・HEVのSOH数値が全4掲載で確認できず、保証移転や修理費への不確実性が買い手の評価を下げる可能性がある。SOH未掲載は劣化の証拠ではない。この調査から電池劣化率は推定しない。</x:v>
      </x:c>
      <x:c r="G66" s="38" t="str">
        <x:v>BEV・HEVのSOH数値が全4掲載で確認できず、保証移転や修理費への不確実性が買い手の評価を下げる可能性がある。SOH未掲載は劣化の証拠ではない。この調査から電池劣化率は推定しない。</x:v>
      </x:c>
      <x:c r="H66" s="38" t="str">
        <x:v>BEV・HEVのSOH数値が全4掲載で確認できず、保証移転や修理費への不確実性が買い手の評価を下げる可能性がある。SOH未掲載は劣化の証拠ではない。この調査から電池劣化率は推定しない。</x:v>
      </x:c>
      <x:c r="I66" s="38" t="str">
        <x:v>BEV・HEVのSOH数値が全4掲載で確認できず、保証移転や修理費への不確実性が買い手の評価を下げる可能性がある。SOH未掲載は劣化の証拠ではない。この調査から電池劣化率は推定しない。</x:v>
      </x:c>
      <x:c r="J66" s="38" t="str">
        <x:v>BEV・HEVのSOH数値が全4掲載で確認できず、保証移転や修理費への不確実性が買い手の評価を下げる可能性がある。SOH未掲載は劣化の証拠ではない。この調査から電池劣化率は推定しない。</x:v>
      </x:c>
    </x:row>
    <x:row r="67" ht="24" customHeight="1">
      <x:c r="A67" s="42" t="str">
        <x:v>仮説：評価の不確実性が残る</x:v>
      </x:c>
      <x:c r="B67" s="42" t="str">
        <x:v>仮説：評価の不確実性が残る</x:v>
      </x:c>
      <x:c r="C67" s="38" t="str">
        <x:v>BEV・HEVのSOH数値が全4掲載で確認できず、保証移転や修理費への不確実性が買い手の評価を下げる可能性がある。SOH未掲載は劣化の証拠ではない。この調査から電池劣化率は推定しない。</x:v>
      </x:c>
      <x:c r="D67" s="38" t="str">
        <x:v>BEV・HEVのSOH数値が全4掲載で確認できず、保証移転や修理費への不確実性が買い手の評価を下げる可能性がある。SOH未掲載は劣化の証拠ではない。この調査から電池劣化率は推定しない。</x:v>
      </x:c>
      <x:c r="E67" s="38" t="str">
        <x:v>BEV・HEVのSOH数値が全4掲載で確認できず、保証移転や修理費への不確実性が買い手の評価を下げる可能性がある。SOH未掲載は劣化の証拠ではない。この調査から電池劣化率は推定しない。</x:v>
      </x:c>
      <x:c r="F67" s="38" t="str">
        <x:v>BEV・HEVのSOH数値が全4掲載で確認できず、保証移転や修理費への不確実性が買い手の評価を下げる可能性がある。SOH未掲載は劣化の証拠ではない。この調査から電池劣化率は推定しない。</x:v>
      </x:c>
      <x:c r="G67" s="38" t="str">
        <x:v>BEV・HEVのSOH数値が全4掲載で確認できず、保証移転や修理費への不確実性が買い手の評価を下げる可能性がある。SOH未掲載は劣化の証拠ではない。この調査から電池劣化率は推定しない。</x:v>
      </x:c>
      <x:c r="H67" s="38" t="str">
        <x:v>BEV・HEVのSOH数値が全4掲載で確認できず、保証移転や修理費への不確実性が買い手の評価を下げる可能性がある。SOH未掲載は劣化の証拠ではない。この調査から電池劣化率は推定しない。</x:v>
      </x:c>
      <x:c r="I67" s="38" t="str">
        <x:v>BEV・HEVのSOH数値が全4掲載で確認できず、保証移転や修理費への不確実性が買い手の評価を下げる可能性がある。SOH未掲載は劣化の証拠ではない。この調査から電池劣化率は推定しない。</x:v>
      </x:c>
      <x:c r="J67" s="38" t="str">
        <x:v>BEV・HEVのSOH数値が全4掲載で確認できず、保証移転や修理費への不確実性が買い手の評価を下げる可能性がある。SOH未掲載は劣化の証拠ではない。この調査から電池劣化率は推定しない。</x:v>
      </x:c>
    </x:row>
    <x:row r="68" ht="24" customHeight="1">
      <x:c r="A68" s="42" t="str">
        <x:v>仮説：評価の不確実性が残る</x:v>
      </x:c>
      <x:c r="B68" s="42" t="str">
        <x:v>仮説：評価の不確実性が残る</x:v>
      </x:c>
      <x:c r="C68" s="38" t="str">
        <x:v>BEV・HEVのSOH数値が全4掲載で確認できず、保証移転や修理費への不確実性が買い手の評価を下げる可能性がある。SOH未掲載は劣化の証拠ではない。この調査から電池劣化率は推定しない。</x:v>
      </x:c>
      <x:c r="D68" s="38" t="str">
        <x:v>BEV・HEVのSOH数値が全4掲載で確認できず、保証移転や修理費への不確実性が買い手の評価を下げる可能性がある。SOH未掲載は劣化の証拠ではない。この調査から電池劣化率は推定しない。</x:v>
      </x:c>
      <x:c r="E68" s="38" t="str">
        <x:v>BEV・HEVのSOH数値が全4掲載で確認できず、保証移転や修理費への不確実性が買い手の評価を下げる可能性がある。SOH未掲載は劣化の証拠ではない。この調査から電池劣化率は推定しない。</x:v>
      </x:c>
      <x:c r="F68" s="38" t="str">
        <x:v>BEV・HEVのSOH数値が全4掲載で確認できず、保証移転や修理費への不確実性が買い手の評価を下げる可能性がある。SOH未掲載は劣化の証拠ではない。この調査から電池劣化率は推定しない。</x:v>
      </x:c>
      <x:c r="G68" s="38" t="str">
        <x:v>BEV・HEVのSOH数値が全4掲載で確認できず、保証移転や修理費への不確実性が買い手の評価を下げる可能性がある。SOH未掲載は劣化の証拠ではない。この調査から電池劣化率は推定しない。</x:v>
      </x:c>
      <x:c r="H68" s="38" t="str">
        <x:v>BEV・HEVのSOH数値が全4掲載で確認できず、保証移転や修理費への不確実性が買い手の評価を下げる可能性がある。SOH未掲載は劣化の証拠ではない。この調査から電池劣化率は推定しない。</x:v>
      </x:c>
      <x:c r="I68" s="38" t="str">
        <x:v>BEV・HEVのSOH数値が全4掲載で確認できず、保証移転や修理費への不確実性が買い手の評価を下げる可能性がある。SOH未掲載は劣化の証拠ではない。この調査から電池劣化率は推定しない。</x:v>
      </x:c>
      <x:c r="J68" s="38" t="str">
        <x:v>BEV・HEVのSOH数値が全4掲載で確認できず、保証移転や修理費への不確実性が買い手の評価を下げる可能性がある。SOH未掲載は劣化の証拠ではない。この調査から電池劣化率は推定しない。</x:v>
      </x:c>
    </x:row>
    <x:row r="69" ht="24" customHeight="1">
      <x:c r="A69" s="42" t="str">
        <x:v>事業への含意</x:v>
      </x:c>
      <x:c r="B69" s="42" t="str">
        <x:v>事業への含意</x:v>
      </x:c>
      <x:c r="C69"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D69"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E69"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F69"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G69"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H69"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I69"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J69"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row>
    <x:row r="70" ht="24" customHeight="1">
      <x:c r="A70" s="42" t="str">
        <x:v>事業への含意</x:v>
      </x:c>
      <x:c r="B70" s="42" t="str">
        <x:v>事業への含意</x:v>
      </x:c>
      <x:c r="C70"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D70"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E70"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F70"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G70"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H70"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I70"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J70"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row>
    <x:row r="71" ht="24" customHeight="1">
      <x:c r="A71" s="42" t="str">
        <x:v>事業への含意</x:v>
      </x:c>
      <x:c r="B71" s="42" t="str">
        <x:v>事業への含意</x:v>
      </x:c>
      <x:c r="C71"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D71"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E71"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F71"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G71"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H71"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I71"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c r="J71" s="38" t="str">
        <x:v>低い買取残価なら、旧在庫を高値で仕入れた販売店の損失や、ローン残債が売却額を上回る可能性がある。消費者には中古EVの購入費低下という利点もある。本表は売価なので業者マージン・買取損失は計算できない。</x:v>
      </x:c>
    </x:row>
    <x:row r="72" ht="24" customHeight="1">
      <x:c r="A72" s="2"/>
      <x:c r="B72" s="2"/>
      <x:c r="C72" s="2"/>
      <x:c r="D72" s="2"/>
      <x:c r="E72" s="2"/>
      <x:c r="F72" s="2"/>
      <x:c r="G72" s="2"/>
      <x:c r="H72" s="2"/>
      <x:c r="I72" s="2"/>
      <x:c r="J72" s="2"/>
    </x:row>
    <x:row r="73" ht="24" customHeight="1">
      <x:c r="A73"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B73"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C73"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D73"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E73"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F73"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G73"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H73"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I73"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J73"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row>
    <x:row r="74" ht="24" customHeight="1">
      <x:c r="A74"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B74"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C74"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D74"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E74"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F74"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G74"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H74"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I74"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J74"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row>
    <x:row r="75" ht="24" customHeight="1">
      <x:c r="A75"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B75"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C75"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D75"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E75"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F75"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G75"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H75"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I75"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c r="J75" s="7" t="str">
        <x:v>山田コンサルとの接続：公開記事は、中国系EVの供給増と新車値下げが中古市場にも圧力をかけ、電池評価の難しさも中古EVの値下がりに関係しうると論じる。本調査のBEV2例の低残価はその問題意識と整合的だが、ICEへの価格波及や供給増の因果効果までは検証していない。</x:v>
      </x:c>
    </x:row>
    <x:row r="76" ht="24" customHeight="1">
      <x:c r="A76" s="44" t="str">
        <x:v>https://www.ycg-advisory.jp/learning/oversea_210/</x:v>
      </x:c>
      <x:c r="B76" s="44" t="str">
        <x:v>https://www.ycg-advisory.jp/learning/oversea_210/</x:v>
      </x:c>
      <x:c r="C76" s="44" t="str">
        <x:v>https://www.ycg-advisory.jp/learning/oversea_210/</x:v>
      </x:c>
      <x:c r="D76" s="44" t="str">
        <x:v>https://www.ycg-advisory.jp/learning/oversea_210/</x:v>
      </x:c>
      <x:c r="E76" s="44" t="str">
        <x:v>https://www.ycg-advisory.jp/learning/oversea_210/</x:v>
      </x:c>
      <x:c r="F76" s="44" t="str">
        <x:v>https://www.ycg-advisory.jp/learning/oversea_210/</x:v>
      </x:c>
      <x:c r="G76" s="44" t="str">
        <x:v>https://www.ycg-advisory.jp/learning/oversea_210/</x:v>
      </x:c>
      <x:c r="H76" s="44" t="str">
        <x:v>https://www.ycg-advisory.jp/learning/oversea_210/</x:v>
      </x:c>
      <x:c r="I76" s="44" t="str">
        <x:v>https://www.ycg-advisory.jp/learning/oversea_210/</x:v>
      </x:c>
      <x:c r="J76" s="44" t="str">
        <x:v>https://www.ycg-advisory.jp/learning/oversea_210/</x:v>
      </x:c>
    </x:row>
    <x:row r="77" ht="24" customHeight="1">
      <x:c r="A77" s="44" t="str">
        <x:v>https://www.ycg-advisory.jp/learning/oversea_210/</x:v>
      </x:c>
      <x:c r="B77" s="44" t="str">
        <x:v>https://www.ycg-advisory.jp/learning/oversea_210/</x:v>
      </x:c>
      <x:c r="C77" s="44" t="str">
        <x:v>https://www.ycg-advisory.jp/learning/oversea_210/</x:v>
      </x:c>
      <x:c r="D77" s="44" t="str">
        <x:v>https://www.ycg-advisory.jp/learning/oversea_210/</x:v>
      </x:c>
      <x:c r="E77" s="44" t="str">
        <x:v>https://www.ycg-advisory.jp/learning/oversea_210/</x:v>
      </x:c>
      <x:c r="F77" s="44" t="str">
        <x:v>https://www.ycg-advisory.jp/learning/oversea_210/</x:v>
      </x:c>
      <x:c r="G77" s="44" t="str">
        <x:v>https://www.ycg-advisory.jp/learning/oversea_210/</x:v>
      </x:c>
      <x:c r="H77" s="44" t="str">
        <x:v>https://www.ycg-advisory.jp/learning/oversea_210/</x:v>
      </x:c>
      <x:c r="I77" s="44" t="str">
        <x:v>https://www.ycg-advisory.jp/learning/oversea_210/</x:v>
      </x:c>
      <x:c r="J77" s="44" t="str">
        <x:v>https://www.ycg-advisory.jp/learning/oversea_210/</x:v>
      </x:c>
    </x:row>
    <x:row r="78" ht="24" customHeight="1">
      <x:c r="A78" s="2"/>
      <x:c r="B78" s="2"/>
      <x:c r="C78" s="2"/>
      <x:c r="D78" s="2"/>
      <x:c r="E78" s="2"/>
      <x:c r="F78" s="2"/>
      <x:c r="G78" s="2"/>
      <x:c r="H78" s="2"/>
      <x:c r="I78" s="2"/>
      <x:c r="J78" s="2"/>
    </x:row>
    <x:row r="79" ht="24" customHeight="1">
      <x:c r="A79" s="10" t="str">
        <x:v>残価比較ラベル</x:v>
      </x:c>
      <x:c r="B79" s="10" t="str">
        <x:v>主残価率</x:v>
      </x:c>
      <x:c r="C79" s="2"/>
      <x:c r="D79" s="10" t="str">
        <x:v>価格の段階</x:v>
      </x:c>
      <x:c r="E79" s="10" t="str">
        <x:v>千THB</x:v>
      </x:c>
      <x:c r="F79" s="2"/>
      <x:c r="G79" s="2"/>
      <x:c r="H79" s="2"/>
      <x:c r="I79" s="2"/>
      <x:c r="J79" s="2"/>
    </x:row>
    <x:row r="80" ht="24" customHeight="1">
      <x:c r="A80" s="2" t="str">
        <x:v>BYD Atto 3 Extended / BEV</x:v>
      </x:c>
      <x:c r="B80" s="33" t="n">
        <x:f>'個別データ'!T6</x:f>
        <x:v>0.4158679889990833</x:v>
      </x:c>
      <x:c r="C80" s="2"/>
      <x:c r="D80" s="2" t="str">
        <x:v>旧通常 / MY23</x:v>
      </x:c>
      <x:c r="E80" s="36" t="n">
        <x:f>'個別データ'!O6/1000</x:f>
        <x:v>1199.9</x:v>
      </x:c>
      <x:c r="F80" s="2"/>
      <x:c r="G80" s="2"/>
      <x:c r="H80" s="2"/>
      <x:c r="I80" s="2"/>
      <x:c r="J80" s="2"/>
    </x:row>
    <x:row r="81" ht="24" customHeight="1">
      <x:c r="A81" s="2" t="str">
        <x:v>MG ZS EV X / BEV</x:v>
      </x:c>
      <x:c r="B81" s="33" t="n">
        <x:f>'個別データ'!T7</x:f>
        <x:v>0.39002932551319647</x:v>
      </x:c>
      <x:c r="C81" s="2"/>
      <x:c r="D81" s="2" t="str">
        <x:v>新車特価 / 2024年7月</x:v>
      </x:c>
      <x:c r="E81" s="36" t="n">
        <x:f>'個別データ'!B21/1000</x:f>
        <x:v>859.9</x:v>
      </x:c>
      <x:c r="F81" s="2"/>
      <x:c r="G81" s="2"/>
      <x:c r="H81" s="2"/>
      <x:c r="I81" s="2"/>
      <x:c r="J81" s="2"/>
    </x:row>
    <x:row r="82" ht="24" customHeight="1">
      <x:c r="A82" s="2" t="str">
        <x:v>MG ZS 1.5 X / ICE</x:v>
      </x:c>
      <x:c r="B82" s="33" t="n">
        <x:f>'個別データ'!T8</x:f>
        <x:v>0.5243741765480896</x:v>
      </x:c>
      <x:c r="C82" s="2"/>
      <x:c r="D82" s="2" t="str">
        <x:v>中古掲載 / 2026年9月</x:v>
      </x:c>
      <x:c r="E82" s="36" t="n">
        <x:f>'個別データ'!R6/1000</x:f>
        <x:v>499</x:v>
      </x:c>
      <x:c r="F82" s="2"/>
      <x:c r="G82" s="2"/>
      <x:c r="H82" s="2"/>
      <x:c r="I82" s="2"/>
      <x:c r="J82" s="2"/>
    </x:row>
    <x:row r="83" ht="24" customHeight="1">
      <x:c r="A83" s="2" t="str">
        <x:v>Haval H6 HEV Ultra / HEV</x:v>
      </x:c>
      <x:c r="B83" s="33" t="n">
        <x:f>'個別データ'!T9</x:f>
        <x:v>0.47368421052631576</x:v>
      </x:c>
      <x:c r="C83" s="2"/>
      <x:c r="D83" s="2"/>
      <x:c r="E83" s="2"/>
      <x:c r="F83" s="2"/>
      <x:c r="G83" s="2"/>
      <x:c r="H83" s="2"/>
      <x:c r="I83" s="2"/>
      <x:c r="J83" s="2"/>
    </x:row>
    <x:row r="84" ht="24" customHeight="1">
      <x:c r="A84" s="2" t="str">
        <x:v>Corolla Cross GR / HEV</x:v>
      </x:c>
      <x:c r="B84" s="33" t="n">
        <x:f>'個別データ'!T10</x:f>
        <x:v>0.6690590111642744</x:v>
      </x:c>
      <x:c r="C84" s="2"/>
      <x:c r="D84"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E84"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F84"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G84"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H84"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I84"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J84"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row>
    <x:row r="85" ht="24" customHeight="1">
      <x:c r="A85" s="2" t="str">
        <x:v>Honda City Turbo V / ICE</x:v>
      </x:c>
      <x:c r="B85" s="33" t="n">
        <x:f>'個別データ'!T11</x:f>
        <x:v>0.6223316912972086</x:v>
      </x:c>
      <x:c r="C85" s="2"/>
      <x:c r="D85"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E85"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F85"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G85"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H85"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I85"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J85"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row>
    <x:row r="86" ht="24" customHeight="1">
      <x:c r="A86" s="2"/>
      <x:c r="B86" s="2"/>
      <x:c r="C86" s="2"/>
      <x:c r="D86"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E86"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F86"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G86"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H86"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I86"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J86"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row>
    <x:row r="87" ht="24" customHeight="1">
      <x:c r="A87" s="2"/>
      <x:c r="B87" s="2"/>
      <x:c r="C87" s="2"/>
      <x:c r="D87"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E87"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F87"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G87"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H87"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I87"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c r="J87" s="7" t="str">
        <x:v>読み方：全車2023年式だが初度登録月は不明。走行距離は掲載帯をそのまま保存し、40,000kmへの補正はしていない。メーカー・正規店・二次資料を情報主体列で区別。中古車条件は販売店申告で、実査による独立検証ではない。次は同じグレードを複数台、月次価格、SOH・保証・修復歴をそろえて確認する。</x:v>
      </x:c>
    </x:row>
  </x:sheetData>
  <x:mergeCells>
    <x:mergeCell ref="A1:J1"/>
    <x:mergeCell ref="A2:J3"/>
    <x:mergeCell ref="A12:J13"/>
    <x:mergeCell ref="A33:J33"/>
    <x:mergeCell ref="G35:J39"/>
    <x:mergeCell ref="G40:J44"/>
    <x:mergeCell ref="G45:J50"/>
    <x:mergeCell ref="A52:J52"/>
    <x:mergeCell ref="A54:B56"/>
    <x:mergeCell ref="C54:J56"/>
    <x:mergeCell ref="A57:B59"/>
    <x:mergeCell ref="C57:J59"/>
    <x:mergeCell ref="A60:B62"/>
    <x:mergeCell ref="C60:J62"/>
    <x:mergeCell ref="A63:B65"/>
    <x:mergeCell ref="C63:J65"/>
    <x:mergeCell ref="A66:B68"/>
    <x:mergeCell ref="C66:J68"/>
    <x:mergeCell ref="A69:B71"/>
    <x:mergeCell ref="C69:J71"/>
    <x:mergeCell ref="A73:J75"/>
    <x:mergeCell ref="A76:J77"/>
    <x:mergeCell ref="D84:J87"/>
  </x:mergeCells>
  <x:pageMargins left="0.7" right="0.7" top="0.75" bottom="0.75" header="0.3" footer="0.3"/>
  <x:drawing xmlns:r="http://schemas.openxmlformats.org/officeDocument/2006/relationships" r:id="R645d93f81c644243"/>
</x:worksheet>
</file>

<file path=xl/worksheets/sheet2.xml><?xml version="1.0" encoding="utf-8"?>
<x:worksheet xmlns:x="http://schemas.openxmlformats.org/spreadsheetml/2006/main">
  <x:sheetViews>
    <x:sheetView showGridLines="0" workbookViewId="0">
      <x:pane xSplit="4" ySplit="5" topLeftCell="E6" activePane="bottomRight" state="frozen"/>
    </x:sheetView>
  </x:sheetViews>
  <x:sheetFormatPr defaultRowHeight="15"/>
  <x:cols>
    <x:col min="1" max="1" width="10" hidden="0" customWidth="1"/>
    <x:col min="2" max="2" width="10" hidden="0" customWidth="1"/>
    <x:col min="3" max="3" width="10" hidden="0" customWidth="1"/>
    <x:col min="4" max="4" width="10" hidden="0" customWidth="1"/>
    <x:col min="5" max="5" width="23" hidden="0" customWidth="1"/>
    <x:col min="6" max="6" width="16" hidden="0" customWidth="1"/>
    <x:col min="7" max="7" width="16" hidden="0" customWidth="1"/>
    <x:col min="8" max="8" width="29" hidden="0" customWidth="1"/>
    <x:col min="9" max="9" width="12" hidden="0" customWidth="1"/>
    <x:col min="10" max="10" width="12" hidden="0" customWidth="1"/>
    <x:col min="11" max="11" width="16" hidden="0" customWidth="1"/>
    <x:col min="12" max="12" width="16" hidden="0" customWidth="1"/>
    <x:col min="13" max="13" width="55" hidden="0" customWidth="1"/>
    <x:col min="14" max="14" width="55" hidden="0" customWidth="1"/>
    <x:col min="15" max="15" width="19" hidden="0" customWidth="1"/>
    <x:col min="16" max="16" width="19" hidden="0" customWidth="1"/>
    <x:col min="17" max="17" width="19" hidden="0" customWidth="1"/>
    <x:col min="18" max="18" width="19" hidden="0" customWidth="1"/>
    <x:col min="19" max="19" width="19" hidden="0" customWidth="1"/>
    <x:col min="20" max="20" width="19" hidden="0" customWidth="1"/>
    <x:col min="21" max="21" width="19" hidden="0" customWidth="1"/>
    <x:col min="22" max="22" width="19" hidden="0" customWidth="1"/>
    <x:col min="23" max="23" width="16" hidden="0" customWidth="1"/>
    <x:col min="24" max="24" width="16" hidden="0" customWidth="1"/>
    <x:col min="25" max="25" width="16" hidden="0" customWidth="1"/>
    <x:col min="26" max="26" width="74" hidden="0" customWidth="1"/>
    <x:col min="27" max="27" width="74" hidden="0" customWidth="1"/>
    <x:col min="28" max="28" width="42" hidden="0" customWidth="1"/>
    <x:col min="29" max="29" width="66" hidden="0" customWidth="1"/>
    <x:col min="30" max="30" width="74" hidden="0" customWidth="1"/>
    <x:col min="31" max="31" width="28" hidden="0" customWidth="1"/>
  </x:cols>
  <x:sheetData>
    <x:row r="1" ht="24" customHeight="1">
      <x:c r="A1" s="4" t="str">
        <x:v>タイ中古車6事例：原データと残価計算</x:v>
      </x:c>
      <x:c r="B1" s="4" t="str">
        <x:v>タイ中古車6事例：原データと残価計算</x:v>
      </x:c>
      <x:c r="C1" s="4" t="str">
        <x:v>タイ中古車6事例：原データと残価計算</x:v>
      </x:c>
      <x:c r="D1" s="4" t="str">
        <x:v>タイ中古車6事例：原データと残価計算</x:v>
      </x:c>
      <x:c r="E1" s="4" t="str">
        <x:v>タイ中古車6事例：原データと残価計算</x:v>
      </x:c>
      <x:c r="F1" s="4" t="str">
        <x:v>タイ中古車6事例：原データと残価計算</x:v>
      </x:c>
      <x:c r="G1" s="4" t="str">
        <x:v>タイ中古車6事例：原データと残価計算</x:v>
      </x:c>
      <x:c r="H1" s="4" t="str">
        <x:v>タイ中古車6事例：原データと残価計算</x:v>
      </x:c>
      <x:c r="I1" s="4" t="str">
        <x:v>タイ中古車6事例：原データと残価計算</x:v>
      </x:c>
      <x:c r="J1" s="4" t="str">
        <x:v>タイ中古車6事例：原データと残価計算</x:v>
      </x:c>
      <x:c r="K1" s="4" t="str">
        <x:v>タイ中古車6事例：原データと残価計算</x:v>
      </x:c>
      <x:c r="L1" s="4" t="str">
        <x:v>タイ中古車6事例：原データと残価計算</x:v>
      </x:c>
      <x:c r="M1" s="4" t="str">
        <x:v>タイ中古車6事例：原データと残価計算</x:v>
      </x:c>
      <x:c r="N1" s="4" t="str">
        <x:v>タイ中古車6事例：原データと残価計算</x:v>
      </x:c>
      <x:c r="O1" s="4" t="str">
        <x:v>タイ中古車6事例：原データと残価計算</x:v>
      </x:c>
      <x:c r="P1" s="4" t="str">
        <x:v>タイ中古車6事例：原データと残価計算</x:v>
      </x:c>
      <x:c r="Q1" s="4" t="str">
        <x:v>タイ中古車6事例：原データと残価計算</x:v>
      </x:c>
      <x:c r="R1" s="4" t="str">
        <x:v>タイ中古車6事例：原データと残価計算</x:v>
      </x:c>
      <x:c r="S1" s="4" t="str">
        <x:v>タイ中古車6事例：原データと残価計算</x:v>
      </x:c>
      <x:c r="T1" s="4" t="str">
        <x:v>タイ中古車6事例：原データと残価計算</x:v>
      </x:c>
      <x:c r="U1" s="2"/>
      <x:c r="V1" s="2"/>
      <x:c r="W1" s="2"/>
      <x:c r="X1" s="2"/>
      <x:c r="Y1" s="2"/>
      <x:c r="Z1" s="2"/>
      <x:c r="AA1" s="2"/>
      <x:c r="AB1" s="2"/>
      <x:c r="AC1" s="2"/>
      <x:c r="AD1" s="2"/>
      <x:c r="AE1" s="2"/>
    </x:row>
    <x:row r="2" ht="24" customHeight="1">
      <x:c r="A2" s="7" t="str">
        <x:v>確認日2026/10/07。2023年式・走行距離35–45千kmを中心に採録。MG ZS EVのみ25–30千km。価格はTHB、販売店の掲載売価。メーカー希望価格相当の当時公表通常価格を採録し、BEVの政策支援後基準も併記。</x:v>
      </x:c>
      <x:c r="B2" s="7" t="str">
        <x:v>確認日2026/10/07。2023年式・走行距離35–45千kmを中心に採録。MG ZS EVのみ25–30千km。価格はTHB、販売店の掲載売価。メーカー希望価格相当の当時公表通常価格を採録し、BEVの政策支援後基準も併記。</x:v>
      </x:c>
      <x:c r="C2" s="7" t="str">
        <x:v>確認日2026/10/07。2023年式・走行距離35–45千kmを中心に採録。MG ZS EVのみ25–30千km。価格はTHB、販売店の掲載売価。メーカー希望価格相当の当時公表通常価格を採録し、BEVの政策支援後基準も併記。</x:v>
      </x:c>
      <x:c r="D2" s="7" t="str">
        <x:v>確認日2026/10/07。2023年式・走行距離35–45千kmを中心に採録。MG ZS EVのみ25–30千km。価格はTHB、販売店の掲載売価。メーカー希望価格相当の当時公表通常価格を採録し、BEVの政策支援後基準も併記。</x:v>
      </x:c>
      <x:c r="E2" s="7" t="str">
        <x:v>確認日2026/10/07。2023年式・走行距離35–45千kmを中心に採録。MG ZS EVのみ25–30千km。価格はTHB、販売店の掲載売価。メーカー希望価格相当の当時公表通常価格を採録し、BEVの政策支援後基準も併記。</x:v>
      </x:c>
      <x:c r="F2" s="7" t="str">
        <x:v>確認日2026/10/07。2023年式・走行距離35–45千kmを中心に採録。MG ZS EVのみ25–30千km。価格はTHB、販売店の掲載売価。メーカー希望価格相当の当時公表通常価格を採録し、BEVの政策支援後基準も併記。</x:v>
      </x:c>
      <x:c r="G2" s="7" t="str">
        <x:v>確認日2026/10/07。2023年式・走行距離35–45千kmを中心に採録。MG ZS EVのみ25–30千km。価格はTHB、販売店の掲載売価。メーカー希望価格相当の当時公表通常価格を採録し、BEVの政策支援後基準も併記。</x:v>
      </x:c>
      <x:c r="H2" s="7" t="str">
        <x:v>確認日2026/10/07。2023年式・走行距離35–45千kmを中心に採録。MG ZS EVのみ25–30千km。価格はTHB、販売店の掲載売価。メーカー希望価格相当の当時公表通常価格を採録し、BEVの政策支援後基準も併記。</x:v>
      </x:c>
      <x:c r="I2" s="7" t="str">
        <x:v>確認日2026/10/07。2023年式・走行距離35–45千kmを中心に採録。MG ZS EVのみ25–30千km。価格はTHB、販売店の掲載売価。メーカー希望価格相当の当時公表通常価格を採録し、BEVの政策支援後基準も併記。</x:v>
      </x:c>
      <x:c r="J2" s="7" t="str">
        <x:v>確認日2026/10/07。2023年式・走行距離35–45千kmを中心に採録。MG ZS EVのみ25–30千km。価格はTHB、販売店の掲載売価。メーカー希望価格相当の当時公表通常価格を採録し、BEVの政策支援後基準も併記。</x:v>
      </x:c>
      <x:c r="K2" s="7" t="str">
        <x:v>確認日2026/10/07。2023年式・走行距離35–45千kmを中心に採録。MG ZS EVのみ25–30千km。価格はTHB、販売店の掲載売価。メーカー希望価格相当の当時公表通常価格を採録し、BEVの政策支援後基準も併記。</x:v>
      </x:c>
      <x:c r="L2" s="7" t="str">
        <x:v>確認日2026/10/07。2023年式・走行距離35–45千kmを中心に採録。MG ZS EVのみ25–30千km。価格はTHB、販売店の掲載売価。メーカー希望価格相当の当時公表通常価格を採録し、BEVの政策支援後基準も併記。</x:v>
      </x:c>
      <x:c r="M2" s="7" t="str">
        <x:v>確認日2026/10/07。2023年式・走行距離35–45千kmを中心に採録。MG ZS EVのみ25–30千km。価格はTHB、販売店の掲載売価。メーカー希望価格相当の当時公表通常価格を採録し、BEVの政策支援後基準も併記。</x:v>
      </x:c>
      <x:c r="N2" s="7" t="str">
        <x:v>確認日2026/10/07。2023年式・走行距離35–45千kmを中心に採録。MG ZS EVのみ25–30千km。価格はTHB、販売店の掲載売価。メーカー希望価格相当の当時公表通常価格を採録し、BEVの政策支援後基準も併記。</x:v>
      </x:c>
      <x:c r="O2" s="7" t="str">
        <x:v>確認日2026/10/07。2023年式・走行距離35–45千kmを中心に採録。MG ZS EVのみ25–30千km。価格はTHB、販売店の掲載売価。メーカー希望価格相当の当時公表通常価格を採録し、BEVの政策支援後基準も併記。</x:v>
      </x:c>
      <x:c r="P2" s="7" t="str">
        <x:v>確認日2026/10/07。2023年式・走行距離35–45千kmを中心に採録。MG ZS EVのみ25–30千km。価格はTHB、販売店の掲載売価。メーカー希望価格相当の当時公表通常価格を採録し、BEVの政策支援後基準も併記。</x:v>
      </x:c>
      <x:c r="Q2" s="7" t="str">
        <x:v>確認日2026/10/07。2023年式・走行距離35–45千kmを中心に採録。MG ZS EVのみ25–30千km。価格はTHB、販売店の掲載売価。メーカー希望価格相当の当時公表通常価格を採録し、BEVの政策支援後基準も併記。</x:v>
      </x:c>
      <x:c r="R2" s="7" t="str">
        <x:v>確認日2026/10/07。2023年式・走行距離35–45千kmを中心に採録。MG ZS EVのみ25–30千km。価格はTHB、販売店の掲載売価。メーカー希望価格相当の当時公表通常価格を採録し、BEVの政策支援後基準も併記。</x:v>
      </x:c>
      <x:c r="S2" s="7" t="str">
        <x:v>確認日2026/10/07。2023年式・走行距離35–45千kmを中心に採録。MG ZS EVのみ25–30千km。価格はTHB、販売店の掲載売価。メーカー希望価格相当の当時公表通常価格を採録し、BEVの政策支援後基準も併記。</x:v>
      </x:c>
      <x:c r="T2" s="7" t="str">
        <x:v>確認日2026/10/07。2023年式・走行距離35–45千kmを中心に採録。MG ZS EVのみ25–30千km。価格はTHB、販売店の掲載売価。メーカー希望価格相当の当時公表通常価格を採録し、BEVの政策支援後基準も併記。</x:v>
      </x:c>
      <x:c r="U2" s="2"/>
      <x:c r="V2" s="2"/>
      <x:c r="W2" s="2"/>
      <x:c r="X2" s="2"/>
      <x:c r="Y2" s="2"/>
      <x:c r="Z2" s="2"/>
      <x:c r="AA2" s="2"/>
      <x:c r="AB2" s="2"/>
      <x:c r="AC2" s="2"/>
      <x:c r="AD2" s="2"/>
      <x:c r="AE2" s="2"/>
    </x:row>
    <x:row r="3" ht="24" customHeight="1">
      <x:c r="A3" s="7" t="str">
        <x:v>確認日2026/10/07。2023年式・走行距離35–45千kmを中心に採録。MG ZS EVのみ25–30千km。価格はTHB、販売店の掲載売価。メーカー希望価格相当の当時公表通常価格を採録し、BEVの政策支援後基準も併記。</x:v>
      </x:c>
      <x:c r="B3" s="7" t="str">
        <x:v>確認日2026/10/07。2023年式・走行距離35–45千kmを中心に採録。MG ZS EVのみ25–30千km。価格はTHB、販売店の掲載売価。メーカー希望価格相当の当時公表通常価格を採録し、BEVの政策支援後基準も併記。</x:v>
      </x:c>
      <x:c r="C3" s="7" t="str">
        <x:v>確認日2026/10/07。2023年式・走行距離35–45千kmを中心に採録。MG ZS EVのみ25–30千km。価格はTHB、販売店の掲載売価。メーカー希望価格相当の当時公表通常価格を採録し、BEVの政策支援後基準も併記。</x:v>
      </x:c>
      <x:c r="D3" s="7" t="str">
        <x:v>確認日2026/10/07。2023年式・走行距離35–45千kmを中心に採録。MG ZS EVのみ25–30千km。価格はTHB、販売店の掲載売価。メーカー希望価格相当の当時公表通常価格を採録し、BEVの政策支援後基準も併記。</x:v>
      </x:c>
      <x:c r="E3" s="7" t="str">
        <x:v>確認日2026/10/07。2023年式・走行距離35–45千kmを中心に採録。MG ZS EVのみ25–30千km。価格はTHB、販売店の掲載売価。メーカー希望価格相当の当時公表通常価格を採録し、BEVの政策支援後基準も併記。</x:v>
      </x:c>
      <x:c r="F3" s="7" t="str">
        <x:v>確認日2026/10/07。2023年式・走行距離35–45千kmを中心に採録。MG ZS EVのみ25–30千km。価格はTHB、販売店の掲載売価。メーカー希望価格相当の当時公表通常価格を採録し、BEVの政策支援後基準も併記。</x:v>
      </x:c>
      <x:c r="G3" s="7" t="str">
        <x:v>確認日2026/10/07。2023年式・走行距離35–45千kmを中心に採録。MG ZS EVのみ25–30千km。価格はTHB、販売店の掲載売価。メーカー希望価格相当の当時公表通常価格を採録し、BEVの政策支援後基準も併記。</x:v>
      </x:c>
      <x:c r="H3" s="7" t="str">
        <x:v>確認日2026/10/07。2023年式・走行距離35–45千kmを中心に採録。MG ZS EVのみ25–30千km。価格はTHB、販売店の掲載売価。メーカー希望価格相当の当時公表通常価格を採録し、BEVの政策支援後基準も併記。</x:v>
      </x:c>
      <x:c r="I3" s="7" t="str">
        <x:v>確認日2026/10/07。2023年式・走行距離35–45千kmを中心に採録。MG ZS EVのみ25–30千km。価格はTHB、販売店の掲載売価。メーカー希望価格相当の当時公表通常価格を採録し、BEVの政策支援後基準も併記。</x:v>
      </x:c>
      <x:c r="J3" s="7" t="str">
        <x:v>確認日2026/10/07。2023年式・走行距離35–45千kmを中心に採録。MG ZS EVのみ25–30千km。価格はTHB、販売店の掲載売価。メーカー希望価格相当の当時公表通常価格を採録し、BEVの政策支援後基準も併記。</x:v>
      </x:c>
      <x:c r="K3" s="7" t="str">
        <x:v>確認日2026/10/07。2023年式・走行距離35–45千kmを中心に採録。MG ZS EVのみ25–30千km。価格はTHB、販売店の掲載売価。メーカー希望価格相当の当時公表通常価格を採録し、BEVの政策支援後基準も併記。</x:v>
      </x:c>
      <x:c r="L3" s="7" t="str">
        <x:v>確認日2026/10/07。2023年式・走行距離35–45千kmを中心に採録。MG ZS EVのみ25–30千km。価格はTHB、販売店の掲載売価。メーカー希望価格相当の当時公表通常価格を採録し、BEVの政策支援後基準も併記。</x:v>
      </x:c>
      <x:c r="M3" s="7" t="str">
        <x:v>確認日2026/10/07。2023年式・走行距離35–45千kmを中心に採録。MG ZS EVのみ25–30千km。価格はTHB、販売店の掲載売価。メーカー希望価格相当の当時公表通常価格を採録し、BEVの政策支援後基準も併記。</x:v>
      </x:c>
      <x:c r="N3" s="7" t="str">
        <x:v>確認日2026/10/07。2023年式・走行距離35–45千kmを中心に採録。MG ZS EVのみ25–30千km。価格はTHB、販売店の掲載売価。メーカー希望価格相当の当時公表通常価格を採録し、BEVの政策支援後基準も併記。</x:v>
      </x:c>
      <x:c r="O3" s="7" t="str">
        <x:v>確認日2026/10/07。2023年式・走行距離35–45千kmを中心に採録。MG ZS EVのみ25–30千km。価格はTHB、販売店の掲載売価。メーカー希望価格相当の当時公表通常価格を採録し、BEVの政策支援後基準も併記。</x:v>
      </x:c>
      <x:c r="P3" s="7" t="str">
        <x:v>確認日2026/10/07。2023年式・走行距離35–45千kmを中心に採録。MG ZS EVのみ25–30千km。価格はTHB、販売店の掲載売価。メーカー希望価格相当の当時公表通常価格を採録し、BEVの政策支援後基準も併記。</x:v>
      </x:c>
      <x:c r="Q3" s="7" t="str">
        <x:v>確認日2026/10/07。2023年式・走行距離35–45千kmを中心に採録。MG ZS EVのみ25–30千km。価格はTHB、販売店の掲載売価。メーカー希望価格相当の当時公表通常価格を採録し、BEVの政策支援後基準も併記。</x:v>
      </x:c>
      <x:c r="R3" s="7" t="str">
        <x:v>確認日2026/10/07。2023年式・走行距離35–45千kmを中心に採録。MG ZS EVのみ25–30千km。価格はTHB、販売店の掲載売価。メーカー希望価格相当の当時公表通常価格を採録し、BEVの政策支援後基準も併記。</x:v>
      </x:c>
      <x:c r="S3" s="7" t="str">
        <x:v>確認日2026/10/07。2023年式・走行距離35–45千kmを中心に採録。MG ZS EVのみ25–30千km。価格はTHB、販売店の掲載売価。メーカー希望価格相当の当時公表通常価格を採録し、BEVの政策支援後基準も併記。</x:v>
      </x:c>
      <x:c r="T3" s="7" t="str">
        <x:v>確認日2026/10/07。2023年式・走行距離35–45千kmを中心に採録。MG ZS EVのみ25–30千km。価格はTHB、販売店の掲載売価。メーカー希望価格相当の当時公表通常価格を採録し、BEVの政策支援後基準も併記。</x:v>
      </x:c>
      <x:c r="U3" s="2"/>
      <x:c r="V3" s="2"/>
      <x:c r="W3" s="2"/>
      <x:c r="X3" s="2"/>
      <x:c r="Y3" s="2"/>
      <x:c r="Z3" s="2"/>
      <x:c r="AA3" s="2"/>
      <x:c r="AB3" s="2"/>
      <x:c r="AC3" s="2"/>
      <x:c r="AD3" s="2"/>
      <x:c r="AE3" s="2"/>
    </x:row>
    <x:row r="4" ht="24" customHeight="1">
      <x:c r="A4" s="2"/>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row>
    <x:row r="5" ht="56" customHeight="1">
      <x:c r="A5" s="10" t="str">
        <x:v>ID</x:v>
      </x:c>
      <x:c r="B5" s="10" t="str">
        <x:v>市場</x:v>
      </x:c>
      <x:c r="C5" s="10" t="str">
        <x:v>動力</x:v>
      </x:c>
      <x:c r="D5" s="10" t="str">
        <x:v>企業国籍</x:v>
      </x:c>
      <x:c r="E5" s="10" t="str">
        <x:v>支配グループ</x:v>
      </x:c>
      <x:c r="F5" s="10" t="str">
        <x:v>ブランド</x:v>
      </x:c>
      <x:c r="G5" s="10" t="str">
        <x:v>モデル</x:v>
      </x:c>
      <x:c r="H5" s="10" t="str">
        <x:v>グレード</x:v>
      </x:c>
      <x:c r="I5" s="10" t="str">
        <x:v>年式</x:v>
      </x:c>
      <x:c r="J5" s="10" t="str">
        <x:v>車体</x:v>
      </x:c>
      <x:c r="K5" s="10" t="str">
        <x:v>走行下限km</x:v>
      </x:c>
      <x:c r="L5" s="10" t="str">
        <x:v>走行上限km</x:v>
      </x:c>
      <x:c r="M5" s="10" t="str">
        <x:v>中古条件・確認範囲</x:v>
      </x:c>
      <x:c r="N5" s="10" t="str">
        <x:v>新車価格の基準</x:v>
      </x:c>
      <x:c r="O5" s="10" t="str">
        <x:v>当時通常価格THB</x:v>
      </x:c>
      <x:c r="P5" s="10" t="str">
        <x:v>政策支援差額THB</x:v>
      </x:c>
      <x:c r="Q5" s="10" t="str">
        <x:v>新車比較分母THB</x:v>
      </x:c>
      <x:c r="R5" s="10" t="str">
        <x:v>中古掲載価格THB</x:v>
      </x:c>
      <x:c r="S5" s="10" t="str">
        <x:v>通常価格比残価率</x:v>
      </x:c>
      <x:c r="T5" s="10" t="str">
        <x:v>比較分母比残価率</x:v>
      </x:c>
      <x:c r="U5" s="10" t="str">
        <x:v>比較分母比下落率</x:v>
      </x:c>
      <x:c r="V5" s="10" t="str">
        <x:v>比較分母との差額THB</x:v>
      </x:c>
      <x:c r="W5" s="10" t="str">
        <x:v>新車資料日</x:v>
      </x:c>
      <x:c r="X5" s="10" t="str">
        <x:v>中古掲載更新日</x:v>
      </x:c>
      <x:c r="Y5" s="10" t="str">
        <x:v>確認日</x:v>
      </x:c>
      <x:c r="Z5" s="10" t="str">
        <x:v>新車価格URL</x:v>
      </x:c>
      <x:c r="AA5" s="10" t="str">
        <x:v>中古車URL</x:v>
      </x:c>
      <x:c r="AB5" s="10" t="str">
        <x:v>新車情報主体</x:v>
      </x:c>
      <x:c r="AC5" s="10" t="str">
        <x:v>比較上の注意</x:v>
      </x:c>
      <x:c r="AD5" s="10" t="str">
        <x:v>補足URL</x:v>
      </x:c>
      <x:c r="AE5" s="10" t="str">
        <x:v>販売店・地域</x:v>
      </x:c>
    </x:row>
    <x:row r="6" ht="112" customHeight="1">
      <x:c r="A6" s="11" t="str">
        <x:v>TH01</x:v>
      </x:c>
      <x:c r="B6" s="11" t="str">
        <x:v>タイ</x:v>
      </x:c>
      <x:c r="C6" s="11" t="str">
        <x:v>BEV</x:v>
      </x:c>
      <x:c r="D6" s="11" t="str">
        <x:v>中国</x:v>
      </x:c>
      <x:c r="E6" s="11" t="str">
        <x:v>BYD</x:v>
      </x:c>
      <x:c r="F6" s="11" t="str">
        <x:v>BYD</x:v>
      </x:c>
      <x:c r="G6" s="11" t="str">
        <x:v>Atto 3</x:v>
      </x:c>
      <x:c r="H6" s="11" t="str">
        <x:v>Extended Range MY2023</x:v>
      </x:c>
      <x:c r="I6" s="11" t="n">
        <x:v>2023</x:v>
      </x:c>
      <x:c r="J6" s="11" t="str">
        <x:v>SUV</x:v>
      </x:c>
      <x:c r="K6" s="12" t="n">
        <x:v>40000</x:v>
      </x:c>
      <x:c r="L6" s="12" t="n">
        <x:v>45000</x:v>
      </x:c>
      <x:c r="M6" s="12" t="str">
        <x:v>販売店申告：元個人車、重事故・水没なし、整備履歴、メーカー保証あり。SOH値は未掲載。</x:v>
      </x:c>
      <x:c r="N6" s="12" t="str">
        <x:v>公表通常小売価格。政策支援反映後</x:v>
      </x:c>
      <x:c r="O6" s="15" t="n">
        <x:v>1199900</x:v>
      </x:c>
      <x:c r="P6" s="15"/>
      <x:c r="Q6" s="16" t="n">
        <x:f>IF(O6="","",IF(P6="",O6,O6-P6))</x:f>
        <x:v>1199900</x:v>
      </x:c>
      <x:c r="R6" s="15" t="n">
        <x:v>499000</x:v>
      </x:c>
      <x:c r="S6" s="17" t="n">
        <x:f>IF(OR(O6="",R6=""),"",R6/O6)</x:f>
        <x:v>0.4158679889990833</x:v>
      </x:c>
      <x:c r="T6" s="17" t="n">
        <x:f>IF(OR(Q6="",R6=""),"",R6/Q6)</x:f>
        <x:v>0.4158679889990833</x:v>
      </x:c>
      <x:c r="U6" s="17" t="n">
        <x:f>IF(T6="","",1-T6)</x:f>
        <x:v>0.5841320110009167</x:v>
      </x:c>
      <x:c r="V6" s="16" t="n">
        <x:f>IF(OR(Q6="",R6=""),"",Q6-R6)</x:f>
        <x:v>700900</x:v>
      </x:c>
      <x:c r="W6" s="14" t="d">
        <x:v>2024-07-05T00:00:00.000Z</x:v>
      </x:c>
      <x:c r="X6" s="14" t="d">
        <x:v>2026-09-21T00:00:00.000Z</x:v>
      </x:c>
      <x:c r="Y6" s="14" t="d">
        <x:v>2026-10-07T00:00:00.000Z</x:v>
      </x:c>
      <x:c r="Z6" s="18" t="str">
        <x:v>https://www.reverautomotive.com/news/ContentBYDThailandFactoryCelebration</x:v>
      </x:c>
      <x:c r="AA6" s="18" t="str">
        <x:v>https://www.one2car.com/for-sale/byd-atto-3-extended-range-กรุงเทพและปริมณฑล-กาญจนาภิเษก/19444315</x:v>
      </x:c>
      <x:c r="AB6" s="18" t="str">
        <x:v>輸入者公式（MY23通常価格を2024告知で確認）</x:v>
      </x:c>
      <x:c r="AC6" s="18" t="str">
        <x:v>MY23と同一グレード。補助前の希望価格は未確認。購入時の実支払額・月は不明。</x:v>
      </x:c>
      <x:c r="AD6" s="18" t="str"/>
      <x:c r="AE6" s="18" t="str">
        <x:v>T.K. GOOD CAR / Bangkok</x:v>
      </x:c>
    </x:row>
    <x:row r="7" ht="112" customHeight="1">
      <x:c r="A7" s="11" t="str">
        <x:v>TH02</x:v>
      </x:c>
      <x:c r="B7" s="11" t="str">
        <x:v>タイ</x:v>
      </x:c>
      <x:c r="C7" s="11" t="str">
        <x:v>BEV</x:v>
      </x:c>
      <x:c r="D7" s="11" t="str">
        <x:v>中国</x:v>
      </x:c>
      <x:c r="E7" s="11" t="str">
        <x:v>SAIC Motor</x:v>
      </x:c>
      <x:c r="F7" s="11" t="str">
        <x:v>MG</x:v>
      </x:c>
      <x:c r="G7" s="11" t="str">
        <x:v>ZS EV</x:v>
      </x:c>
      <x:c r="H7" s="11" t="str">
        <x:v>X / facelift</x:v>
      </x:c>
      <x:c r="I7" s="11" t="n">
        <x:v>2023</x:v>
      </x:c>
      <x:c r="J7" s="11" t="str">
        <x:v>SUV</x:v>
      </x:c>
      <x:c r="K7" s="12" t="n">
        <x:v>25000</x:v>
      </x:c>
      <x:c r="L7" s="12" t="n">
        <x:v>30000</x:v>
      </x:c>
      <x:c r="M7" s="12" t="str">
        <x:v>販売店申告：重事故・水没なし、整備済み。ページの距離帯25–30千km、実数は要照会。SOH値は未掲載。</x:v>
      </x:c>
      <x:c r="N7" s="12" t="str">
        <x:v>補助前の通常価格。比較分母は政策支援後1,023,000</x:v>
      </x:c>
      <x:c r="O7" s="15" t="n">
        <x:v>1269000</x:v>
      </x:c>
      <x:c r="P7" s="15" t="n">
        <x:v>246000</x:v>
      </x:c>
      <x:c r="Q7" s="16" t="n">
        <x:f>IF(O7="","",IF(P7="",O7,O7-P7))</x:f>
        <x:v>1023000</x:v>
      </x:c>
      <x:c r="R7" s="15" t="n">
        <x:v>399000</x:v>
      </x:c>
      <x:c r="S7" s="17" t="n">
        <x:f>IF(OR(O7="",R7=""),"",R7/O7)</x:f>
        <x:v>0.3144208037825059</x:v>
      </x:c>
      <x:c r="T7" s="17" t="n">
        <x:f>IF(OR(Q7="",R7=""),"",R7/Q7)</x:f>
        <x:v>0.39002932551319647</x:v>
      </x:c>
      <x:c r="U7" s="17" t="n">
        <x:f>IF(T7="","",1-T7)</x:f>
        <x:v>0.6099706744868035</x:v>
      </x:c>
      <x:c r="V7" s="16" t="n">
        <x:f>IF(OR(Q7="",R7=""),"",Q7-R7)</x:f>
        <x:v>624000</x:v>
      </x:c>
      <x:c r="W7" s="14" t="d">
        <x:v>2022-03-31T00:00:00.000Z</x:v>
      </x:c>
      <x:c r="X7" s="14" t="d">
        <x:v>2026-09-24T00:00:00.000Z</x:v>
      </x:c>
      <x:c r="Y7" s="14" t="d">
        <x:v>2026-10-07T00:00:00.000Z</x:v>
      </x:c>
      <x:c r="Z7" s="18" t="str">
        <x:v>https://www.ex-prod.mgcars.com/en/NewsActivities/Detail/New-MG-ZS-EV-Booking</x:v>
      </x:c>
      <x:c r="AA7" s="18" t="str">
        <x:v>https://www.one2car.com/en/for-sale/mg-zs-ev-x-bangkok-metropolitan-pattanakarn-rama-ix/19331029?auc=true</x:v>
      </x:c>
      <x:c r="AB7" s="18" t="str">
        <x:v>メーカー公式。2023通常価格は当時媒体でも照合</x:v>
      </x:c>
      <x:c r="AC7" s="18" t="str">
        <x:v>6件中この車だけ低走行。2022発売のfaceliftを2023年式に対応。購入時の販促・補助適用は未確認。</x:v>
      </x:c>
      <x:c r="AD7" s="18" t="str"/>
      <x:c r="AE7" s="18" t="str">
        <x:v>AUTO MASTER / Bangkok</x:v>
      </x:c>
    </x:row>
    <x:row r="8" ht="112" customHeight="1">
      <x:c r="A8" s="11" t="str">
        <x:v>TH03</x:v>
      </x:c>
      <x:c r="B8" s="11" t="str">
        <x:v>タイ</x:v>
      </x:c>
      <x:c r="C8" s="11" t="str">
        <x:v>ICE</x:v>
      </x:c>
      <x:c r="D8" s="11" t="str">
        <x:v>中国</x:v>
      </x:c>
      <x:c r="E8" s="11" t="str">
        <x:v>SAIC Motor</x:v>
      </x:c>
      <x:c r="F8" s="11" t="str">
        <x:v>MG</x:v>
      </x:c>
      <x:c r="G8" s="11" t="str">
        <x:v>ZS</x:v>
      </x:c>
      <x:c r="H8" s="11" t="str">
        <x:v>1.5 X / CVT</x:v>
      </x:c>
      <x:c r="I8" s="11" t="n">
        <x:v>2023</x:v>
      </x:c>
      <x:c r="J8" s="11" t="str">
        <x:v>SUV</x:v>
      </x:c>
      <x:c r="K8" s="12" t="n">
        <x:v>35000</x:v>
      </x:c>
      <x:c r="L8" s="12" t="n">
        <x:v>40000</x:v>
      </x:c>
      <x:c r="M8" s="12" t="str">
        <x:v>販売店申告：構造検査、重事故・水没・横転なし、エンジン等保証。個体検査証の実物は未確認。</x:v>
      </x:c>
      <x:c r="N8" s="12" t="str">
        <x:v>2023通常小売価格。11月特価669,000は除外</x:v>
      </x:c>
      <x:c r="O8" s="15" t="n">
        <x:v>759000</x:v>
      </x:c>
      <x:c r="P8" s="15" t="n">
        <x:v>0</x:v>
      </x:c>
      <x:c r="Q8" s="16" t="n">
        <x:f>IF(O8="","",IF(P8="",O8,O8-P8))</x:f>
        <x:v>759000</x:v>
      </x:c>
      <x:c r="R8" s="15" t="n">
        <x:v>398000</x:v>
      </x:c>
      <x:c r="S8" s="17" t="n">
        <x:f>IF(OR(O8="",R8=""),"",R8/O8)</x:f>
        <x:v>0.5243741765480896</x:v>
      </x:c>
      <x:c r="T8" s="17" t="n">
        <x:f>IF(OR(Q8="",R8=""),"",R8/Q8)</x:f>
        <x:v>0.5243741765480896</x:v>
      </x:c>
      <x:c r="U8" s="17" t="n">
        <x:f>IF(T8="","",1-T8)</x:f>
        <x:v>0.4756258234519104</x:v>
      </x:c>
      <x:c r="V8" s="16" t="n">
        <x:f>IF(OR(Q8="",R8=""),"",Q8-R8)</x:f>
        <x:v>361000</x:v>
      </x:c>
      <x:c r="W8" s="14" t="d">
        <x:v>2023-11-14T00:00:00.000Z</x:v>
      </x:c>
      <x:c r="X8" s="14" t="d">
        <x:v>2026-04-03T00:00:00.000Z</x:v>
      </x:c>
      <x:c r="Y8" s="14" t="d">
        <x:v>2026-10-07T00:00:00.000Z</x:v>
      </x:c>
      <x:c r="Z8" s="18" t="str">
        <x:v>https://www.grandprix.co.th/promotion-mg-november-2023/</x:v>
      </x:c>
      <x:c r="AA8" s="18" t="str">
        <x:v>https://www.one2car.com/en/for-sale/mg-zs-x-bangkok-metropolitan-kanchanaphisek/18821263?auc=true</x:v>
      </x:c>
      <x:c r="AB8" s="18" t="str">
        <x:v>二次資料：2023販促記事の割引前通常価格</x:v>
      </x:c>
      <x:c r="AC8" s="18" t="str">
        <x:v>英国発祥ブランドだが企業国籍は支配グループSAICの中国。X+やVと混同しない。掲載更新から約6カ月。</x:v>
      </x:c>
      <x:c r="AD8" s="18" t="str"/>
      <x:c r="AE8" s="18" t="str">
        <x:v>BIGAPPLE CAR / Bangkok</x:v>
      </x:c>
    </x:row>
    <x:row r="9" ht="112" customHeight="1">
      <x:c r="A9" s="11" t="str">
        <x:v>TH04</x:v>
      </x:c>
      <x:c r="B9" s="11" t="str">
        <x:v>タイ</x:v>
      </x:c>
      <x:c r="C9" s="11" t="str">
        <x:v>HEV</x:v>
      </x:c>
      <x:c r="D9" s="11" t="str">
        <x:v>中国</x:v>
      </x:c>
      <x:c r="E9" s="11" t="str">
        <x:v>Great Wall Motor</x:v>
      </x:c>
      <x:c r="F9" s="11" t="str">
        <x:v>Haval</x:v>
      </x:c>
      <x:c r="G9" s="11" t="str">
        <x:v>H6</x:v>
      </x:c>
      <x:c r="H9" s="11" t="str">
        <x:v>HEV Ultra / MNC MY2023</x:v>
      </x:c>
      <x:c r="I9" s="11" t="n">
        <x:v>2023</x:v>
      </x:c>
      <x:c r="J9" s="11" t="str">
        <x:v>SUV</x:v>
      </x:c>
      <x:c r="K9" s="12" t="n">
        <x:v>40000</x:v>
      </x:c>
      <x:c r="L9" s="12" t="n">
        <x:v>45000</x:v>
      </x:c>
      <x:c r="M9" s="12" t="str">
        <x:v>販売店申告：1オーナー、44千km台、正規整備、保証残りあり。現金購入で追加VATなし。SOH値は未掲載。</x:v>
      </x:c>
      <x:c r="N9" s="12" t="str">
        <x:v>MY2023 facelift 通常価格。旧Ultra1,249,000を使わない</x:v>
      </x:c>
      <x:c r="O9" s="15" t="n">
        <x:v>1349000</x:v>
      </x:c>
      <x:c r="P9" s="15" t="n">
        <x:v>0</x:v>
      </x:c>
      <x:c r="Q9" s="16" t="n">
        <x:f>IF(O9="","",IF(P9="",O9,O9-P9))</x:f>
        <x:v>1349000</x:v>
      </x:c>
      <x:c r="R9" s="15" t="n">
        <x:v>639000</x:v>
      </x:c>
      <x:c r="S9" s="17" t="n">
        <x:f>IF(OR(O9="",R9=""),"",R9/O9)</x:f>
        <x:v>0.47368421052631576</x:v>
      </x:c>
      <x:c r="T9" s="17" t="n">
        <x:f>IF(OR(Q9="",R9=""),"",R9/Q9)</x:f>
        <x:v>0.47368421052631576</x:v>
      </x:c>
      <x:c r="U9" s="17" t="n">
        <x:f>IF(T9="","",1-T9)</x:f>
        <x:v>0.5263157894736843</x:v>
      </x:c>
      <x:c r="V9" s="16" t="n">
        <x:f>IF(OR(Q9="",R9=""),"",Q9-R9)</x:f>
        <x:v>710000</x:v>
      </x:c>
      <x:c r="W9" s="14" t="d">
        <x:v>2022-11-30T00:00:00.000Z</x:v>
      </x:c>
      <x:c r="X9" s="14" t="d">
        <x:v>2026-07-16T00:00:00.000Z</x:v>
      </x:c>
      <x:c r="Y9" s="14" t="d">
        <x:v>2026-10-07T00:00:00.000Z</x:v>
      </x:c>
      <x:c r="Z9" s="18" t="str">
        <x:v>https://www.headlightmag.com/2022-11-30-haval-h6-hybrid-ultra-my2023/</x:v>
      </x:c>
      <x:c r="AA9" s="18" t="str">
        <x:v>https://www.one2car.com/for-sale/haval-h6-ultra-กรุงเทพและปริมณฑล-กาญจนาภิเษก/19149317</x:v>
      </x:c>
      <x:c r="AB9" s="18" t="str">
        <x:v>二次資料：MY2023発売時の正式価格報道</x:v>
      </x:c>
      <x:c r="AC9" s="18" t="str">
        <x:v>販売店説明のHYBRID ULTRA MNCに対応。PHEVではない。H6は他のSUVより大きい。</x:v>
      </x:c>
      <x:c r="AD9" s="18" t="str"/>
      <x:c r="AE9" s="18" t="str">
        <x:v>PP Used Cars / Bangkok</x:v>
      </x:c>
    </x:row>
    <x:row r="10" ht="112" customHeight="1">
      <x:c r="A10" s="11" t="str">
        <x:v>TH05</x:v>
      </x:c>
      <x:c r="B10" s="11" t="str">
        <x:v>タイ</x:v>
      </x:c>
      <x:c r="C10" s="11" t="str">
        <x:v>HEV</x:v>
      </x:c>
      <x:c r="D10" s="11" t="str">
        <x:v>日本</x:v>
      </x:c>
      <x:c r="E10" s="11" t="str">
        <x:v>Toyota Motor</x:v>
      </x:c>
      <x:c r="F10" s="11" t="str">
        <x:v>Toyota</x:v>
      </x:c>
      <x:c r="G10" s="11" t="str">
        <x:v>Corolla Cross</x:v>
      </x:c>
      <x:c r="H10" s="11" t="str">
        <x:v>HEV GR Sport MY2023</x:v>
      </x:c>
      <x:c r="I10" s="11" t="n">
        <x:v>2023</x:v>
      </x:c>
      <x:c r="J10" s="11" t="str">
        <x:v>SUV</x:v>
      </x:c>
      <x:c r="K10" s="12" t="n">
        <x:v>40000</x:v>
      </x:c>
      <x:c r="L10" s="12" t="n">
        <x:v>45000</x:v>
      </x:c>
      <x:c r="M10" s="12" t="str">
        <x:v>販売店申告：44千km台、販売前点検と販売後保証あり。重事故・水没歴の個別明記およびSOH値は未確認。</x:v>
      </x:c>
      <x:c r="N10" s="12" t="str">
        <x:v>MY2023通常価格。旧MY2022 GR1,249,000を使わない</x:v>
      </x:c>
      <x:c r="O10" s="15" t="n">
        <x:v>1254000</x:v>
      </x:c>
      <x:c r="P10" s="15" t="n">
        <x:v>0</x:v>
      </x:c>
      <x:c r="Q10" s="16" t="n">
        <x:f>IF(O10="","",IF(P10="",O10,O10-P10))</x:f>
        <x:v>1254000</x:v>
      </x:c>
      <x:c r="R10" s="15" t="n">
        <x:v>839000</x:v>
      </x:c>
      <x:c r="S10" s="17" t="n">
        <x:f>IF(OR(O10="",R10=""),"",R10/O10)</x:f>
        <x:v>0.6690590111642744</x:v>
      </x:c>
      <x:c r="T10" s="17" t="n">
        <x:f>IF(OR(Q10="",R10=""),"",R10/Q10)</x:f>
        <x:v>0.6690590111642744</x:v>
      </x:c>
      <x:c r="U10" s="17" t="n">
        <x:f>IF(T10="","",1-T10)</x:f>
        <x:v>0.33094098883572565</x:v>
      </x:c>
      <x:c r="V10" s="16" t="n">
        <x:f>IF(OR(Q10="",R10=""),"",Q10-R10)</x:f>
        <x:v>415000</x:v>
      </x:c>
      <x:c r="W10" s="14" t="d">
        <x:v>2022-12-19T00:00:00.000Z</x:v>
      </x:c>
      <x:c r="X10" s="14" t="d">
        <x:v>2026-09-04T00:00:00.000Z</x:v>
      </x:c>
      <x:c r="Y10" s="14" t="d">
        <x:v>2026-10-07T00:00:00.000Z</x:v>
      </x:c>
      <x:c r="Z10" s="18" t="str">
        <x:v>https://www.toyotakan.com/cars-tips/corolla-cross-sport-plus-2/</x:v>
      </x:c>
      <x:c r="AA10" s="18" t="str">
        <x:v>https://www.one2car.com/en/for-sale/toyota-corolla-cross-hybrid-premium-safety-gr-sport-southern-region-mueang-phuket/19382433</x:v>
      </x:c>
      <x:c r="AB10" s="18" t="str">
        <x:v>正規販売店：MY2023価格記事（2022/12/19）</x:v>
      </x:c>
      <x:c r="AC10" s="18" t="str">
        <x:v>MY2023価格記事。価格は同時期HeadLightMagでも照合。Phuketのため地域差が残る。</x:v>
      </x:c>
      <x:c r="AD10" s="18" t="str">
        <x:v>https://www.headlightmag.com/2022-11-30-official-price-toyota-corolla-cross-my2023/</x:v>
      </x:c>
      <x:c r="AE10" s="18" t="str">
        <x:v>A Plus Auto / Phuket</x:v>
      </x:c>
    </x:row>
    <x:row r="11" ht="112" customHeight="1">
      <x:c r="A11" s="11" t="str">
        <x:v>TH06</x:v>
      </x:c>
      <x:c r="B11" s="11" t="str">
        <x:v>タイ</x:v>
      </x:c>
      <x:c r="C11" s="11" t="str">
        <x:v>ICE</x:v>
      </x:c>
      <x:c r="D11" s="11" t="str">
        <x:v>日本</x:v>
      </x:c>
      <x:c r="E11" s="11" t="str">
        <x:v>Honda Motor</x:v>
      </x:c>
      <x:c r="F11" s="11" t="str">
        <x:v>Honda</x:v>
      </x:c>
      <x:c r="G11" s="11" t="str">
        <x:v>City</x:v>
      </x:c>
      <x:c r="H11" s="11" t="str">
        <x:v>1.0 Turbo V / pre-facelift</x:v>
      </x:c>
      <x:c r="I11" s="11" t="n">
        <x:v>2023</x:v>
      </x:c>
      <x:c r="J11" s="11" t="str">
        <x:v>Sedan</x:v>
      </x:c>
      <x:c r="K11" s="12" t="n">
        <x:v>35000</x:v>
      </x:c>
      <x:c r="L11" s="12" t="n">
        <x:v>40000</x:v>
      </x:c>
      <x:c r="M11" s="12" t="str">
        <x:v>掲載検査欄：水没・重事故・改造・火災なし。販売店申告：1オーナー、36千km台。購入前の実査はしていない。</x:v>
      </x:c>
      <x:c r="N11" s="12" t="str">
        <x:v>2023/3公表通常価格（7月改良前V）</x:v>
      </x:c>
      <x:c r="O11" s="15" t="n">
        <x:v>609000</x:v>
      </x:c>
      <x:c r="P11" s="15" t="n">
        <x:v>0</x:v>
      </x:c>
      <x:c r="Q11" s="16" t="n">
        <x:f>IF(O11="","",IF(P11="",O11,O11-P11))</x:f>
        <x:v>609000</x:v>
      </x:c>
      <x:c r="R11" s="15" t="n">
        <x:v>379000</x:v>
      </x:c>
      <x:c r="S11" s="17" t="n">
        <x:f>IF(OR(O11="",R11=""),"",R11/O11)</x:f>
        <x:v>0.6223316912972086</x:v>
      </x:c>
      <x:c r="T11" s="17" t="n">
        <x:f>IF(OR(Q11="",R11=""),"",R11/Q11)</x:f>
        <x:v>0.6223316912972086</x:v>
      </x:c>
      <x:c r="U11" s="17" t="n">
        <x:f>IF(T11="","",1-T11)</x:f>
        <x:v>0.37766830870279144</x:v>
      </x:c>
      <x:c r="V11" s="16" t="n">
        <x:f>IF(OR(Q11="",R11=""),"",Q11-R11)</x:f>
        <x:v>230000</x:v>
      </x:c>
      <x:c r="W11" s="14" t="d">
        <x:v>2023-03-07T00:00:00.000Z</x:v>
      </x:c>
      <x:c r="X11" s="14" t="d">
        <x:v>2026-10-03T00:00:00.000Z</x:v>
      </x:c>
      <x:c r="Y11" s="14" t="d">
        <x:v>2026-10-07T00:00:00.000Z</x:v>
      </x:c>
      <x:c r="Z11" s="18" t="str">
        <x:v>https://www.one2car.com/en/news/ตารางผ่อน-honda-city-10-turbo-2023-เริ่มต้น-5xxx-บาท/67716</x:v>
      </x:c>
      <x:c r="AA11" s="18" t="str">
        <x:v>https://www.one2car.com/for-sale/honda-city-v-กรุงเทพและปริมณฑล-กาญจนาภิเษก/18816442</x:v>
      </x:c>
      <x:c r="AB11" s="18" t="str">
        <x:v>二次資料：2023年3月の価格・支払表</x:v>
      </x:c>
      <x:c r="AC11" s="18" t="str">
        <x:v>Sedanで他5車のSUVと車格が異なるため補助比較。2023年式Vは7月改良前に対応。色追加・装備は新車分母に含めない。</x:v>
      </x:c>
      <x:c r="AD11" s="18" t="str"/>
      <x:c r="AE11" s="18" t="str">
        <x:v>PP Used Cars / Bangkok</x:v>
      </x:c>
    </x:row>
    <x:row r="12" ht="24" customHeight="1">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c r="AA12" s="2"/>
      <x:c r="AB12" s="2"/>
      <x:c r="AC12" s="2"/>
      <x:c r="AD12" s="2"/>
      <x:c r="AE12" s="2"/>
    </x:row>
    <x:row r="13" ht="24" customHeight="1">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c r="AA13" s="2"/>
      <x:c r="AB13" s="2"/>
      <x:c r="AC13" s="2"/>
      <x:c r="AD13" s="2"/>
      <x:c r="AE13" s="2"/>
    </x:row>
    <x:row r="14" ht="24" customHeight="1">
      <x:c r="A14" s="7" t="str">
        <x:v>残価額の代理値＝中古掲載売価。主残価率＝中古掲載売価÷当時の政策支援後通常新車価格。メーカー公表通常価格比も別列に保存。成約・買取・下取価格、購入者の実支払額、将来残価ではない。</x:v>
      </x:c>
      <x:c r="B14" s="7" t="str">
        <x:v>残価額の代理値＝中古掲載売価。主残価率＝中古掲載売価÷当時の政策支援後通常新車価格。メーカー公表通常価格比も別列に保存。成約・買取・下取価格、購入者の実支払額、将来残価ではない。</x:v>
      </x:c>
      <x:c r="C14" s="7" t="str">
        <x:v>残価額の代理値＝中古掲載売価。主残価率＝中古掲載売価÷当時の政策支援後通常新車価格。メーカー公表通常価格比も別列に保存。成約・買取・下取価格、購入者の実支払額、将来残価ではない。</x:v>
      </x:c>
      <x:c r="D14" s="7" t="str">
        <x:v>残価額の代理値＝中古掲載売価。主残価率＝中古掲載売価÷当時の政策支援後通常新車価格。メーカー公表通常価格比も別列に保存。成約・買取・下取価格、購入者の実支払額、将来残価ではない。</x:v>
      </x:c>
      <x:c r="E14" s="7" t="str">
        <x:v>残価額の代理値＝中古掲載売価。主残価率＝中古掲載売価÷当時の政策支援後通常新車価格。メーカー公表通常価格比も別列に保存。成約・買取・下取価格、購入者の実支払額、将来残価ではない。</x:v>
      </x:c>
      <x:c r="F14" s="7" t="str">
        <x:v>残価額の代理値＝中古掲載売価。主残価率＝中古掲載売価÷当時の政策支援後通常新車価格。メーカー公表通常価格比も別列に保存。成約・買取・下取価格、購入者の実支払額、将来残価ではない。</x:v>
      </x:c>
      <x:c r="G14" s="7" t="str">
        <x:v>残価額の代理値＝中古掲載売価。主残価率＝中古掲載売価÷当時の政策支援後通常新車価格。メーカー公表通常価格比も別列に保存。成約・買取・下取価格、購入者の実支払額、将来残価ではない。</x:v>
      </x:c>
      <x:c r="H14" s="7" t="str">
        <x:v>残価額の代理値＝中古掲載売価。主残価率＝中古掲載売価÷当時の政策支援後通常新車価格。メーカー公表通常価格比も別列に保存。成約・買取・下取価格、購入者の実支払額、将来残価ではない。</x:v>
      </x:c>
      <x:c r="I14" s="7" t="str">
        <x:v>残価額の代理値＝中古掲載売価。主残価率＝中古掲載売価÷当時の政策支援後通常新車価格。メーカー公表通常価格比も別列に保存。成約・買取・下取価格、購入者の実支払額、将来残価ではない。</x:v>
      </x:c>
      <x:c r="J14" s="7" t="str">
        <x:v>残価額の代理値＝中古掲載売価。主残価率＝中古掲載売価÷当時の政策支援後通常新車価格。メーカー公表通常価格比も別列に保存。成約・買取・下取価格、購入者の実支払額、将来残価ではない。</x:v>
      </x:c>
      <x:c r="K14" s="7" t="str">
        <x:v>残価額の代理値＝中古掲載売価。主残価率＝中古掲載売価÷当時の政策支援後通常新車価格。メーカー公表通常価格比も別列に保存。成約・買取・下取価格、購入者の実支払額、将来残価ではない。</x:v>
      </x:c>
      <x:c r="L14" s="7" t="str">
        <x:v>残価額の代理値＝中古掲載売価。主残価率＝中古掲載売価÷当時の政策支援後通常新車価格。メーカー公表通常価格比も別列に保存。成約・買取・下取価格、購入者の実支払額、将来残価ではない。</x:v>
      </x:c>
      <x:c r="M14" s="7" t="str">
        <x:v>残価額の代理値＝中古掲載売価。主残価率＝中古掲載売価÷当時の政策支援後通常新車価格。メーカー公表通常価格比も別列に保存。成約・買取・下取価格、購入者の実支払額、将来残価ではない。</x:v>
      </x:c>
      <x:c r="N14" s="7" t="str">
        <x:v>残価額の代理値＝中古掲載売価。主残価率＝中古掲載売価÷当時の政策支援後通常新車価格。メーカー公表通常価格比も別列に保存。成約・買取・下取価格、購入者の実支払額、将来残価ではない。</x:v>
      </x:c>
      <x:c r="O14" s="7" t="str">
        <x:v>残価額の代理値＝中古掲載売価。主残価率＝中古掲載売価÷当時の政策支援後通常新車価格。メーカー公表通常価格比も別列に保存。成約・買取・下取価格、購入者の実支払額、将来残価ではない。</x:v>
      </x:c>
      <x:c r="P14" s="7" t="str">
        <x:v>残価額の代理値＝中古掲載売価。主残価率＝中古掲載売価÷当時の政策支援後通常新車価格。メーカー公表通常価格比も別列に保存。成約・買取・下取価格、購入者の実支払額、将来残価ではない。</x:v>
      </x:c>
      <x:c r="Q14" s="7" t="str">
        <x:v>残価額の代理値＝中古掲載売価。主残価率＝中古掲載売価÷当時の政策支援後通常新車価格。メーカー公表通常価格比も別列に保存。成約・買取・下取価格、購入者の実支払額、将来残価ではない。</x:v>
      </x:c>
      <x:c r="R14" s="7" t="str">
        <x:v>残価額の代理値＝中古掲載売価。主残価率＝中古掲載売価÷当時の政策支援後通常新車価格。メーカー公表通常価格比も別列に保存。成約・買取・下取価格、購入者の実支払額、将来残価ではない。</x:v>
      </x:c>
      <x:c r="S14" s="2"/>
      <x:c r="T14" s="2"/>
      <x:c r="U14" s="2"/>
      <x:c r="V14" s="2"/>
      <x:c r="W14" s="2"/>
      <x:c r="X14" s="2"/>
      <x:c r="Y14" s="2"/>
      <x:c r="Z14" s="2"/>
      <x:c r="AA14" s="2"/>
      <x:c r="AB14" s="2"/>
      <x:c r="AC14" s="2"/>
      <x:c r="AD14" s="2"/>
      <x:c r="AE14" s="2"/>
    </x:row>
    <x:row r="15" ht="24" customHeight="1">
      <x:c r="A15" s="7" t="str">
        <x:v>残価額の代理値＝中古掲載売価。主残価率＝中古掲載売価÷当時の政策支援後通常新車価格。メーカー公表通常価格比も別列に保存。成約・買取・下取価格、購入者の実支払額、将来残価ではない。</x:v>
      </x:c>
      <x:c r="B15" s="7" t="str">
        <x:v>残価額の代理値＝中古掲載売価。主残価率＝中古掲載売価÷当時の政策支援後通常新車価格。メーカー公表通常価格比も別列に保存。成約・買取・下取価格、購入者の実支払額、将来残価ではない。</x:v>
      </x:c>
      <x:c r="C15" s="7" t="str">
        <x:v>残価額の代理値＝中古掲載売価。主残価率＝中古掲載売価÷当時の政策支援後通常新車価格。メーカー公表通常価格比も別列に保存。成約・買取・下取価格、購入者の実支払額、将来残価ではない。</x:v>
      </x:c>
      <x:c r="D15" s="7" t="str">
        <x:v>残価額の代理値＝中古掲載売価。主残価率＝中古掲載売価÷当時の政策支援後通常新車価格。メーカー公表通常価格比も別列に保存。成約・買取・下取価格、購入者の実支払額、将来残価ではない。</x:v>
      </x:c>
      <x:c r="E15" s="7" t="str">
        <x:v>残価額の代理値＝中古掲載売価。主残価率＝中古掲載売価÷当時の政策支援後通常新車価格。メーカー公表通常価格比も別列に保存。成約・買取・下取価格、購入者の実支払額、将来残価ではない。</x:v>
      </x:c>
      <x:c r="F15" s="7" t="str">
        <x:v>残価額の代理値＝中古掲載売価。主残価率＝中古掲載売価÷当時の政策支援後通常新車価格。メーカー公表通常価格比も別列に保存。成約・買取・下取価格、購入者の実支払額、将来残価ではない。</x:v>
      </x:c>
      <x:c r="G15" s="7" t="str">
        <x:v>残価額の代理値＝中古掲載売価。主残価率＝中古掲載売価÷当時の政策支援後通常新車価格。メーカー公表通常価格比も別列に保存。成約・買取・下取価格、購入者の実支払額、将来残価ではない。</x:v>
      </x:c>
      <x:c r="H15" s="7" t="str">
        <x:v>残価額の代理値＝中古掲載売価。主残価率＝中古掲載売価÷当時の政策支援後通常新車価格。メーカー公表通常価格比も別列に保存。成約・買取・下取価格、購入者の実支払額、将来残価ではない。</x:v>
      </x:c>
      <x:c r="I15" s="7" t="str">
        <x:v>残価額の代理値＝中古掲載売価。主残価率＝中古掲載売価÷当時の政策支援後通常新車価格。メーカー公表通常価格比も別列に保存。成約・買取・下取価格、購入者の実支払額、将来残価ではない。</x:v>
      </x:c>
      <x:c r="J15" s="7" t="str">
        <x:v>残価額の代理値＝中古掲載売価。主残価率＝中古掲載売価÷当時の政策支援後通常新車価格。メーカー公表通常価格比も別列に保存。成約・買取・下取価格、購入者の実支払額、将来残価ではない。</x:v>
      </x:c>
      <x:c r="K15" s="7" t="str">
        <x:v>残価額の代理値＝中古掲載売価。主残価率＝中古掲載売価÷当時の政策支援後通常新車価格。メーカー公表通常価格比も別列に保存。成約・買取・下取価格、購入者の実支払額、将来残価ではない。</x:v>
      </x:c>
      <x:c r="L15" s="7" t="str">
        <x:v>残価額の代理値＝中古掲載売価。主残価率＝中古掲載売価÷当時の政策支援後通常新車価格。メーカー公表通常価格比も別列に保存。成約・買取・下取価格、購入者の実支払額、将来残価ではない。</x:v>
      </x:c>
      <x:c r="M15" s="7" t="str">
        <x:v>残価額の代理値＝中古掲載売価。主残価率＝中古掲載売価÷当時の政策支援後通常新車価格。メーカー公表通常価格比も別列に保存。成約・買取・下取価格、購入者の実支払額、将来残価ではない。</x:v>
      </x:c>
      <x:c r="N15" s="7" t="str">
        <x:v>残価額の代理値＝中古掲載売価。主残価率＝中古掲載売価÷当時の政策支援後通常新車価格。メーカー公表通常価格比も別列に保存。成約・買取・下取価格、購入者の実支払額、将来残価ではない。</x:v>
      </x:c>
      <x:c r="O15" s="7" t="str">
        <x:v>残価額の代理値＝中古掲載売価。主残価率＝中古掲載売価÷当時の政策支援後通常新車価格。メーカー公表通常価格比も別列に保存。成約・買取・下取価格、購入者の実支払額、将来残価ではない。</x:v>
      </x:c>
      <x:c r="P15" s="7" t="str">
        <x:v>残価額の代理値＝中古掲載売価。主残価率＝中古掲載売価÷当時の政策支援後通常新車価格。メーカー公表通常価格比も別列に保存。成約・買取・下取価格、購入者の実支払額、将来残価ではない。</x:v>
      </x:c>
      <x:c r="Q15" s="7" t="str">
        <x:v>残価額の代理値＝中古掲載売価。主残価率＝中古掲載売価÷当時の政策支援後通常新車価格。メーカー公表通常価格比も別列に保存。成約・買取・下取価格、購入者の実支払額、将来残価ではない。</x:v>
      </x:c>
      <x:c r="R15" s="7" t="str">
        <x:v>残価額の代理値＝中古掲載売価。主残価率＝中古掲載売価÷当時の政策支援後通常新車価格。メーカー公表通常価格比も別列に保存。成約・買取・下取価格、購入者の実支払額、将来残価ではない。</x:v>
      </x:c>
      <x:c r="S15" s="2"/>
      <x:c r="T15" s="2"/>
      <x:c r="U15" s="2"/>
      <x:c r="V15" s="2"/>
      <x:c r="W15" s="2"/>
      <x:c r="X15" s="2"/>
      <x:c r="Y15" s="2"/>
      <x:c r="Z15" s="2"/>
      <x:c r="AA15" s="2"/>
      <x:c r="AB15" s="2"/>
      <x:c r="AC15" s="2"/>
      <x:c r="AD15" s="2"/>
      <x:c r="AE15" s="2"/>
    </x:row>
    <x:row r="16" ht="24" customHeight="1">
      <x:c r="A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B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C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D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E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F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G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H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I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J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K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L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M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N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O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P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Q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R16"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S16" s="2"/>
      <x:c r="T16" s="2"/>
      <x:c r="U16" s="2"/>
      <x:c r="V16" s="2"/>
      <x:c r="W16" s="2"/>
      <x:c r="X16" s="2"/>
      <x:c r="Y16" s="2"/>
      <x:c r="Z16" s="2"/>
      <x:c r="AA16" s="2"/>
      <x:c r="AB16" s="2"/>
      <x:c r="AC16" s="2"/>
      <x:c r="AD16" s="2"/>
      <x:c r="AE16" s="2"/>
    </x:row>
    <x:row r="17" ht="24" customHeight="1">
      <x:c r="A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B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C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D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E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F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G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H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I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J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K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L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M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N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O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P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Q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R17"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S17" s="2"/>
      <x:c r="T17" s="2"/>
      <x:c r="U17" s="2"/>
      <x:c r="V17" s="2"/>
      <x:c r="W17" s="2"/>
      <x:c r="X17" s="2"/>
      <x:c r="Y17" s="2"/>
      <x:c r="Z17" s="2"/>
      <x:c r="AA17" s="2"/>
      <x:c r="AB17" s="2"/>
      <x:c r="AC17" s="2"/>
      <x:c r="AD17" s="2"/>
      <x:c r="AE17" s="2"/>
    </x:row>
    <x:row r="18" ht="24" customHeight="1">
      <x:c r="A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B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C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D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E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F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G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H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I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J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K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L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M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N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O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P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Q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R18" s="7" t="str">
        <x:v>P列空欄のBYDは支援反映後の公表価格をO列に採録したため、さらに補助額を引かない。MG ZS EVは補助前1,269,000から公表政策支援246,000を差し引く。購入者ごとの適用確認ではない。資料日が古いのは当時価格の照合のため。全車、登録月・SOH・実際の保証移転条件は未確認。</x:v>
      </x:c>
      <x:c r="S18" s="2"/>
      <x:c r="T18" s="2"/>
      <x:c r="U18" s="2"/>
      <x:c r="V18" s="2"/>
      <x:c r="W18" s="2"/>
      <x:c r="X18" s="2"/>
      <x:c r="Y18" s="2"/>
      <x:c r="Z18" s="2"/>
      <x:c r="AA18" s="2"/>
      <x:c r="AB18" s="2"/>
      <x:c r="AC18" s="2"/>
      <x:c r="AD18" s="2"/>
      <x:c r="AE18" s="2"/>
    </x:row>
    <x:row r="20">
      <x:c r="A20" s="21" t="str">
        <x:v>ID</x:v>
      </x:c>
      <x:c r="B20" s="21" t="str">
        <x:v>過去新車特価THB</x:v>
      </x:c>
      <x:c r="C20" s="21" t="str">
        <x:v>適用開始日</x:v>
      </x:c>
      <x:c r="D20" s="21" t="str">
        <x:v>価格条件</x:v>
      </x:c>
      <x:c r="E20" s="21" t="str">
        <x:v>出典URL</x:v>
      </x:c>
    </x:row>
    <x:row r="21" ht="135" customHeight="1">
      <x:c r="A21" s="24" t="str">
        <x:v>TH01</x:v>
      </x:c>
      <x:c r="B21" s="27" t="n">
        <x:v>859900</x:v>
      </x:c>
      <x:c r="C21" s="26" t="d">
        <x:v>2024-07-05T00:00:00.000Z</x:v>
      </x:c>
      <x:c r="D21" s="24" t="str">
        <x:v>同じMY23 Extended。2024/7/5–7/31の新車在庫向け特価、現在価格ではない。</x:v>
      </x:c>
      <x:c r="E21" s="24" t="str">
        <x:v>https://www.reverautomotive.com/news/ContentBYDThailandFactoryCelebration</x:v>
      </x:c>
    </x:row>
    <x:row r="22" ht="135" customHeight="1">
      <x:c r="A22" s="24" t="str">
        <x:v>TH02</x:v>
      </x:c>
      <x:c r="B22" s="27" t="n">
        <x:v>929000</x:v>
      </x:c>
      <x:c r="C22" s="26" t="d">
        <x:v>2023-11-01T00:00:00.000Z</x:v>
      </x:c>
      <x:c r="D22" s="24" t="str">
        <x:v>2023/11/1–12/11予約向け特価。残価率の主分母には使わない。</x:v>
      </x:c>
      <x:c r="E22" s="24" t="str">
        <x:v>https://www.grandprix.co.th/promotion-mg-november-2023/</x:v>
      </x:c>
    </x:row>
    <x:row r="23" ht="135" customHeight="1">
      <x:c r="A23" s="24" t="str">
        <x:v>TH03</x:v>
      </x:c>
      <x:c r="B23" s="27" t="n">
        <x:v>669000</x:v>
      </x:c>
      <x:c r="C23" s="26" t="d">
        <x:v>2023-11-01T00:00:00.000Z</x:v>
      </x:c>
      <x:c r="D23" s="24" t="str">
        <x:v>2023年11月特価。実際の購入価格は不明。</x:v>
      </x:c>
      <x:c r="E23" s="24" t="str">
        <x:v>https://www.grandprix.co.th/promotion-mg-november-2023/</x:v>
      </x:c>
    </x:row>
  </x:sheetData>
  <x:mergeCells>
    <x:mergeCell ref="A1:T1"/>
    <x:mergeCell ref="A2:T3"/>
    <x:mergeCell ref="A14:R15"/>
    <x:mergeCell ref="A16:R18"/>
  </x:mergeCells>
  <x:pageMargins left="0.7" right="0.7" top="0.75" bottom="0.75" header="0.3" footer="0.3"/>
  <x:tableParts count="1">
    <x:tablePart xmlns:r="http://schemas.openxmlformats.org/officeDocument/2006/relationships" r:id="R0c3956f36c234b08"/>
  </x:tableParts>
</x:worksheet>
</file>