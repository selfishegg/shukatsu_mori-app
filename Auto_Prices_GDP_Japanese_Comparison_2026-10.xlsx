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d67cb1fe1d48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比較と考察" sheetId="1" r:id="R44c13719d8434b59"/>
    <x:sheet xmlns:r="http://schemas.openxmlformats.org/officeDocument/2006/relationships" name="グラフと相関" sheetId="2" r:id="R3c5d2974f1bd4ab1"/>
    <x:sheet xmlns:r="http://schemas.openxmlformats.org/officeDocument/2006/relationships" name="価格データ" sheetId="3" r:id="R4c322beed8844132"/>
    <x:sheet xmlns:r="http://schemas.openxmlformats.org/officeDocument/2006/relationships" name="GDPと為替" sheetId="4" r:id="Rd69c25f22cc248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000"/>
    <x:numFmt numFmtId="201" formatCode="#,##0"/>
    <x:numFmt numFmtId="202" formatCode="#,##0.0000"/>
    <x:numFmt numFmtId="203" formatCode="yyyy/mm/dd"/>
    <x:numFmt numFmtId="204" formatCode="0.00"/>
    <x:numFmt numFmtId="205" formatCode="+0.0%;-0.0%;0.0%"/>
    <x:numFmt numFmtId="206" formatCode="0.0"/>
    <x:numFmt numFmtId="207" formatCode="#,##0.00"/>
    <x:numFmt numFmtId="208" formatCode="General"/>
  </x:numFmts>
  <x:fonts count="9">
    <x:font>
      <x:sz val="11"/>
      <x:name val="Carlito"/>
    </x:font>
    <x:font>
      <x:sz val="10"/>
      <x:color rgb="FF183349"/>
      <x:name val="Noto Sans CJK JP"/>
    </x:font>
    <x:font>
      <x:b/>
      <x:sz val="14"/>
      <x:color rgb="FF183349"/>
      <x:name val="Noto Sans CJK JP"/>
    </x:font>
    <x:font>
      <x:sz val="10"/>
      <x:color rgb="FF586975"/>
      <x:name val="Noto Sans CJK JP"/>
    </x:font>
    <x:font>
      <x:b/>
      <x:sz val="10"/>
      <x:color rgb="FFFFFFFF"/>
      <x:name val="Noto Sans CJK JP"/>
    </x:font>
    <x:font>
      <x:sz val="10"/>
      <x:color rgb="FF183349"/>
      <x:name val="Noto Sans CJK JP"/>
    </x:font>
    <x:font>
      <x:sz val="10"/>
      <x:color rgb="FF3478A5"/>
      <x:name val="Noto Sans CJK JP"/>
    </x:font>
    <x:font>
      <x:sz val="9"/>
      <x:color rgb="FF586975"/>
      <x:name val="Noto Sans CJK JP"/>
    </x:font>
    <x:font>
      <x:b/>
      <x:sz val="11"/>
      <x:color rgb="FF183349"/>
      <x:name val="Noto Sans CJK JP"/>
    </x:font>
  </x:fonts>
  <x:fills count="5">
    <x:fill>
      <x:patternFill patternType="none"/>
    </x:fill>
    <x:fill>
      <x:patternFill patternType="gray125"/>
    </x:fill>
    <x:fill>
      <x:patternFill patternType="solid">
        <x:fgColor rgb="FF183349"/>
      </x:patternFill>
    </x:fill>
    <x:fill>
      <x:patternFill patternType="solid">
        <x:fgColor rgb="FFEAF2F5"/>
      </x:patternFill>
    </x:fill>
    <x:fill>
      <x:patternFill patternType="solid">
        <x:fgColor rgb="FFFFF1D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1" fontId="6" fillId="4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8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0e0654f6fe4f4b" /><Relationship Type="http://schemas.openxmlformats.org/officeDocument/2006/relationships/theme" Target="/xl/theme/theme1.xml" Id="R268c45a22a76457b" /><Relationship Type="http://schemas.openxmlformats.org/officeDocument/2006/relationships/sharedStrings" Target="/xl/sharedStrings.xml" Id="R358bf2ccc6b84c7f" /><Relationship Type="http://schemas.openxmlformats.org/officeDocument/2006/relationships/worksheet" Target="/xl/worksheets/sheet1.xml" Id="R44c13719d8434b59" /><Relationship Type="http://schemas.openxmlformats.org/officeDocument/2006/relationships/worksheet" Target="/xl/worksheets/sheet2.xml" Id="R3c5d2974f1bd4ab1" /><Relationship Type="http://schemas.openxmlformats.org/officeDocument/2006/relationships/worksheet" Target="/xl/worksheets/sheet3.xml" Id="R4c322beed8844132" /><Relationship Type="http://schemas.openxmlformats.org/officeDocument/2006/relationships/worksheet" Target="/xl/worksheets/sheet4.xml" Id="Rd69c25f22cc248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f37242ff09c44dd" /><Relationship Type="http://schemas.openxmlformats.org/officeDocument/2006/relationships/chart" Target="/xl/drawings/charts/chart2.xml" Id="R30966110981e4cec" /><Relationship Type="http://schemas.openxmlformats.org/officeDocument/2006/relationships/chart" Target="/xl/drawings/charts/chart3.xml" Id="R0c78381ac8184835" /><Relationship Type="http://schemas.openxmlformats.org/officeDocument/2006/relationships/chart" Target="/xl/drawings/charts/chart4.xml" Id="Rc49bd28e61b04b0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Noto Sans CJK JP"/>
                <a:ea typeface="Noto Sans CJK JP"/>
                <a:cs typeface="Noto Sans CJK JP"/>
              </a:rPr>
              <a:t>Dolphin：10カ国（千USD）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Noto Sans CJK JP"/>
              <a:ea typeface="Noto Sans CJK JP"/>
              <a:cs typeface="Noto Sans CJK JP"/>
            </a:defRPr>
          </a:pPr>
        </a:p>
      </c:txPr>
    </c:title>
    <c:plotArea>
      <c:scatterChart>
        <c:scatterStyle val="marker"/>
        <c:ser>
          <c:idx val="0"/>
          <c:order val="0"/>
          <c:tx>
            <c:v>Dolphin 千USD</c:v>
          </c:tx>
          <c:spPr>
            <a:solidFill xmlns:a="http://schemas.openxmlformats.org/drawingml/2006/main">
              <a:srgbClr val="3478A5"/>
            </a:solidFill>
          </c:spPr>
          <c:xVal>
            <c:numRef>
              <c:f>'グラフと相関'!$G$83:$G$92</c:f>
              <c:numCache>
                <c:formatCode>General</c:formatCode>
                <c:ptCount val="0"/>
              </c:numCache>
            </c:numRef>
          </c:xVal>
          <c:yVal>
            <c:numRef>
              <c:f>'グラフと相関'!$H$83:$H$92</c:f>
              <c:numCache>
                <c:formatCode>0.0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CJK JP"/>
                <a:ea typeface="Noto Sans CJK JP"/>
                <a:cs typeface="Noto Sans CJK JP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CJK JP"/>
                <a:ea typeface="Noto Sans CJK JP"/>
                <a:cs typeface="Noto Sans CJK JP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Noto Sans CJK JP"/>
                <a:ea typeface="Noto Sans CJK JP"/>
                <a:cs typeface="Noto Sans CJK JP"/>
              </a:rPr>
              <a:t>Dolphin：SGを除く9カ国（千USD）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Noto Sans CJK JP"/>
              <a:ea typeface="Noto Sans CJK JP"/>
              <a:cs typeface="Noto Sans CJK JP"/>
            </a:defRPr>
          </a:pPr>
        </a:p>
      </c:txPr>
    </c:title>
    <c:plotArea>
      <c:scatterChart>
        <c:scatterStyle val="marker"/>
        <c:ser>
          <c:idx val="0"/>
          <c:order val="0"/>
          <c:tx>
            <c:v>Dolphin 千USD</c:v>
          </c:tx>
          <c:spPr>
            <a:solidFill xmlns:a="http://schemas.openxmlformats.org/drawingml/2006/main">
              <a:srgbClr val="3478A5"/>
            </a:solidFill>
          </c:spPr>
          <c:xVal>
            <c:numRef>
              <c:f>'グラフと相関'!$G$97:$G$105</c:f>
              <c:numCache>
                <c:formatCode>General</c:formatCode>
                <c:ptCount val="0"/>
              </c:numCache>
            </c:numRef>
          </c:xVal>
          <c:yVal>
            <c:numRef>
              <c:f>'グラフと相関'!$H$97:$H$105</c:f>
              <c:numCache>
                <c:formatCode>0.0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CJK JP"/>
                <a:ea typeface="Noto Sans CJK JP"/>
                <a:cs typeface="Noto Sans CJK JP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CJK JP"/>
                <a:ea typeface="Noto Sans CJK JP"/>
                <a:cs typeface="Noto Sans CJK JP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Noto Sans CJK JP"/>
                <a:ea typeface="Noto Sans CJK JP"/>
                <a:cs typeface="Noto Sans CJK JP"/>
              </a:rPr>
              <a:t>HEV同士の通常価格（千USD）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Noto Sans CJK JP"/>
              <a:ea typeface="Noto Sans CJK JP"/>
              <a:cs typeface="Noto Sans CJK JP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H6 HEV</c:v>
          </c:tx>
          <c:spPr>
            <a:solidFill xmlns:a="http://schemas.openxmlformats.org/drawingml/2006/main">
              <a:srgbClr val="17817F"/>
            </a:solidFill>
          </c:spPr>
          <c:cat>
            <c:strRef>
              <c:f>'グラフと相関'!$G$114:$G$120</c:f>
              <c:strCache>
                <c:ptCount val="0"/>
              </c:strCache>
            </c:strRef>
          </c:cat>
          <c:val>
            <c:numRef>
              <c:f>'グラフと相関'!$H$114:$H$120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Toyota HEV</c:v>
          </c:tx>
          <c:spPr>
            <a:solidFill xmlns:a="http://schemas.openxmlformats.org/drawingml/2006/main">
              <a:srgbClr val="B97130"/>
            </a:solidFill>
          </c:spPr>
          <c:cat>
            <c:strRef>
              <c:f>'グラフと相関'!$G$114:$G$120</c:f>
              <c:strCache>
                <c:ptCount val="0"/>
              </c:strCache>
            </c:strRef>
          </c:cat>
          <c:val>
            <c:numRef>
              <c:f>'グラフと相関'!$I$114:$I$120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CJK JP"/>
                <a:ea typeface="Noto Sans CJK JP"/>
                <a:cs typeface="Noto Sans CJK JP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CJK JP"/>
                <a:ea typeface="Noto Sans CJK JP"/>
                <a:cs typeface="Noto Sans CJK JP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Noto Sans CJK JP"/>
              <a:ea typeface="Noto Sans CJK JP"/>
              <a:cs typeface="Noto Sans CJK JP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Noto Sans CJK JP"/>
                <a:ea typeface="Noto Sans CJK JP"/>
                <a:cs typeface="Noto Sans CJK JP"/>
              </a:rPr>
              <a:t>購入負担：車両価格 / GDP（年分）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Noto Sans CJK JP"/>
              <a:ea typeface="Noto Sans CJK JP"/>
              <a:cs typeface="Noto Sans CJK JP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Dolphin BEV</c:v>
          </c:tx>
          <c:spPr>
            <a:solidFill xmlns:a="http://schemas.openxmlformats.org/drawingml/2006/main">
              <a:srgbClr val="3478A5"/>
            </a:solidFill>
          </c:spPr>
          <c:cat>
            <c:strRef>
              <c:f>'グラフと相関'!$G$126:$G$134</c:f>
              <c:strCache>
                <c:ptCount val="0"/>
              </c:strCache>
            </c:strRef>
          </c:cat>
          <c:val>
            <c:numRef>
              <c:f>'グラフと相関'!$H$126:$H$134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Toyota HEV</c:v>
          </c:tx>
          <c:spPr>
            <a:solidFill xmlns:a="http://schemas.openxmlformats.org/drawingml/2006/main">
              <a:srgbClr val="B97130"/>
            </a:solidFill>
          </c:spPr>
          <c:cat>
            <c:strRef>
              <c:f>'グラフと相関'!$G$126:$G$134</c:f>
              <c:strCache>
                <c:ptCount val="0"/>
              </c:strCache>
            </c:strRef>
          </c:cat>
          <c:val>
            <c:numRef>
              <c:f>'グラフと相関'!$I$126:$I$134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CJK JP"/>
                <a:ea typeface="Noto Sans CJK JP"/>
                <a:cs typeface="Noto Sans CJK JP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CJK JP"/>
                <a:ea typeface="Noto Sans CJK JP"/>
                <a:cs typeface="Noto Sans CJK JP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Noto Sans CJK JP"/>
              <a:ea typeface="Noto Sans CJK JP"/>
              <a:cs typeface="Noto Sans CJK JP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5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37242ff09c44dd"/>
        </a:graphicData>
      </a:graphic>
    </xdr:graphicFrame>
    <xdr:clientData/>
  </xdr:twoCellAnchor>
  <xdr:twoCellAnchor>
    <xdr:from>
      <xdr:col>9</xdr:col>
      <xdr:colOff>0</xdr:colOff>
      <xdr:row>5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966110981e4cec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8</xdr:col>
      <xdr:colOff>0</xdr:colOff>
      <xdr:row>49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78381ac8184835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17</xdr:col>
      <xdr:colOff>0</xdr:colOff>
      <xdr:row>49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9bd28e61b04b0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utoPriceSources" displayName="AutoPriceSources" ref="A5:T51" headerRowCount="1" totalsRowCount="0" totalsRowShown="0">
  <x:tableColumns count="20">
    <x:tableColumn id="1" name="ID"/>
    <x:tableColumn id="2" name="国"/>
    <x:tableColumn id="3" name="通貨"/>
    <x:tableColumn id="4" name="企業"/>
    <x:tableColumn id="5" name="モデル系統"/>
    <x:tableColumn id="6" name="動力"/>
    <x:tableColumn id="7" name="企業国籍"/>
    <x:tableColumn id="8" name="最安グレード・現地仕様"/>
    <x:tableColumn id="9" name="通常価格（現地通貨）"/>
    <x:tableColumn id="10" name="参考価格（主表除外）"/>
    <x:tableColumn id="11" name="通常価格USD"/>
    <x:tableColumn id="12" name="価格/GDP（年分）"/>
    <x:tableColumn id="13" name="税・費用・価格基準"/>
    <x:tableColumn id="14" name="出典の種類"/>
    <x:tableColumn id="15" name="資料日"/>
    <x:tableColumn id="16" name="確認日"/>
    <x:tableColumn id="17" name="条件・比較上の注記"/>
    <x:tableColumn id="18" name="価格出典URL"/>
    <x:tableColumn id="19" name="補足URL"/>
    <x:tableColumn id="20" name="区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bd80a492f794a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ff7dd4b5ce64907" /></Relationships>
</file>

<file path=xl/worksheets/sheet1.xml><?xml version="1.0" encoding="utf-8"?>
<x:worksheet xmlns:x="http://schemas.openxmlformats.org/spreadsheetml/2006/main">
  <x:sheetPr>
    <x:tabColor rgb="FF183349"/>
  </x:sheetPr>
  <x:sheetViews>
    <x:sheetView showGridLines="0" workbookViewId="0"/>
  </x:sheetViews>
  <x:sheetFormatPr defaultRowHeight="15"/>
  <x:cols>
    <x:col min="1" max="1" width="2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新車価格・GDPと、日本車との比較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5" t="str">
        <x:v>ASEAN6カ国＋中国＋ドイツ（欧州代表）＋ブラジル＋豪州。価格調査2026/10/07、GDP2025年。各市場の最安通常仕様を比べるため、税・費用・装備・世代は完全には一致しない。</x:v>
      </x:c>
      <x:c r="B3" s="5" t="str">
        <x:v>ASEAN6カ国＋中国＋ドイツ（欧州代表）＋ブラジル＋豪州。価格調査2026/10/07、GDP2025年。各市場の最安通常仕様を比べるため、税・費用・装備・世代は完全には一致しない。</x:v>
      </x:c>
      <x:c r="C3" s="5" t="str">
        <x:v>ASEAN6カ国＋中国＋ドイツ（欧州代表）＋ブラジル＋豪州。価格調査2026/10/07、GDP2025年。各市場の最安通常仕様を比べるため、税・費用・装備・世代は完全には一致しない。</x:v>
      </x:c>
      <x:c r="D3" s="5" t="str">
        <x:v>ASEAN6カ国＋中国＋ドイツ（欧州代表）＋ブラジル＋豪州。価格調査2026/10/07、GDP2025年。各市場の最安通常仕様を比べるため、税・費用・装備・世代は完全には一致しない。</x:v>
      </x:c>
      <x:c r="E3" s="5" t="str">
        <x:v>ASEAN6カ国＋中国＋ドイツ（欧州代表）＋ブラジル＋豪州。価格調査2026/10/07、GDP2025年。各市場の最安通常仕様を比べるため、税・費用・装備・世代は完全には一致しない。</x:v>
      </x:c>
      <x:c r="F3" s="5" t="str">
        <x:v>ASEAN6カ国＋中国＋ドイツ（欧州代表）＋ブラジル＋豪州。価格調査2026/10/07、GDP2025年。各市場の最安通常仕様を比べるため、税・費用・装備・世代は完全には一致しない。</x:v>
      </x:c>
      <x:c r="G3" s="5" t="str">
        <x:v>ASEAN6カ国＋中国＋ドイツ（欧州代表）＋ブラジル＋豪州。価格調査2026/10/07、GDP2025年。各市場の最安通常仕様を比べるため、税・費用・装備・世代は完全には一致しない。</x:v>
      </x:c>
      <x:c r="H3" s="5" t="str">
        <x:v>ASEAN6カ国＋中国＋ドイツ（欧州代表）＋ブラジル＋豪州。価格調査2026/10/07、GDP2025年。各市場の最安通常仕様を比べるため、税・費用・装備・世代は完全には一致しない。</x:v>
      </x:c>
      <x:c r="I3" s="5" t="str">
        <x:v>ASEAN6カ国＋中国＋ドイツ（欧州代表）＋ブラジル＋豪州。価格調査2026/10/07、GDP2025年。各市場の最安通常仕様を比べるため、税・費用・装備・世代は完全には一致しない。</x:v>
      </x:c>
      <x:c r="J3" s="5" t="str">
        <x:v>ASEAN6カ国＋中国＋ドイツ（欧州代表）＋ブラジル＋豪州。価格調査2026/10/07、GDP2025年。各市場の最安通常仕様を比べるため、税・費用・装備・世代は完全には一致しない。</x:v>
      </x:c>
      <x:c r="K3" s="5" t="str">
        <x:v>ASEAN6カ国＋中国＋ドイツ（欧州代表）＋ブラジル＋豪州。価格調査2026/10/07、GDP2025年。各市場の最安通常仕様を比べるため、税・費用・装備・世代は完全には一致しない。</x:v>
      </x:c>
    </x:row>
    <x:row r="4" ht="25" customHeight="1">
      <x:c r="A4" s="5" t="str">
        <x:v>ASEAN6カ国＋中国＋ドイツ（欧州代表）＋ブラジル＋豪州。価格調査2026/10/07、GDP2025年。各市場の最安通常仕様を比べるため、税・費用・装備・世代は完全には一致しない。</x:v>
      </x:c>
      <x:c r="B4" s="5" t="str">
        <x:v>ASEAN6カ国＋中国＋ドイツ（欧州代表）＋ブラジル＋豪州。価格調査2026/10/07、GDP2025年。各市場の最安通常仕様を比べるため、税・費用・装備・世代は完全には一致しない。</x:v>
      </x:c>
      <x:c r="C4" s="5" t="str">
        <x:v>ASEAN6カ国＋中国＋ドイツ（欧州代表）＋ブラジル＋豪州。価格調査2026/10/07、GDP2025年。各市場の最安通常仕様を比べるため、税・費用・装備・世代は完全には一致しない。</x:v>
      </x:c>
      <x:c r="D4" s="5" t="str">
        <x:v>ASEAN6カ国＋中国＋ドイツ（欧州代表）＋ブラジル＋豪州。価格調査2026/10/07、GDP2025年。各市場の最安通常仕様を比べるため、税・費用・装備・世代は完全には一致しない。</x:v>
      </x:c>
      <x:c r="E4" s="5" t="str">
        <x:v>ASEAN6カ国＋中国＋ドイツ（欧州代表）＋ブラジル＋豪州。価格調査2026/10/07、GDP2025年。各市場の最安通常仕様を比べるため、税・費用・装備・世代は完全には一致しない。</x:v>
      </x:c>
      <x:c r="F4" s="5" t="str">
        <x:v>ASEAN6カ国＋中国＋ドイツ（欧州代表）＋ブラジル＋豪州。価格調査2026/10/07、GDP2025年。各市場の最安通常仕様を比べるため、税・費用・装備・世代は完全には一致しない。</x:v>
      </x:c>
      <x:c r="G4" s="5" t="str">
        <x:v>ASEAN6カ国＋中国＋ドイツ（欧州代表）＋ブラジル＋豪州。価格調査2026/10/07、GDP2025年。各市場の最安通常仕様を比べるため、税・費用・装備・世代は完全には一致しない。</x:v>
      </x:c>
      <x:c r="H4" s="5" t="str">
        <x:v>ASEAN6カ国＋中国＋ドイツ（欧州代表）＋ブラジル＋豪州。価格調査2026/10/07、GDP2025年。各市場の最安通常仕様を比べるため、税・費用・装備・世代は完全には一致しない。</x:v>
      </x:c>
      <x:c r="I4" s="5" t="str">
        <x:v>ASEAN6カ国＋中国＋ドイツ（欧州代表）＋ブラジル＋豪州。価格調査2026/10/07、GDP2025年。各市場の最安通常仕様を比べるため、税・費用・装備・世代は完全には一致しない。</x:v>
      </x:c>
      <x:c r="J4" s="5" t="str">
        <x:v>ASEAN6カ国＋中国＋ドイツ（欧州代表）＋ブラジル＋豪州。価格調査2026/10/07、GDP2025年。各市場の最安通常仕様を比べるため、税・費用・装備・世代は完全には一致しない。</x:v>
      </x:c>
      <x:c r="K4" s="5" t="str">
        <x:v>ASEAN6カ国＋中国＋ドイツ（欧州代表）＋ブラジル＋豪州。価格調査2026/10/07、GDP2025年。各市場の最安通常仕様を比べるため、税・費用・装備・世代は完全には一致しない。</x:v>
      </x:c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5" customHeight="1">
      <x:c r="A6" s="21" t="str">
        <x:v>価格水準：同じGDPでも、車両価格は比例していない</x:v>
      </x:c>
      <x:c r="B6" s="20"/>
      <x:c r="C6" s="20"/>
      <x:c r="D6" s="20"/>
      <x:c r="E6" s="20"/>
      <x:c r="F6" s="20"/>
      <x:c r="G6" s="20"/>
      <x:c r="H6" s="20"/>
      <x:c r="I6" s="20"/>
      <x:c r="J6" s="20"/>
      <x:c r="K6" s="20"/>
    </x:row>
    <x:row r="7" ht="44" customHeight="1">
      <x:c r="A7" s="9" t="str">
        <x:v>国</x:v>
      </x:c>
      <x:c r="B7" s="9" t="str">
        <x:v>GDP/人 USD*</x:v>
      </x:c>
      <x:c r="C7" s="9" t="str">
        <x:v>Dolphin BEV
USD</x:v>
      </x:c>
      <x:c r="D7" s="9" t="str">
        <x:v>Atto 3系 BEV
USD</x:v>
      </x:c>
      <x:c r="E7" s="9" t="str">
        <x:v>H6 HEV
USD</x:v>
      </x:c>
      <x:c r="F7" s="9" t="str">
        <x:v>Corolla Cross
HEV USD</x:v>
      </x:c>
      <x:c r="G7" s="9" t="str">
        <x:v>HR-V HEV
USD</x:v>
      </x:c>
      <x:c r="H7" s="9" t="str">
        <x:v>H6 / Toyota
価格差率</x:v>
      </x:c>
      <x:c r="I7" s="9" t="str">
        <x:v>Atto 3 / Toyota
価格差率</x:v>
      </x:c>
      <x:c r="J7" s="2"/>
      <x:c r="K7" s="2"/>
    </x:row>
    <x:row r="8" ht="30" customHeight="1">
      <x:c r="A8" s="10" t="str">
        <x:v>ベトナム</x:v>
      </x:c>
      <x:c r="B8" s="12" t="n">
        <x:f>'GDPと為替'!F6</x:f>
        <x:v>4930.953633724859</x:v>
      </x:c>
      <x:c r="C8" s="12" t="n">
        <x:f>IF('価格データ'!I6="","",'価格データ'!K6)</x:f>
        <x:v>22187.56092805615</x:v>
      </x:c>
      <x:c r="D8" s="12" t="n">
        <x:f>IF('価格データ'!I7="","",'価格データ'!K7)</x:f>
        <x:v>29869.37024761162</x:v>
      </x:c>
      <x:c r="E8" s="12" t="n">
        <x:f>IF('価格データ'!I8="","",'価格データ'!K8)</x:f>
        <x:v>38448.04055371418</x:v>
      </x:c>
      <x:c r="F8" s="12" t="n">
        <x:f>IF('価格データ'!I9="","",'価格データ'!K9)</x:f>
        <x:v>33729.77188535777</x:v>
      </x:c>
      <x:c r="G8" s="12" t="n">
        <x:f>IF('価格データ'!I10="","",'価格データ'!K10)</x:f>
        <x:v>32559.953207252875</x:v>
      </x:c>
      <x:c r="H8" s="32" t="n">
        <x:f>IF(OR(E8="",F8=""),"",E8/F8-1)</x:f>
        <x:v>0.13988439306358402</x:v>
      </x:c>
      <x:c r="I8" s="32" t="n">
        <x:f>IF(OR(D8="",F8=""),"",D8/F8-1)</x:f>
        <x:v>-0.11445086705202312</x:v>
      </x:c>
      <x:c r="J8" s="5" t="str">
        <x:v>H6とToyotaはHEV同士。ただしH6は大型。差率の＋は中国車が高い。Atto 3はBEVなので、動力差を含む購入候補の比較。</x:v>
      </x:c>
      <x:c r="K8" s="5" t="str">
        <x:v>H6とToyotaはHEV同士。ただしH6は大型。差率の＋は中国車が高い。Atto 3はBEVなので、動力差を含む購入候補の比較。</x:v>
      </x:c>
    </x:row>
    <x:row r="9" ht="30" customHeight="1">
      <x:c r="A9" s="10" t="str">
        <x:v>タイ</x:v>
      </x:c>
      <x:c r="B9" s="12" t="n">
        <x:f>'GDPと為替'!F7</x:f>
        <x:v>7890.398030013614</x:v>
      </x:c>
      <x:c r="C9" s="12" t="n">
        <x:f>IF('価格データ'!I11="","",'価格データ'!K11)</x:f>
        <x:v>17867.30389047468</x:v>
      </x:c>
      <x:c r="D9" s="12" t="n">
        <x:f>IF('価格データ'!I12="","",'価格データ'!K12)</x:f>
        <x:v>23824.064647425734</x:v>
      </x:c>
      <x:c r="E9" s="12" t="n">
        <x:f>IF('価格データ'!I13="","",'価格データ'!K13)</x:f>
        <x:v>28860.505867427848</x:v>
      </x:c>
      <x:c r="F9" s="12" t="n">
        <x:f>IF('価格データ'!I14="","",'価格データ'!K14)</x:f>
        <x:v>29456.181943122952</x:v>
      </x:c>
      <x:c r="G9" s="12" t="n">
        <x:f>IF('価格データ'!I15="","",'価格データ'!K15)</x:f>
        <x:v>28562.667829580296</x:v>
      </x:c>
      <x:c r="H9" s="32" t="n">
        <x:f>IF(OR(E9="",F9=""),"",E9/F9-1)</x:f>
        <x:v>-0.020222446916076775</x:v>
      </x:c>
      <x:c r="I9" s="32" t="n">
        <x:f>IF(OR(D9="",F9=""),"",D9/F9-1)</x:f>
        <x:v>-0.19120323559150654</x:v>
      </x:c>
      <x:c r="J9" s="5" t="str">
        <x:v>H6とToyotaはHEV同士。ただしH6は大型。差率の＋は中国車が高い。Atto 3はBEVなので、動力差を含む購入候補の比較。</x:v>
      </x:c>
      <x:c r="K9" s="5" t="str">
        <x:v>H6とToyotaはHEV同士。ただしH6は大型。差率の＋は中国車が高い。Atto 3はBEVなので、動力差を含む購入候補の比較。</x:v>
      </x:c>
    </x:row>
    <x:row r="10" ht="30" customHeight="1">
      <x:c r="A10" s="10" t="str">
        <x:v>インドネシア</x:v>
      </x:c>
      <x:c r="B10" s="12" t="n">
        <x:f>'GDPと為替'!F8</x:f>
        <x:v>4673.09897608492</x:v>
      </x:c>
      <x:c r="C10" s="12" t="n">
        <x:f>IF('価格データ'!I16="","",'価格データ'!K16)</x:f>
        <x:v>20682.926465321714</x:v>
      </x:c>
      <x:c r="D10" s="12" t="n">
        <x:f>IF('価格データ'!I17="","",'価格データ'!K17)</x:f>
        <x:v>23261.28586208269</x:v>
      </x:c>
      <x:c r="E10" s="12" t="n">
        <x:f>IF('価格データ'!I18="","",'価格データ'!K18)</x:f>
        <x:v>36702.385499980104</x:v>
      </x:c>
      <x:c r="F10" s="12" t="n">
        <x:f>IF('価格データ'!I19="","",'価格データ'!K19)</x:f>
        <x:v>33989.50300425769</x:v>
      </x:c>
      <x:c r="G10" s="12" t="n">
        <x:f>IF('価格データ'!I20="","",'価格データ'!K20)</x:f>
        <x:v>25223.081055270384</x:v>
      </x:c>
      <x:c r="H10" s="32" t="n">
        <x:f>IF(OR(E10="",F10=""),"",E10/F10-1)</x:f>
        <x:v>0.07981530343007903</x:v>
      </x:c>
      <x:c r="I10" s="32" t="n">
        <x:f>IF(OR(D10="",F10=""),"",D10/F10-1)</x:f>
        <x:v>-0.31563324538258575</x:v>
      </x:c>
      <x:c r="J10" s="5" t="str">
        <x:v>H6とToyotaはHEV同士。ただしH6は大型。差率の＋は中国車が高い。Atto 3はBEVなので、動力差を含む購入候補の比較。</x:v>
      </x:c>
      <x:c r="K10" s="5" t="str">
        <x:v>H6とToyotaはHEV同士。ただしH6は大型。差率の＋は中国車が高い。Atto 3はBEVなので、動力差を含む購入候補の比較。</x:v>
      </x:c>
    </x:row>
    <x:row r="11" ht="30" customHeight="1">
      <x:c r="A11" s="10" t="str">
        <x:v>フィリピン</x:v>
      </x:c>
      <x:c r="B11" s="12" t="n">
        <x:f>'GDPと為替'!F9</x:f>
        <x:v>3822.7105601098206</x:v>
      </x:c>
      <x:c r="C11" s="12" t="n">
        <x:f>IF('価格データ'!I21="","",'価格データ'!K21)</x:f>
        <x:v>22919.891940822043</x:v>
      </x:c>
      <x:c r="D11" s="12" t="n">
        <x:f>IF('価格データ'!I22="","",'価格データ'!K22)</x:f>
        <x:v>26107.63769058867</x:v>
      </x:c>
      <x:c r="E11" s="12" t="str">
        <x:f>IF('価格データ'!I23="","",'価格データ'!K23)</x:f>
      </x:c>
      <x:c r="F11" s="12" t="n">
        <x:f>IF('価格データ'!I24="","",'価格データ'!K24)</x:f>
        <x:v>24131.23532573336</x:v>
      </x:c>
      <x:c r="G11" s="12" t="n">
        <x:f>IF('価格データ'!I25="","",'価格データ'!K25)</x:f>
        <x:v>28673.7730191508</x:v>
      </x:c>
      <x:c r="H11" s="32" t="str">
        <x:f>IF(OR(E11="",F11=""),"",E11/F11-1)</x:f>
      </x:c>
      <x:c r="I11" s="32" t="n">
        <x:f>IF(OR(D11="",F11=""),"",D11/F11-1)</x:f>
        <x:v>0.0819022457067371</x:v>
      </x:c>
      <x:c r="J11" s="5" t="str">
        <x:v>H6とToyotaはHEV同士。ただしH6は大型。差率の＋は中国車が高い。Atto 3はBEVなので、動力差を含む購入候補の比較。</x:v>
      </x:c>
      <x:c r="K11" s="5" t="str">
        <x:v>H6とToyotaはHEV同士。ただしH6は大型。差率の＋は中国車が高い。Atto 3はBEVなので、動力差を含む購入候補の比較。</x:v>
      </x:c>
    </x:row>
    <x:row r="12" ht="30" customHeight="1">
      <x:c r="A12" s="10" t="str">
        <x:v>マレーシア</x:v>
      </x:c>
      <x:c r="B12" s="12" t="n">
        <x:f>'GDPと為替'!F10</x:f>
        <x:v>13765.237531731245</x:v>
      </x:c>
      <x:c r="C12" s="12" t="n">
        <x:f>IF('価格データ'!I26="","",'価格データ'!K26)</x:f>
        <x:v>24479.73237172525</x:v>
      </x:c>
      <x:c r="D12" s="12" t="n">
        <x:f>IF('価格データ'!I27="","",'価格データ'!K27)</x:f>
        <x:v>30795.503323630364</x:v>
      </x:c>
      <x:c r="E12" s="12" t="n">
        <x:f>IF('価格データ'!I28="","",'価格データ'!K28)</x:f>
        <x:v>34119.85097971065</x:v>
      </x:c>
      <x:c r="F12" s="12" t="n">
        <x:f>IF('価格データ'!I29="","",'価格データ'!K29)</x:f>
        <x:v>34467.46317938915</x:v>
      </x:c>
      <x:c r="G12" s="12" t="n">
        <x:f>IF('価格データ'!I30="","",'価格データ'!K30)</x:f>
        <x:v>35226.33488291263</x:v>
      </x:c>
      <x:c r="H12" s="32" t="n">
        <x:f>IF(OR(E12="",F12=""),"",E12/F12-1)</x:f>
        <x:v>-0.010085227272727315</x:v>
      </x:c>
      <x:c r="I12" s="32" t="n">
        <x:f>IF(OR(D12="",F12=""),"",D12/F12-1)</x:f>
        <x:v>-0.10653409090909094</x:v>
      </x:c>
      <x:c r="J12" s="2"/>
      <x:c r="K12" s="2"/>
    </x:row>
    <x:row r="13" ht="30" customHeight="1">
      <x:c r="A13" s="10" t="str">
        <x:v>シンガポール</x:v>
      </x:c>
      <x:c r="B13" s="12" t="n">
        <x:f>'GDPと為替'!F11</x:f>
        <x:v>101159.74007767838</x:v>
      </x:c>
      <x:c r="C13" s="12" t="n">
        <x:f>IF('価格データ'!I31="","",'価格データ'!K31)</x:f>
        <x:v>201144.44635908838</x:v>
      </x:c>
      <x:c r="D13" s="12" t="n">
        <x:f>IF('価格データ'!I32="","",'価格データ'!K32)</x:f>
        <x:v>201144.44635908838</x:v>
      </x:c>
      <x:c r="E13" s="12" t="str">
        <x:f>IF('価格データ'!I33="","",'価格データ'!K33)</x:f>
      </x:c>
      <x:c r="F13" s="12" t="str">
        <x:f>IF('価格データ'!I34="","",'価格データ'!K34)</x:f>
      </x:c>
      <x:c r="G13" s="12" t="str">
        <x:f>IF('価格データ'!I35="","",'価格データ'!K35)</x:f>
      </x:c>
      <x:c r="H13" s="32" t="str">
        <x:f>IF(OR(E13="",F13=""),"",E13/F13-1)</x:f>
      </x:c>
      <x:c r="I13" s="32" t="str">
        <x:f>IF(OR(D13="",F13=""),"",D13/F13-1)</x:f>
      </x:c>
      <x:c r="J13" s="5" t="str">
        <x:v>SGのToyotaは通常List未確定で空欄。HondaはASEAN補足、SG未確認。BRのToyotaは10/2発表、10月後半発売予定。中国車は前回ファイルと同じ価格。</x:v>
      </x:c>
      <x:c r="K13" s="5" t="str">
        <x:v>SGのToyotaは通常List未確定で空欄。HondaはASEAN補足、SG未確認。BRのToyotaは10/2発表、10月後半発売予定。中国車は前回ファイルと同じ価格。</x:v>
      </x:c>
    </x:row>
    <x:row r="14" ht="30" customHeight="1">
      <x:c r="A14" s="10" t="str">
        <x:v>中国</x:v>
      </x:c>
      <x:c r="B14" s="12" t="n">
        <x:f>'GDPと為替'!F12</x:f>
        <x:v>14865.2606091394</x:v>
      </x:c>
      <x:c r="C14" s="12" t="n">
        <x:f>IF('価格データ'!I36="","",'価格データ'!K36)</x:f>
        <x:v>14885.329697964371</x:v>
      </x:c>
      <x:c r="D14" s="12" t="n">
        <x:f>IF('価格データ'!I37="","",'価格データ'!K37)</x:f>
        <x:v>17883.276861582446</x:v>
      </x:c>
      <x:c r="E14" s="12" t="str">
        <x:f>IF('価格データ'!I38="","",'価格データ'!K38)</x:f>
      </x:c>
      <x:c r="F14" s="12" t="n">
        <x:f>IF('価格データ'!I39="","",'価格データ'!K39)</x:f>
        <x:v>20851.39370516452</x:v>
      </x:c>
      <x:c r="G14" s="12"/>
      <x:c r="H14" s="32" t="str">
        <x:f>IF(OR(E14="",F14=""),"",E14/F14-1)</x:f>
      </x:c>
      <x:c r="I14" s="32" t="n">
        <x:f>IF(OR(D14="",F14=""),"",D14/F14-1)</x:f>
        <x:v>-0.14234620886981397</x:v>
      </x:c>
      <x:c r="J14" s="5" t="str">
        <x:v>SGのToyotaは通常List未確定で空欄。HondaはASEAN補足、SG未確認。BRのToyotaは10/2発表、10月後半発売予定。中国車は前回ファイルと同じ価格。</x:v>
      </x:c>
      <x:c r="K14" s="5" t="str">
        <x:v>SGのToyotaは通常List未確定で空欄。HondaはASEAN補足、SG未確認。BRのToyotaは10/2発表、10月後半発売予定。中国車は前回ファイルと同じ価格。</x:v>
      </x:c>
    </x:row>
    <x:row r="15" ht="30" customHeight="1">
      <x:c r="A15" s="10" t="str">
        <x:v>ドイツ</x:v>
      </x:c>
      <x:c r="B15" s="12" t="n">
        <x:f>'GDPと為替'!F13</x:f>
        <x:v>60331.3717225622</x:v>
      </x:c>
      <x:c r="C15" s="12" t="n">
        <x:f>IF('価格データ'!I40="","",'価格データ'!K40)</x:f>
        <x:v>38303.331</x:v>
      </x:c>
      <x:c r="D15" s="12" t="n">
        <x:f>IF('価格データ'!I41="","",'価格データ'!K41)</x:f>
        <x:v>50699.231</x:v>
      </x:c>
      <x:c r="E15" s="12" t="n">
        <x:f>IF('価格データ'!I42="","",'価格データ'!K42)</x:f>
        <x:v>36049.531</x:v>
      </x:c>
      <x:c r="F15" s="12" t="n">
        <x:f>IF('価格データ'!I43="","",'価格データ'!K43)</x:f>
        <x:v>41684.031</x:v>
      </x:c>
      <x:c r="G15" s="12"/>
      <x:c r="H15" s="32" t="n">
        <x:f>IF(OR(E15="",F15=""),"",E15/F15-1)</x:f>
        <x:v>-0.13517166801838332</x:v>
      </x:c>
      <x:c r="I15" s="32" t="n">
        <x:f>IF(OR(D15="",F15=""),"",D15/F15-1)</x:f>
        <x:v>0.21627466882941326</x:v>
      </x:c>
      <x:c r="J15" s="5" t="str">
        <x:v>SGのToyotaは通常List未確定で空欄。HondaはASEAN補足、SG未確認。BRのToyotaは10/2発表、10月後半発売予定。中国車は前回ファイルと同じ価格。</x:v>
      </x:c>
      <x:c r="K15" s="5" t="str">
        <x:v>SGのToyotaは通常List未確定で空欄。HondaはASEAN補足、SG未確認。BRのToyotaは10/2発表、10月後半発売予定。中国車は前回ファイルと同じ価格。</x:v>
      </x:c>
    </x:row>
    <x:row r="16" ht="30" customHeight="1">
      <x:c r="A16" s="10" t="str">
        <x:v>ブラジル</x:v>
      </x:c>
      <x:c r="B16" s="12" t="n">
        <x:f>'GDPと為替'!F14</x:f>
        <x:v>12047.328246940044</x:v>
      </x:c>
      <x:c r="C16" s="12" t="n">
        <x:f>IF('価格データ'!I44="","",'価格データ'!K44)</x:f>
        <x:v>30187.660695468916</x:v>
      </x:c>
      <x:c r="D16" s="12" t="n">
        <x:f>IF('価格データ'!I45="","",'価格データ'!K45)</x:f>
        <x:v>54339.39936775553</x:v>
      </x:c>
      <x:c r="E16" s="12" t="n">
        <x:f>IF('価格データ'!I46="","",'価格データ'!K46)</x:f>
        <x:v>40232.77133825079</x:v>
      </x:c>
      <x:c r="F16" s="12" t="n">
        <x:f>IF('価格データ'!I47="","",'価格データ'!K47)</x:f>
        <x:v>43068.58798735511</x:v>
      </x:c>
      <x:c r="G16" s="12"/>
      <x:c r="H16" s="32" t="n">
        <x:f>IF(OR(E16="",F16=""),"",E16/F16-1)</x:f>
        <x:v>-0.06584419832702448</x:v>
      </x:c>
      <x:c r="I16" s="32" t="n">
        <x:f>IF(OR(D16="",F16=""),"",D16/F16-1)</x:f>
        <x:v>0.2616944717042853</x:v>
      </x:c>
      <x:c r="J16" s="5" t="str">
        <x:v>SGのToyotaは通常List未確定で空欄。HondaはASEAN補足、SG未確認。BRのToyotaは10/2発表、10月後半発売予定。中国車は前回ファイルと同じ価格。</x:v>
      </x:c>
      <x:c r="K16" s="5" t="str">
        <x:v>SGのToyotaは通常List未確定で空欄。HondaはASEAN補足、SG未確認。BRのToyotaは10/2発表、10月後半発売予定。中国車は前回ファイルと同じ価格。</x:v>
      </x:c>
    </x:row>
    <x:row r="17" ht="30" customHeight="1">
      <x:c r="A17" s="10" t="str">
        <x:v>豪州</x:v>
      </x:c>
      <x:c r="B17" s="12" t="n">
        <x:f>'GDPと為替'!F15</x:f>
        <x:v>70261.6774435577</x:v>
      </x:c>
      <x:c r="C17" s="12" t="n">
        <x:f>IF('価格データ'!I48="","",'価格データ'!K48)</x:f>
        <x:v>20939.114622057</x:v>
      </x:c>
      <x:c r="D17" s="12" t="n">
        <x:f>IF('価格データ'!I49="","",'価格データ'!K49)</x:f>
        <x:v>27921.146840148696</x:v>
      </x:c>
      <x:c r="E17" s="12" t="n">
        <x:f>IF('価格データ'!I50="","",'価格データ'!K50)</x:f>
        <x:v>27572.04522924411</x:v>
      </x:c>
      <x:c r="F17" s="12" t="n">
        <x:f>IF('価格データ'!I51="","",'価格データ'!K51)</x:f>
        <x:v>26140.728624535313</x:v>
      </x:c>
      <x:c r="G17" s="12"/>
      <x:c r="H17" s="32" t="n">
        <x:f>IF(OR(E17="",F17=""),"",E17/F17-1)</x:f>
        <x:v>0.05475427350427342</x:v>
      </x:c>
      <x:c r="I17" s="32" t="n">
        <x:f>IF(OR(D17="",F17=""),"",D17/F17-1)</x:f>
        <x:v>0.06810897435897445</x:v>
      </x:c>
      <x:c r="J17" s="5" t="str">
        <x:v>SGのToyotaは通常List未確定で空欄。HondaはASEAN補足、SG未確認。BRのToyotaは10/2発表、10月後半発売予定。中国車は前回ファイルと同じ価格。</x:v>
      </x:c>
      <x:c r="K17" s="5" t="str">
        <x:v>SGのToyotaは通常List未確定で空欄。HondaはASEAN補足、SG未確認。BRのToyotaは10/2発表、10月後半発売予定。中国車は前回ファイルと同じ価格。</x:v>
      </x:c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25" customHeight="1">
      <x:c r="A19" s="5" t="str">
        <x:v>*GDP/人USDは2025年の現地通貨GDPを価格と同じ2026/10/06為替で換算。WB公表の2025年USDは「GDPと為替」に別途収録。未確認をゼロにしていない。H6やAtto 3の割高・割安は、この価格基準と各国の最安仕様での観測。</x:v>
      </x:c>
      <x:c r="B19" s="5" t="str">
        <x:v>*GDP/人USDは2025年の現地通貨GDPを価格と同じ2026/10/06為替で換算。WB公表の2025年USDは「GDPと為替」に別途収録。未確認をゼロにしていない。H6やAtto 3の割高・割安は、この価格基準と各国の最安仕様での観測。</x:v>
      </x:c>
      <x:c r="C19" s="5" t="str">
        <x:v>*GDP/人USDは2025年の現地通貨GDPを価格と同じ2026/10/06為替で換算。WB公表の2025年USDは「GDPと為替」に別途収録。未確認をゼロにしていない。H6やAtto 3の割高・割安は、この価格基準と各国の最安仕様での観測。</x:v>
      </x:c>
      <x:c r="D19" s="5" t="str">
        <x:v>*GDP/人USDは2025年の現地通貨GDPを価格と同じ2026/10/06為替で換算。WB公表の2025年USDは「GDPと為替」に別途収録。未確認をゼロにしていない。H6やAtto 3の割高・割安は、この価格基準と各国の最安仕様での観測。</x:v>
      </x:c>
      <x:c r="E19" s="5" t="str">
        <x:v>*GDP/人USDは2025年の現地通貨GDPを価格と同じ2026/10/06為替で換算。WB公表の2025年USDは「GDPと為替」に別途収録。未確認をゼロにしていない。H6やAtto 3の割高・割安は、この価格基準と各国の最安仕様での観測。</x:v>
      </x:c>
      <x:c r="F19" s="5" t="str">
        <x:v>*GDP/人USDは2025年の現地通貨GDPを価格と同じ2026/10/06為替で換算。WB公表の2025年USDは「GDPと為替」に別途収録。未確認をゼロにしていない。H6やAtto 3の割高・割安は、この価格基準と各国の最安仕様での観測。</x:v>
      </x:c>
      <x:c r="G19" s="5" t="str">
        <x:v>*GDP/人USDは2025年の現地通貨GDPを価格と同じ2026/10/06為替で換算。WB公表の2025年USDは「GDPと為替」に別途収録。未確認をゼロにしていない。H6やAtto 3の割高・割安は、この価格基準と各国の最安仕様での観測。</x:v>
      </x:c>
      <x:c r="H19" s="5" t="str">
        <x:v>*GDP/人USDは2025年の現地通貨GDPを価格と同じ2026/10/06為替で換算。WB公表の2025年USDは「GDPと為替」に別途収録。未確認をゼロにしていない。H6やAtto 3の割高・割安は、この価格基準と各国の最安仕様での観測。</x:v>
      </x:c>
      <x:c r="I19" s="5" t="str">
        <x:v>*GDP/人USDは2025年の現地通貨GDPを価格と同じ2026/10/06為替で換算。WB公表の2025年USDは「GDPと為替」に別途収録。未確認をゼロにしていない。H6やAtto 3の割高・割安は、この価格基準と各国の最安仕様での観測。</x:v>
      </x:c>
      <x:c r="J19" s="5" t="str">
        <x:v>*GDP/人USDは2025年の現地通貨GDPを価格と同じ2026/10/06為替で換算。WB公表の2025年USDは「GDPと為替」に別途収録。未確認をゼロにしていない。H6やAtto 3の割高・割安は、この価格基準と各国の最安仕様での観測。</x:v>
      </x:c>
      <x:c r="K19" s="5" t="str">
        <x:v>*GDP/人USDは2025年の現地通貨GDPを価格と同じ2026/10/06為替で換算。WB公表の2025年USDは「GDPと為替」に別途収録。未確認をゼロにしていない。H6やAtto 3の割高・割安は、この価格基準と各国の最安仕様での観測。</x:v>
      </x:c>
    </x:row>
    <x:row r="20" ht="25" customHeight="1">
      <x:c r="A20" s="5" t="str">
        <x:v>*GDP/人USDは2025年の現地通貨GDPを価格と同じ2026/10/06為替で換算。WB公表の2025年USDは「GDPと為替」に別途収録。未確認をゼロにしていない。H6やAtto 3の割高・割安は、この価格基準と各国の最安仕様での観測。</x:v>
      </x:c>
      <x:c r="B20" s="5" t="str">
        <x:v>*GDP/人USDは2025年の現地通貨GDPを価格と同じ2026/10/06為替で換算。WB公表の2025年USDは「GDPと為替」に別途収録。未確認をゼロにしていない。H6やAtto 3の割高・割安は、この価格基準と各国の最安仕様での観測。</x:v>
      </x:c>
      <x:c r="C20" s="5" t="str">
        <x:v>*GDP/人USDは2025年の現地通貨GDPを価格と同じ2026/10/06為替で換算。WB公表の2025年USDは「GDPと為替」に別途収録。未確認をゼロにしていない。H6やAtto 3の割高・割安は、この価格基準と各国の最安仕様での観測。</x:v>
      </x:c>
      <x:c r="D20" s="5" t="str">
        <x:v>*GDP/人USDは2025年の現地通貨GDPを価格と同じ2026/10/06為替で換算。WB公表の2025年USDは「GDPと為替」に別途収録。未確認をゼロにしていない。H6やAtto 3の割高・割安は、この価格基準と各国の最安仕様での観測。</x:v>
      </x:c>
      <x:c r="E20" s="5" t="str">
        <x:v>*GDP/人USDは2025年の現地通貨GDPを価格と同じ2026/10/06為替で換算。WB公表の2025年USDは「GDPと為替」に別途収録。未確認をゼロにしていない。H6やAtto 3の割高・割安は、この価格基準と各国の最安仕様での観測。</x:v>
      </x:c>
      <x:c r="F20" s="5" t="str">
        <x:v>*GDP/人USDは2025年の現地通貨GDPを価格と同じ2026/10/06為替で換算。WB公表の2025年USDは「GDPと為替」に別途収録。未確認をゼロにしていない。H6やAtto 3の割高・割安は、この価格基準と各国の最安仕様での観測。</x:v>
      </x:c>
      <x:c r="G20" s="5" t="str">
        <x:v>*GDP/人USDは2025年の現地通貨GDPを価格と同じ2026/10/06為替で換算。WB公表の2025年USDは「GDPと為替」に別途収録。未確認をゼロにしていない。H6やAtto 3の割高・割安は、この価格基準と各国の最安仕様での観測。</x:v>
      </x:c>
      <x:c r="H20" s="5" t="str">
        <x:v>*GDP/人USDは2025年の現地通貨GDPを価格と同じ2026/10/06為替で換算。WB公表の2025年USDは「GDPと為替」に別途収録。未確認をゼロにしていない。H6やAtto 3の割高・割安は、この価格基準と各国の最安仕様での観測。</x:v>
      </x:c>
      <x:c r="I20" s="5" t="str">
        <x:v>*GDP/人USDは2025年の現地通貨GDPを価格と同じ2026/10/06為替で換算。WB公表の2025年USDは「GDPと為替」に別途収録。未確認をゼロにしていない。H6やAtto 3の割高・割安は、この価格基準と各国の最安仕様での観測。</x:v>
      </x:c>
      <x:c r="J20" s="5" t="str">
        <x:v>*GDP/人USDは2025年の現地通貨GDPを価格と同じ2026/10/06為替で換算。WB公表の2025年USDは「GDPと為替」に別途収録。未確認をゼロにしていない。H6やAtto 3の割高・割安は、この価格基準と各国の最安仕様での観測。</x:v>
      </x:c>
      <x:c r="K20" s="5" t="str">
        <x:v>*GDP/人USDは2025年の現地通貨GDPを価格と同じ2026/10/06為替で換算。WB公表の2025年USDは「GDPと為替」に別途収録。未確認をゼロにしていない。H6やAtto 3の割高・割安は、この価格基準と各国の最安仕様での観測。</x:v>
      </x:c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5" customHeight="1">
      <x:c r="A22" s="21" t="str">
        <x:v>購入負担の目安：車両価格 ÷ 1人当たりGDP（年分）</x:v>
      </x:c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</x:row>
    <x:row r="23" ht="44" customHeight="1">
      <x:c r="A23" s="9" t="str">
        <x:v>国</x:v>
      </x:c>
      <x:c r="B23" s="9" t="str">
        <x:v>Dolphin</x:v>
      </x:c>
      <x:c r="C23" s="9" t="str">
        <x:v>Atto 3系</x:v>
      </x:c>
      <x:c r="D23" s="9" t="str">
        <x:v>H6 HEV</x:v>
      </x:c>
      <x:c r="E23" s="9" t="str">
        <x:v>Toyota HEV</x:v>
      </x:c>
      <x:c r="F23" s="9" t="str">
        <x:v>Honda HEV</x:v>
      </x:c>
      <x:c r="G23" s="2"/>
      <x:c r="H23" s="2"/>
      <x:c r="I23" s="2"/>
      <x:c r="J23" s="2"/>
      <x:c r="K23" s="2"/>
    </x:row>
    <x:row r="24" ht="25" customHeight="1">
      <x:c r="A24" s="10" t="str">
        <x:v>ベトナム</x:v>
      </x:c>
      <x:c r="B24" s="24" t="n">
        <x:f>IF('価格データ'!I6="","",'価格データ'!L6)</x:f>
        <x:v>4.4996490691589806</x:v>
      </x:c>
      <x:c r="C24" s="24" t="n">
        <x:f>IF('価格データ'!I7="","",'価格データ'!L7)</x:f>
        <x:v>6.057524054438979</x:v>
      </x:c>
      <x:c r="D24" s="24" t="n">
        <x:f>IF('価格データ'!I8="","",'価格データ'!L8)</x:f>
        <x:v>7.797282921249129</x:v>
      </x:c>
      <x:c r="E24" s="24" t="n">
        <x:f>IF('価格データ'!I9="","",'価格データ'!L9)</x:f>
        <x:v>6.840415544503546</x:v>
      </x:c>
      <x:c r="F24" s="24" t="n">
        <x:f>IF('価格データ'!I10="","",'価格データ'!L10)</x:f>
        <x:v>6.603175699029435</x:v>
      </x:c>
      <x:c r="G24" s="2"/>
      <x:c r="H24" s="5" t="str">
        <x:v>GDPは生産活動の指標で、給与・中央値所得・可処分所得ではない。「6年分」でも、6年働けば買えるという意味ではない。国平均と実際の新車購入層の所得にも差がある。</x:v>
      </x:c>
      <x:c r="I24" s="5" t="str">
        <x:v>GDPは生産活動の指標で、給与・中央値所得・可処分所得ではない。「6年分」でも、6年働けば買えるという意味ではない。国平均と実際の新車購入層の所得にも差がある。</x:v>
      </x:c>
      <x:c r="J24" s="5" t="str">
        <x:v>GDPは生産活動の指標で、給与・中央値所得・可処分所得ではない。「6年分」でも、6年働けば買えるという意味ではない。国平均と実際の新車購入層の所得にも差がある。</x:v>
      </x:c>
      <x:c r="K24" s="5" t="str">
        <x:v>GDPは生産活動の指標で、給与・中央値所得・可処分所得ではない。「6年分」でも、6年働けば買えるという意味ではない。国平均と実際の新車購入層の所得にも差がある。</x:v>
      </x:c>
    </x:row>
    <x:row r="25" ht="25" customHeight="1">
      <x:c r="A25" s="10" t="str">
        <x:v>タイ</x:v>
      </x:c>
      <x:c r="B25" s="24" t="n">
        <x:f>IF('価格データ'!I11="","",'価格データ'!L11)</x:f>
        <x:v>2.2644363215278576</x:v>
      </x:c>
      <x:c r="C25" s="24" t="n">
        <x:f>IF('価格データ'!I12="","",'価格データ'!L12)</x:f>
        <x:v>3.0193742516921707</x:v>
      </x:c>
      <x:c r="D25" s="24" t="n">
        <x:f>IF('価格データ'!I13="","",'価格データ'!L13)</x:f>
        <x:v>3.6576742716460973</x:v>
      </x:c>
      <x:c r="E25" s="24" t="n">
        <x:f>IF('価格データ'!I14="","",'価格データ'!L14)</x:f>
        <x:v>3.7331680646625287</x:v>
      </x:c>
      <x:c r="F25" s="24" t="n">
        <x:f>IF('価格データ'!I15="","",'価格データ'!L15)</x:f>
        <x:v>3.6199273751378818</x:v>
      </x:c>
      <x:c r="G25" s="2"/>
      <x:c r="H25" s="5" t="str">
        <x:v>GDPは生産活動の指標で、給与・中央値所得・可処分所得ではない。「6年分」でも、6年働けば買えるという意味ではない。国平均と実際の新車購入層の所得にも差がある。</x:v>
      </x:c>
      <x:c r="I25" s="5" t="str">
        <x:v>GDPは生産活動の指標で、給与・中央値所得・可処分所得ではない。「6年分」でも、6年働けば買えるという意味ではない。国平均と実際の新車購入層の所得にも差がある。</x:v>
      </x:c>
      <x:c r="J25" s="5" t="str">
        <x:v>GDPは生産活動の指標で、給与・中央値所得・可処分所得ではない。「6年分」でも、6年働けば買えるという意味ではない。国平均と実際の新車購入層の所得にも差がある。</x:v>
      </x:c>
      <x:c r="K25" s="5" t="str">
        <x:v>GDPは生産活動の指標で、給与・中央値所得・可処分所得ではない。「6年分」でも、6年働けば買えるという意味ではない。国平均と実際の新車購入層の所得にも差がある。</x:v>
      </x:c>
    </x:row>
    <x:row r="26" ht="25" customHeight="1">
      <x:c r="A26" s="10" t="str">
        <x:v>インドネシア</x:v>
      </x:c>
      <x:c r="B26" s="24" t="n">
        <x:f>IF('価格データ'!I16="","",'価格データ'!L16)</x:f>
        <x:v>4.425955146931146</x:v>
      </x:c>
      <x:c r="C26" s="24" t="n">
        <x:f>IF('価格データ'!I17="","",'価格データ'!L17)</x:f>
        <x:v>4.977700232998442</x:v>
      </x:c>
      <x:c r="D26" s="24" t="n">
        <x:f>IF('価格データ'!I18="","",'価格データ'!L18)</x:f>
        <x:v>7.853971355584049</x:v>
      </x:c>
      <x:c r="E26" s="24" t="n">
        <x:f>IF('価格データ'!I19="","",'価格データ'!L19)</x:f>
        <x:v>7.273439569374109</x:v>
      </x:c>
      <x:c r="F26" s="24" t="n">
        <x:f>IF('価格データ'!I20="","",'価格データ'!L20)</x:f>
        <x:v>5.3975062767452995</x:v>
      </x:c>
      <x:c r="G26" s="2"/>
      <x:c r="H26" s="5" t="str">
        <x:v>GDPは生産活動の指標で、給与・中央値所得・可処分所得ではない。「6年分」でも、6年働けば買えるという意味ではない。国平均と実際の新車購入層の所得にも差がある。</x:v>
      </x:c>
      <x:c r="I26" s="5" t="str">
        <x:v>GDPは生産活動の指標で、給与・中央値所得・可処分所得ではない。「6年分」でも、6年働けば買えるという意味ではない。国平均と実際の新車購入層の所得にも差がある。</x:v>
      </x:c>
      <x:c r="J26" s="5" t="str">
        <x:v>GDPは生産活動の指標で、給与・中央値所得・可処分所得ではない。「6年分」でも、6年働けば買えるという意味ではない。国平均と実際の新車購入層の所得にも差がある。</x:v>
      </x:c>
      <x:c r="K26" s="5" t="str">
        <x:v>GDPは生産活動の指標で、給与・中央値所得・可処分所得ではない。「6年分」でも、6年働けば買えるという意味ではない。国平均と実際の新車購入層の所得にも差がある。</x:v>
      </x:c>
    </x:row>
    <x:row r="27" ht="25" customHeight="1">
      <x:c r="A27" s="10" t="str">
        <x:v>フィリピン</x:v>
      </x:c>
      <x:c r="B27" s="24" t="n">
        <x:f>IF('価格データ'!I21="","",'価格データ'!L21)</x:f>
        <x:v>5.995717326860235</x:v>
      </x:c>
      <x:c r="C27" s="24" t="n">
        <x:f>IF('価格データ'!I22="","",'価格データ'!L22)</x:f>
        <x:v>6.829614034351227</x:v>
      </x:c>
      <x:c r="D27" s="24" t="str">
        <x:f>IF('価格データ'!I23="","",'価格データ'!L23)</x:f>
      </x:c>
      <x:c r="E27" s="24" t="n">
        <x:f>IF('価格データ'!I24="","",'価格データ'!L24)</x:f>
        <x:v>6.312598075706812</x:v>
      </x:c>
      <x:c r="F27" s="24" t="n">
        <x:f>IF('価格データ'!I25="","",'価格データ'!L25)</x:f>
        <x:v>7.500900883881475</x:v>
      </x:c>
      <x:c r="G27" s="2"/>
      <x:c r="H27" s="5" t="str">
        <x:v>GDPは生産活動の指標で、給与・中央値所得・可処分所得ではない。「6年分」でも、6年働けば買えるという意味ではない。国平均と実際の新車購入層の所得にも差がある。</x:v>
      </x:c>
      <x:c r="I27" s="5" t="str">
        <x:v>GDPは生産活動の指標で、給与・中央値所得・可処分所得ではない。「6年分」でも、6年働けば買えるという意味ではない。国平均と実際の新車購入層の所得にも差がある。</x:v>
      </x:c>
      <x:c r="J27" s="5" t="str">
        <x:v>GDPは生産活動の指標で、給与・中央値所得・可処分所得ではない。「6年分」でも、6年働けば買えるという意味ではない。国平均と実際の新車購入層の所得にも差がある。</x:v>
      </x:c>
      <x:c r="K27" s="5" t="str">
        <x:v>GDPは生産活動の指標で、給与・中央値所得・可処分所得ではない。「6年分」でも、6年働けば買えるという意味ではない。国平均と実際の新車購入層の所得にも差がある。</x:v>
      </x:c>
    </x:row>
    <x:row r="28" ht="25" customHeight="1">
      <x:c r="A28" s="10" t="str">
        <x:v>マレーシア</x:v>
      </x:c>
      <x:c r="B28" s="24" t="n">
        <x:f>IF('価格データ'!I26="","",'価格データ'!L26)</x:f>
        <x:v>1.7783734073091906</x:v>
      </x:c>
      <x:c r="C28" s="24" t="n">
        <x:f>IF('価格データ'!I27="","",'価格データ'!L27)</x:f>
        <x:v>2.237193746394962</x:v>
      </x:c>
      <x:c r="D28" s="24" t="n">
        <x:f>IF('価格データ'!I28="","",'価格データ'!L28)</x:f>
        <x:v>2.47869685510755</x:v>
      </x:c>
      <x:c r="E28" s="24" t="n">
        <x:f>IF('価格データ'!I29="","",'価格データ'!L29)</x:f>
        <x:v>2.5039497574913403</x:v>
      </x:c>
      <x:c r="F28" s="24" t="n">
        <x:f>IF('価格データ'!I30="","",'価格データ'!L30)</x:f>
        <x:v>2.5590793331179253</x:v>
      </x:c>
      <x:c r="G28" s="2"/>
      <x:c r="H28" s="2"/>
      <x:c r="I28" s="2"/>
      <x:c r="J28" s="2"/>
      <x:c r="K28" s="2"/>
    </x:row>
    <x:row r="29" ht="25" customHeight="1">
      <x:c r="A29" s="10" t="str">
        <x:v>シンガポール</x:v>
      </x:c>
      <x:c r="B29" s="24" t="n">
        <x:f>IF('価格データ'!I31="","",'価格データ'!L31)</x:f>
        <x:v>1.9883843731175455</x:v>
      </x:c>
      <x:c r="C29" s="24" t="n">
        <x:f>IF('価格データ'!I32="","",'価格データ'!L32)</x:f>
        <x:v>1.9883843731175455</x:v>
      </x:c>
      <x:c r="D29" s="24" t="str">
        <x:f>IF('価格データ'!I33="","",'価格データ'!L33)</x:f>
      </x:c>
      <x:c r="E29" s="24" t="str">
        <x:f>IF('価格データ'!I34="","",'価格データ'!L34)</x:f>
      </x:c>
      <x:c r="F29" s="24" t="str">
        <x:f>IF('価格データ'!I35="","",'価格データ'!L35)</x:f>
      </x:c>
      <x:c r="G29" s="2"/>
      <x:c r="H29" s="5" t="str">
        <x:v>同一モデル系統の価格が似ていても、所得の低い市場では購入負担が重い。価格設定を説明するには税・関税・現地生産・補助・競合・仕様を、購入可能性には家計所得や融資条件を別に見る。</x:v>
      </x:c>
      <x:c r="I29" s="5" t="str">
        <x:v>同一モデル系統の価格が似ていても、所得の低い市場では購入負担が重い。価格設定を説明するには税・関税・現地生産・補助・競合・仕様を、購入可能性には家計所得や融資条件を別に見る。</x:v>
      </x:c>
      <x:c r="J29" s="5" t="str">
        <x:v>同一モデル系統の価格が似ていても、所得の低い市場では購入負担が重い。価格設定を説明するには税・関税・現地生産・補助・競合・仕様を、購入可能性には家計所得や融資条件を別に見る。</x:v>
      </x:c>
      <x:c r="K29" s="5" t="str">
        <x:v>同一モデル系統の価格が似ていても、所得の低い市場では購入負担が重い。価格設定を説明するには税・関税・現地生産・補助・競合・仕様を、購入可能性には家計所得や融資条件を別に見る。</x:v>
      </x:c>
    </x:row>
    <x:row r="30" ht="25" customHeight="1">
      <x:c r="A30" s="10" t="str">
        <x:v>中国</x:v>
      </x:c>
      <x:c r="B30" s="24" t="n">
        <x:f>IF('価格データ'!I36="","",'価格データ'!L36)</x:f>
        <x:v>1.0013500663965913</x:v>
      </x:c>
      <x:c r="C30" s="24" t="n">
        <x:f>IF('価格データ'!I37="","",'価格データ'!L37)</x:f>
        <x:v>1.2030247791678488</x:v>
      </x:c>
      <x:c r="D30" s="24" t="str">
        <x:f>IF('価格データ'!I38="","",'価格データ'!L38)</x:f>
      </x:c>
      <x:c r="E30" s="24" t="n">
        <x:f>IF('価格データ'!I39="","",'価格データ'!L39)</x:f>
        <x:v>1.4026927783791932</x:v>
      </x:c>
      <x:c r="F30" s="24"/>
      <x:c r="G30" s="2"/>
      <x:c r="H30" s="5" t="str">
        <x:v>同一モデル系統の価格が似ていても、所得の低い市場では購入負担が重い。価格設定を説明するには税・関税・現地生産・補助・競合・仕様を、購入可能性には家計所得や融資条件を別に見る。</x:v>
      </x:c>
      <x:c r="I30" s="5" t="str">
        <x:v>同一モデル系統の価格が似ていても、所得の低い市場では購入負担が重い。価格設定を説明するには税・関税・現地生産・補助・競合・仕様を、購入可能性には家計所得や融資条件を別に見る。</x:v>
      </x:c>
      <x:c r="J30" s="5" t="str">
        <x:v>同一モデル系統の価格が似ていても、所得の低い市場では購入負担が重い。価格設定を説明するには税・関税・現地生産・補助・競合・仕様を、購入可能性には家計所得や融資条件を別に見る。</x:v>
      </x:c>
      <x:c r="K30" s="5" t="str">
        <x:v>同一モデル系統の価格が似ていても、所得の低い市場では購入負担が重い。価格設定を説明するには税・関税・現地生産・補助・競合・仕様を、購入可能性には家計所得や融資条件を別に見る。</x:v>
      </x:c>
    </x:row>
    <x:row r="31" ht="25" customHeight="1">
      <x:c r="A31" s="10" t="str">
        <x:v>ドイツ</x:v>
      </x:c>
      <x:c r="B31" s="24" t="n">
        <x:f>IF('価格データ'!I40="","",'価格データ'!L40)</x:f>
        <x:v>0.63488248164057</x:v>
      </x:c>
      <x:c r="C31" s="24" t="n">
        <x:f>IF('価格データ'!I41="","",'価格データ'!L41)</x:f>
        <x:v>0.8403460679320166</x:v>
      </x:c>
      <x:c r="D31" s="24" t="n">
        <x:f>IF('価格データ'!I42="","",'価格データ'!L42)</x:f>
        <x:v>0.5975254659512161</x:v>
      </x:c>
      <x:c r="E31" s="24" t="n">
        <x:f>IF('価格データ'!I43="","",'価格データ'!L43)</x:f>
        <x:v>0.6909180051746009</x:v>
      </x:c>
      <x:c r="F31" s="24"/>
      <x:c r="G31" s="2"/>
      <x:c r="H31" s="5" t="str">
        <x:v>同一モデル系統の価格が似ていても、所得の低い市場では購入負担が重い。価格設定を説明するには税・関税・現地生産・補助・競合・仕様を、購入可能性には家計所得や融資条件を別に見る。</x:v>
      </x:c>
      <x:c r="I31" s="5" t="str">
        <x:v>同一モデル系統の価格が似ていても、所得の低い市場では購入負担が重い。価格設定を説明するには税・関税・現地生産・補助・競合・仕様を、購入可能性には家計所得や融資条件を別に見る。</x:v>
      </x:c>
      <x:c r="J31" s="5" t="str">
        <x:v>同一モデル系統の価格が似ていても、所得の低い市場では購入負担が重い。価格設定を説明するには税・関税・現地生産・補助・競合・仕様を、購入可能性には家計所得や融資条件を別に見る。</x:v>
      </x:c>
      <x:c r="K31" s="5" t="str">
        <x:v>同一モデル系統の価格が似ていても、所得の低い市場では購入負担が重い。価格設定を説明するには税・関税・現地生産・補助・競合・仕様を、購入可能性には家計所得や融資条件を別に見る。</x:v>
      </x:c>
    </x:row>
    <x:row r="32" ht="25" customHeight="1">
      <x:c r="A32" s="10" t="str">
        <x:v>ブラジル</x:v>
      </x:c>
      <x:c r="B32" s="24" t="n">
        <x:f>IF('価格データ'!I44="","",'価格データ'!L44)</x:f>
        <x:v>2.5057556394826728</x:v>
      </x:c>
      <x:c r="C32" s="24" t="n">
        <x:f>IF('価格データ'!I45="","",'価格データ'!L45)</x:f>
        <x:v>4.510493800279531</x:v>
      </x:c>
      <x:c r="D32" s="24" t="n">
        <x:f>IF('価格データ'!I46="","",'価格データ'!L46)</x:f>
        <x:v>3.339559652860766</x:v>
      </x:c>
      <x:c r="E32" s="24" t="n">
        <x:f>IF('価格データ'!I47="","",'価格データ'!L47)</x:f>
        <x:v>3.574949325240997</x:v>
      </x:c>
      <x:c r="F32" s="24"/>
      <x:c r="G32" s="2"/>
      <x:c r="H32" s="5" t="str">
        <x:v>同一モデル系統の価格が似ていても、所得の低い市場では購入負担が重い。価格設定を説明するには税・関税・現地生産・補助・競合・仕様を、購入可能性には家計所得や融資条件を別に見る。</x:v>
      </x:c>
      <x:c r="I32" s="5" t="str">
        <x:v>同一モデル系統の価格が似ていても、所得の低い市場では購入負担が重い。価格設定を説明するには税・関税・現地生産・補助・競合・仕様を、購入可能性には家計所得や融資条件を別に見る。</x:v>
      </x:c>
      <x:c r="J32" s="5" t="str">
        <x:v>同一モデル系統の価格が似ていても、所得の低い市場では購入負担が重い。価格設定を説明するには税・関税・現地生産・補助・競合・仕様を、購入可能性には家計所得や融資条件を別に見る。</x:v>
      </x:c>
      <x:c r="K32" s="5" t="str">
        <x:v>同一モデル系統の価格が似ていても、所得の低い市場では購入負担が重い。価格設定を説明するには税・関税・現地生産・補助・競合・仕様を、購入可能性には家計所得や融資条件を別に見る。</x:v>
      </x:c>
    </x:row>
    <x:row r="33" ht="25" customHeight="1">
      <x:c r="A33" s="10" t="str">
        <x:v>豪州</x:v>
      </x:c>
      <x:c r="B33" s="24" t="n">
        <x:f>IF('価格データ'!I48="","",'価格データ'!L48)</x:f>
        <x:v>0.29801615025314077</x:v>
      </x:c>
      <x:c r="C33" s="24" t="n">
        <x:f>IF('価格データ'!I49="","",'価格データ'!L49)</x:f>
        <x:v>0.397387990951087</x:v>
      </x:c>
      <x:c r="D33" s="24" t="n">
        <x:f>IF('価格データ'!I50="","",'価格データ'!L50)</x:f>
        <x:v>0.39241939891618965</x:v>
      </x:c>
      <x:c r="E33" s="24" t="n">
        <x:f>IF('価格データ'!I51="","",'価格データ'!L51)</x:f>
        <x:v>0.3720481715731107</x:v>
      </x:c>
      <x:c r="F33" s="24"/>
      <x:c r="G33" s="2"/>
      <x:c r="H33" s="5" t="str">
        <x:v>同一モデル系統の価格が似ていても、所得の低い市場では購入負担が重い。価格設定を説明するには税・関税・現地生産・補助・競合・仕様を、購入可能性には家計所得や融資条件を別に見る。</x:v>
      </x:c>
      <x:c r="I33" s="5" t="str">
        <x:v>同一モデル系統の価格が似ていても、所得の低い市場では購入負担が重い。価格設定を説明するには税・関税・現地生産・補助・競合・仕様を、購入可能性には家計所得や融資条件を別に見る。</x:v>
      </x:c>
      <x:c r="J33" s="5" t="str">
        <x:v>同一モデル系統の価格が似ていても、所得の低い市場では購入負担が重い。価格設定を説明するには税・関税・現地生産・補助・競合・仕様を、購入可能性には家計所得や融資条件を別に見る。</x:v>
      </x:c>
      <x:c r="K33" s="5" t="str">
        <x:v>同一モデル系統の価格が似ていても、所得の低い市場では購入負担が重い。価格設定を説明するには税・関税・現地生産・補助・競合・仕様を、購入可能性には家計所得や融資条件を別に見る。</x:v>
      </x:c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 ht="25" customHeight="1">
      <x:c r="A35" s="21" t="str">
        <x:v>GDPと価格の相関：市場の選び方で結果が変わる</x:v>
      </x:c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</x:row>
    <x:row r="36" ht="44" customHeight="1">
      <x:c r="A36" s="9" t="str">
        <x:v>車種・対象</x:v>
      </x:c>
      <x:c r="B36" s="9" t="str">
        <x:v>n</x:v>
      </x:c>
      <x:c r="C36" s="9" t="str">
        <x:v>相関r</x:v>
      </x:c>
      <x:c r="D36" s="9" t="str">
        <x:v>r²</x:v>
      </x:c>
      <x:c r="E36" s="9" t="str">
        <x:v>WB USDでのr</x:v>
      </x:c>
      <x:c r="F36" s="9" t="str">
        <x:v>含めた市場</x:v>
      </x:c>
      <x:c r="G36" s="2"/>
      <x:c r="H36" s="2"/>
      <x:c r="I36" s="2"/>
      <x:c r="J36" s="2"/>
      <x:c r="K36" s="2"/>
    </x:row>
    <x:row r="37" ht="30" customHeight="1">
      <x:c r="A37" s="2" t="str">
        <x:v>Dolphin / 全確認市場</x:v>
      </x:c>
      <x:c r="B37" s="2" t="n">
        <x:v>10</x:v>
      </x:c>
      <x:c r="C37" s="24" t="n">
        <x:f>CORREL('グラフと相関'!B83:B92,'グラフと相関'!C83:C92)</x:f>
        <x:v>0.7547335158162956</x:v>
      </x:c>
      <x:c r="D37" s="24" t="n">
        <x:f>C37^2</x:f>
        <x:v>0.5696226798964265</x:v>
      </x:c>
      <x:c r="E37" s="24" t="n">
        <x:f>CORREL('グラフと相関'!D83:D92,'グラフと相関'!C83:C92)</x:f>
        <x:v>0.7653563211828989</x:v>
      </x:c>
      <x:c r="F37" s="2" t="str">
        <x:v>10カ国</x:v>
      </x:c>
      <x:c r="G37" s="2"/>
      <x:c r="H37" s="5" t="str">
        <x:v>Pearsonの線形相関。r²は価格の分散とGDPの線形関係の記述で、GDPの因果寄与率ではない。n=5〜10でモデル・国の選択に敏感。車種を混ぜた1本の相関は計算しない。</x:v>
      </x:c>
      <x:c r="I37" s="5" t="str">
        <x:v>Pearsonの線形相関。r²は価格の分散とGDPの線形関係の記述で、GDPの因果寄与率ではない。n=5〜10でモデル・国の選択に敏感。車種を混ぜた1本の相関は計算しない。</x:v>
      </x:c>
      <x:c r="J37" s="5" t="str">
        <x:v>Pearsonの線形相関。r²は価格の分散とGDPの線形関係の記述で、GDPの因果寄与率ではない。n=5〜10でモデル・国の選択に敏感。車種を混ぜた1本の相関は計算しない。</x:v>
      </x:c>
      <x:c r="K37" s="5" t="str">
        <x:v>Pearsonの線形相関。r²は価格の分散とGDPの線形関係の記述で、GDPの因果寄与率ではない。n=5〜10でモデル・国の選択に敏感。車種を混ぜた1本の相関は計算しない。</x:v>
      </x:c>
    </x:row>
    <x:row r="38" ht="30" customHeight="1">
      <x:c r="A38" s="2" t="str">
        <x:v>Dolphin / SG除外</x:v>
      </x:c>
      <x:c r="B38" s="2" t="n">
        <x:v>9</x:v>
      </x:c>
      <x:c r="C38" s="24" t="n">
        <x:f>CORREL('グラフと相関'!B96:B104,'グラフと相関'!C96:C104)</x:f>
        <x:v>0.4202108672399838</x:v>
      </x:c>
      <x:c r="D38" s="24" t="n">
        <x:f>C38^2</x:f>
        <x:v>0.1765771729465793</x:v>
      </x:c>
      <x:c r="E38" s="24" t="n">
        <x:f>CORREL('グラフと相関'!D96:D104,'グラフと相関'!C96:C104)</x:f>
        <x:v>0.44960823266390026</x:v>
      </x:c>
      <x:c r="F38" s="2" t="str">
        <x:v>SG以外の9カ国</x:v>
      </x:c>
      <x:c r="G38" s="2"/>
      <x:c r="H38" s="5" t="str">
        <x:v>Pearsonの線形相関。r²は価格の分散とGDPの線形関係の記述で、GDPの因果寄与率ではない。n=5〜10でモデル・国の選択に敏感。車種を混ぜた1本の相関は計算しない。</x:v>
      </x:c>
      <x:c r="I38" s="5" t="str">
        <x:v>Pearsonの線形相関。r²は価格の分散とGDPの線形関係の記述で、GDPの因果寄与率ではない。n=5〜10でモデル・国の選択に敏感。車種を混ぜた1本の相関は計算しない。</x:v>
      </x:c>
      <x:c r="J38" s="5" t="str">
        <x:v>Pearsonの線形相関。r²は価格の分散とGDPの線形関係の記述で、GDPの因果寄与率ではない。n=5〜10でモデル・国の選択に敏感。車種を混ぜた1本の相関は計算しない。</x:v>
      </x:c>
      <x:c r="K38" s="5" t="str">
        <x:v>Pearsonの線形相関。r²は価格の分散とGDPの線形関係の記述で、GDPの因果寄与率ではない。n=5〜10でモデル・国の選択に敏感。車種を混ぜた1本の相関は計算しない。</x:v>
      </x:c>
    </x:row>
    <x:row r="39" ht="30" customHeight="1">
      <x:c r="A39" s="2" t="str">
        <x:v>Dolphin / ASEAN5</x:v>
      </x:c>
      <x:c r="B39" s="2" t="n">
        <x:v>5</x:v>
      </x:c>
      <x:c r="C39" s="24" t="n">
        <x:f>CORREL('グラフと相関'!B108:B112,'グラフと相関'!C108:C112)</x:f>
        <x:v>0.3153171161488242</x:v>
      </x:c>
      <x:c r="D39" s="24" t="n">
        <x:f>C39^2</x:f>
        <x:v>0.09942488373641108</x:v>
      </x:c>
      <x:c r="E39" s="24" t="n">
        <x:f>CORREL('グラフと相関'!D108:D112,'グラフと相関'!C108:C112)</x:f>
        <x:v>0.28708790460068306</x:v>
      </x:c>
      <x:c r="F39" s="2" t="str">
        <x:v>VN TH ID PH MY</x:v>
      </x:c>
      <x:c r="G39" s="2"/>
      <x:c r="H39" s="5" t="str">
        <x:v>Pearsonの線形相関。r²は価格の分散とGDPの線形関係の記述で、GDPの因果寄与率ではない。n=5〜10でモデル・国の選択に敏感。車種を混ぜた1本の相関は計算しない。</x:v>
      </x:c>
      <x:c r="I39" s="5" t="str">
        <x:v>Pearsonの線形相関。r²は価格の分散とGDPの線形関係の記述で、GDPの因果寄与率ではない。n=5〜10でモデル・国の選択に敏感。車種を混ぜた1本の相関は計算しない。</x:v>
      </x:c>
      <x:c r="J39" s="5" t="str">
        <x:v>Pearsonの線形相関。r²は価格の分散とGDPの線形関係の記述で、GDPの因果寄与率ではない。n=5〜10でモデル・国の選択に敏感。車種を混ぜた1本の相関は計算しない。</x:v>
      </x:c>
      <x:c r="K39" s="5" t="str">
        <x:v>Pearsonの線形相関。r²は価格の分散とGDPの線形関係の記述で、GDPの因果寄与率ではない。n=5〜10でモデル・国の選択に敏感。車種を混ぜた1本の相関は計算しない。</x:v>
      </x:c>
    </x:row>
    <x:row r="40" ht="30" customHeight="1">
      <x:c r="A40" s="2" t="str">
        <x:v>Atto 3 / 全確認市場</x:v>
      </x:c>
      <x:c r="B40" s="2" t="n">
        <x:v>10</x:v>
      </x:c>
      <x:c r="C40" s="24" t="n">
        <x:f>CORREL('グラフと相関'!B116:B125,'グラフと相関'!C116:C125)</x:f>
        <x:v>0.7567957401189878</x:v>
      </x:c>
      <x:c r="D40" s="24" t="n">
        <x:f>C40^2</x:f>
        <x:v>0.5727397922622465</x:v>
      </x:c>
      <x:c r="E40" s="24" t="n">
        <x:f>CORREL('グラフと相関'!D116:D125,'グラフと相関'!C116:C125)</x:f>
        <x:v>0.766943412609396</x:v>
      </x:c>
      <x:c r="F40" s="2" t="str">
        <x:v>10カ国</x:v>
      </x:c>
      <x:c r="G40" s="2"/>
      <x:c r="H40" s="5" t="str">
        <x:v>Pearsonの線形相関。r²は価格の分散とGDPの線形関係の記述で、GDPの因果寄与率ではない。n=5〜10でモデル・国の選択に敏感。車種を混ぜた1本の相関は計算しない。</x:v>
      </x:c>
      <x:c r="I40" s="5" t="str">
        <x:v>Pearsonの線形相関。r²は価格の分散とGDPの線形関係の記述で、GDPの因果寄与率ではない。n=5〜10でモデル・国の選択に敏感。車種を混ぜた1本の相関は計算しない。</x:v>
      </x:c>
      <x:c r="J40" s="5" t="str">
        <x:v>Pearsonの線形相関。r²は価格の分散とGDPの線形関係の記述で、GDPの因果寄与率ではない。n=5〜10でモデル・国の選択に敏感。車種を混ぜた1本の相関は計算しない。</x:v>
      </x:c>
      <x:c r="K40" s="5" t="str">
        <x:v>Pearsonの線形相関。r²は価格の分散とGDPの線形関係の記述で、GDPの因果寄与率ではない。n=5〜10でモデル・国の選択に敏感。車種を混ぜた1本の相関は計算しない。</x:v>
      </x:c>
    </x:row>
    <x:row r="41" ht="30" customHeight="1">
      <x:c r="A41" s="2" t="str">
        <x:v>Atto 3 / SG除外</x:v>
      </x:c>
      <x:c r="B41" s="2" t="n">
        <x:v>9</x:v>
      </x:c>
      <x:c r="C41" s="24" t="n">
        <x:f>CORREL('グラフと相関'!B129:B137,'グラフと相関'!C129:C137)</x:f>
        <x:v>0.3226433787274656</x:v>
      </x:c>
      <x:c r="D41" s="24" t="n">
        <x:f>C41^2</x:f>
        <x:v>0.10409874983667482</x:v>
      </x:c>
      <x:c r="E41" s="24" t="n">
        <x:f>CORREL('グラフと相関'!D129:D137,'グラフと相関'!C129:C137)</x:f>
        <x:v>0.3376108802756832</x:v>
      </x:c>
      <x:c r="F41" s="2" t="str">
        <x:v>SG以外の9カ国</x:v>
      </x:c>
      <x:c r="G41" s="2"/>
      <x:c r="H41" s="5" t="str">
        <x:v>Pearsonの線形相関。r²は価格の分散とGDPの線形関係の記述で、GDPの因果寄与率ではない。n=5〜10でモデル・国の選択に敏感。車種を混ぜた1本の相関は計算しない。</x:v>
      </x:c>
      <x:c r="I41" s="5" t="str">
        <x:v>Pearsonの線形相関。r²は価格の分散とGDPの線形関係の記述で、GDPの因果寄与率ではない。n=5〜10でモデル・国の選択に敏感。車種を混ぜた1本の相関は計算しない。</x:v>
      </x:c>
      <x:c r="J41" s="5" t="str">
        <x:v>Pearsonの線形相関。r²は価格の分散とGDPの線形関係の記述で、GDPの因果寄与率ではない。n=5〜10でモデル・国の選択に敏感。車種を混ぜた1本の相関は計算しない。</x:v>
      </x:c>
      <x:c r="K41" s="5" t="str">
        <x:v>Pearsonの線形相関。r²は価格の分散とGDPの線形関係の記述で、GDPの因果寄与率ではない。n=5〜10でモデル・国の選択に敏感。車種を混ぜた1本の相関は計算しない。</x:v>
      </x:c>
    </x:row>
    <x:row r="42" ht="30" customHeight="1">
      <x:c r="A42" s="2" t="str">
        <x:v>Atto 3 / ASEAN5</x:v>
      </x:c>
      <x:c r="B42" s="2" t="n">
        <x:v>5</x:v>
      </x:c>
      <x:c r="C42" s="24" t="n">
        <x:f>CORREL('グラフと相関'!B141:B145,'グラフと相関'!C141:C145)</x:f>
        <x:v>0.5084653749374707</x:v>
      </x:c>
      <x:c r="D42" s="24" t="n">
        <x:f>C42^2</x:f>
        <x:v>0.25853703751030266</x:v>
      </x:c>
      <x:c r="E42" s="24" t="n">
        <x:f>CORREL('グラフと相関'!D141:D145,'グラフと相関'!C141:C145)</x:f>
        <x:v>0.479317832859792</x:v>
      </x:c>
      <x:c r="F42" s="2" t="str">
        <x:v>VN TH ID PH MY</x:v>
      </x:c>
      <x:c r="G42" s="2"/>
      <x:c r="H42" s="2"/>
      <x:c r="I42" s="2"/>
      <x:c r="J42" s="2"/>
      <x:c r="K42" s="2"/>
    </x:row>
    <x:row r="43" ht="30" customHeight="1">
      <x:c r="A43" s="2" t="str">
        <x:v>Toyota / 全確認市場</x:v>
      </x:c>
      <x:c r="B43" s="2" t="n">
        <x:v>9</x:v>
      </x:c>
      <x:c r="C43" s="24" t="n">
        <x:f>CORREL('グラフと相関'!B149:B157,'グラフと相関'!C149:C157)</x:f>
        <x:v>0.09938756112191582</x:v>
      </x:c>
      <x:c r="D43" s="24" t="n">
        <x:f>C43^2</x:f>
        <x:v>0.009877887305762554</x:v>
      </x:c>
      <x:c r="E43" s="24" t="n">
        <x:f>CORREL('グラフと相関'!D149:D157,'グラフと相関'!C149:C157)</x:f>
        <x:v>0.12045808575734426</x:v>
      </x:c>
      <x:c r="F43" s="2" t="str">
        <x:v>SG未確認のため9カ国</x:v>
      </x:c>
      <x:c r="G43" s="2"/>
      <x:c r="H43" s="5" t="str">
        <x:v>「WB USDでのr」はGDPを公表USDのまま使う感度分析。主計算では同一為替で比較。ToyotaはSGを除外した状態なので全確認市場とSG除外が同じ9カ国。</x:v>
      </x:c>
      <x:c r="I43" s="5" t="str">
        <x:v>「WB USDでのr」はGDPを公表USDのまま使う感度分析。主計算では同一為替で比較。ToyotaはSGを除外した状態なので全確認市場とSG除外が同じ9カ国。</x:v>
      </x:c>
      <x:c r="J43" s="5" t="str">
        <x:v>「WB USDでのr」はGDPを公表USDのまま使う感度分析。主計算では同一為替で比較。ToyotaはSGを除外した状態なので全確認市場とSG除外が同じ9カ国。</x:v>
      </x:c>
      <x:c r="K43" s="5" t="str">
        <x:v>「WB USDでのr」はGDPを公表USDのまま使う感度分析。主計算では同一為替で比較。ToyotaはSGを除外した状態なので全確認市場とSG除外が同じ9カ国。</x:v>
      </x:c>
    </x:row>
    <x:row r="44" ht="30" customHeight="1">
      <x:c r="A44" s="2" t="str">
        <x:v>Toyota / SG除外</x:v>
      </x:c>
      <x:c r="B44" s="2" t="n">
        <x:v>9</x:v>
      </x:c>
      <x:c r="C44" s="24" t="n">
        <x:f>CORREL('グラフと相関'!B161:B169,'グラフと相関'!C161:C169)</x:f>
        <x:v>0.09938756112191582</x:v>
      </x:c>
      <x:c r="D44" s="24" t="n">
        <x:f>C44^2</x:f>
        <x:v>0.009877887305762554</x:v>
      </x:c>
      <x:c r="E44" s="24" t="n">
        <x:f>CORREL('グラフと相関'!D161:D169,'グラフと相関'!C161:C169)</x:f>
        <x:v>0.12045808575734426</x:v>
      </x:c>
      <x:c r="F44" s="2" t="str">
        <x:v>SG以外の9カ国</x:v>
      </x:c>
      <x:c r="G44" s="2"/>
      <x:c r="H44" s="5" t="str">
        <x:v>「WB USDでのr」はGDPを公表USDのまま使う感度分析。主計算では同一為替で比較。ToyotaはSGを除外した状態なので全確認市場とSG除外が同じ9カ国。</x:v>
      </x:c>
      <x:c r="I44" s="5" t="str">
        <x:v>「WB USDでのr」はGDPを公表USDのまま使う感度分析。主計算では同一為替で比較。ToyotaはSGを除外した状態なので全確認市場とSG除外が同じ9カ国。</x:v>
      </x:c>
      <x:c r="J44" s="5" t="str">
        <x:v>「WB USDでのr」はGDPを公表USDのまま使う感度分析。主計算では同一為替で比較。ToyotaはSGを除外した状態なので全確認市場とSG除外が同じ9カ国。</x:v>
      </x:c>
      <x:c r="K44" s="5" t="str">
        <x:v>「WB USDでのr」はGDPを公表USDのまま使う感度分析。主計算では同一為替で比較。ToyotaはSGを除外した状態なので全確認市場とSG除外が同じ9カ国。</x:v>
      </x:c>
    </x:row>
    <x:row r="45" ht="30" customHeight="1">
      <x:c r="A45" s="2" t="str">
        <x:v>Toyota / ASEAN5</x:v>
      </x:c>
      <x:c r="B45" s="2" t="n">
        <x:v>5</x:v>
      </x:c>
      <x:c r="C45" s="24" t="n">
        <x:f>CORREL('グラフと相関'!B173:B177,'グラフと相関'!C173:C177)</x:f>
        <x:v>0.4353585200212702</x:v>
      </x:c>
      <x:c r="D45" s="24" t="n">
        <x:f>C45^2</x:f>
        <x:v>0.1895370409551107</x:v>
      </x:c>
      <x:c r="E45" s="24" t="n">
        <x:f>CORREL('グラフと相関'!D173:D177,'グラフと相関'!C173:C177)</x:f>
        <x:v>0.42969869251263465</x:v>
      </x:c>
      <x:c r="F45" s="2" t="str">
        <x:v>VN TH ID PH MY</x:v>
      </x:c>
      <x:c r="G45" s="2"/>
      <x:c r="H45" s="5" t="str">
        <x:v>「WB USDでのr」はGDPを公表USDのまま使う感度分析。主計算では同一為替で比較。ToyotaはSGを除外した状態なので全確認市場とSG除外が同じ9カ国。</x:v>
      </x:c>
      <x:c r="I45" s="5" t="str">
        <x:v>「WB USDでのr」はGDPを公表USDのまま使う感度分析。主計算では同一為替で比較。ToyotaはSGを除外した状態なので全確認市場とSG除外が同じ9カ国。</x:v>
      </x:c>
      <x:c r="J45" s="5" t="str">
        <x:v>「WB USDでのr」はGDPを公表USDのまま使う感度分析。主計算では同一為替で比較。ToyotaはSGを除外した状態なので全確認市場とSG除外が同じ9カ国。</x:v>
      </x:c>
      <x:c r="K45" s="5" t="str">
        <x:v>「WB USDでのr」はGDPを公表USDのまま使う感度分析。主計算では同一為替で比較。ToyotaはSGを除外した状態なので全確認市場とSG除外が同じ9カ国。</x:v>
      </x:c>
    </x:row>
    <x:row r="46" ht="25" customHeight="1">
      <x:c r="A46" s="2"/>
      <x:c r="B46" s="2"/>
      <x:c r="C46" s="2"/>
      <x:c r="D46" s="2"/>
      <x:c r="E46" s="2"/>
      <x:c r="F46" s="2"/>
      <x:c r="G46" s="2"/>
      <x:c r="H46" s="5" t="str">
        <x:v>「WB USDでのr」はGDPを公表USDのまま使う感度分析。主計算では同一為替で比較。ToyotaはSGを除外した状態なので全確認市場とSG除外が同じ9カ国。</x:v>
      </x:c>
      <x:c r="I46" s="5" t="str">
        <x:v>「WB USDでのr」はGDPを公表USDのまま使う感度分析。主計算では同一為替で比較。ToyotaはSGを除外した状態なので全確認市場とSG除外が同じ9カ国。</x:v>
      </x:c>
      <x:c r="J46" s="5" t="str">
        <x:v>「WB USDでのr」はGDPを公表USDのまま使う感度分析。主計算では同一為替で比較。ToyotaはSGを除外した状態なので全確認市場とSG除外が同じ9カ国。</x:v>
      </x:c>
      <x:c r="K46" s="5" t="str">
        <x:v>「WB USDでのr」はGDPを公表USDのまま使う感度分析。主計算では同一為替で比較。ToyotaはSGを除外した状態なので全確認市場とSG除外が同じ9カ国。</x:v>
      </x:c>
    </x:row>
    <x:row r="47" ht="2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 ht="25" customHeight="1">
      <x:c r="A48" s="21" t="str">
        <x:v>検証する仮説と、今回のデータから言えること</x:v>
      </x:c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</x:row>
    <x:row r="49" ht="25" customHeight="1">
      <x:c r="A49" s="5" t="str">
        <x:v>仮説① 所得が高いほど同一モデルの価格が上がる。ただし所得と制度費用は同時に変わる。Dolphinは10カ国r≈0.75、SG除外r≈0.42。Toyota HEVは9カ国r≈0.10。GDPだけで価格を説明するのは難しく、SGの制度費用が全市場の相関を強めている可能性がある。</x:v>
      </x:c>
      <x:c r="B49" s="5" t="str">
        <x:v>仮説① 所得が高いほど同一モデルの価格が上がる。ただし所得と制度費用は同時に変わる。Dolphinは10カ国r≈0.75、SG除外r≈0.42。Toyota HEVは9カ国r≈0.10。GDPだけで価格を説明するのは難しく、SGの制度費用が全市場の相関を強めている可能性がある。</x:v>
      </x:c>
      <x:c r="C49" s="5" t="str">
        <x:v>仮説① 所得が高いほど同一モデルの価格が上がる。ただし所得と制度費用は同時に変わる。Dolphinは10カ国r≈0.75、SG除外r≈0.42。Toyota HEVは9カ国r≈0.10。GDPだけで価格を説明するのは難しく、SGの制度費用が全市場の相関を強めている可能性がある。</x:v>
      </x:c>
      <x:c r="D49" s="5" t="str">
        <x:v>仮説① 所得が高いほど同一モデルの価格が上がる。ただし所得と制度費用は同時に変わる。Dolphinは10カ国r≈0.75、SG除外r≈0.42。Toyota HEVは9カ国r≈0.10。GDPだけで価格を説明するのは難しく、SGの制度費用が全市場の相関を強めている可能性がある。</x:v>
      </x:c>
      <x:c r="E49" s="5" t="str">
        <x:v>仮説① 所得が高いほど同一モデルの価格が上がる。ただし所得と制度費用は同時に変わる。Dolphinは10カ国r≈0.75、SG除外r≈0.42。Toyota HEVは9カ国r≈0.10。GDPだけで価格を説明するのは難しく、SGの制度費用が全市場の相関を強めている可能性がある。</x:v>
      </x:c>
      <x:c r="F49" s="5" t="str">
        <x:v>仮説① 所得が高いほど同一モデルの価格が上がる。ただし所得と制度費用は同時に変わる。Dolphinは10カ国r≈0.75、SG除外r≈0.42。Toyota HEVは9カ国r≈0.10。GDPだけで価格を説明するのは難しく、SGの制度費用が全市場の相関を強めている可能性がある。</x:v>
      </x:c>
      <x:c r="G49" s="5" t="str">
        <x:v>仮説① 所得が高いほど同一モデルの価格が上がる。ただし所得と制度費用は同時に変わる。Dolphinは10カ国r≈0.75、SG除外r≈0.42。Toyota HEVは9カ国r≈0.10。GDPだけで価格を説明するのは難しく、SGの制度費用が全市場の相関を強めている可能性がある。</x:v>
      </x:c>
      <x:c r="H49" s="5" t="str">
        <x:v>仮説① 所得が高いほど同一モデルの価格が上がる。ただし所得と制度費用は同時に変わる。Dolphinは10カ国r≈0.75、SG除外r≈0.42。Toyota HEVは9カ国r≈0.10。GDPだけで価格を説明するのは難しく、SGの制度費用が全市場の相関を強めている可能性がある。</x:v>
      </x:c>
      <x:c r="I49" s="5" t="str">
        <x:v>仮説① 所得が高いほど同一モデルの価格が上がる。ただし所得と制度費用は同時に変わる。Dolphinは10カ国r≈0.75、SG除外r≈0.42。Toyota HEVは9カ国r≈0.10。GDPだけで価格を説明するのは難しく、SGの制度費用が全市場の相関を強めている可能性がある。</x:v>
      </x:c>
      <x:c r="J49" s="5" t="str">
        <x:v>仮説① 所得が高いほど同一モデルの価格が上がる。ただし所得と制度費用は同時に変わる。Dolphinは10カ国r≈0.75、SG除外r≈0.42。Toyota HEVは9カ国r≈0.10。GDPだけで価格を説明するのは難しく、SGの制度費用が全市場の相関を強めている可能性がある。</x:v>
      </x:c>
      <x:c r="K49" s="5" t="str">
        <x:v>仮説① 所得が高いほど同一モデルの価格が上がる。ただし所得と制度費用は同時に変わる。Dolphinは10カ国r≈0.75、SG除外r≈0.42。Toyota HEVは9カ国r≈0.10。GDPだけで価格を説明するのは難しく、SGの制度費用が全市場の相関を強めている可能性がある。</x:v>
      </x:c>
    </x:row>
    <x:row r="50" ht="25" customHeight="1">
      <x:c r="A50" s="5" t="str">
        <x:v>仮説① 所得が高いほど同一モデルの価格が上がる。ただし所得と制度費用は同時に変わる。Dolphinは10カ国r≈0.75、SG除外r≈0.42。Toyota HEVは9カ国r≈0.10。GDPだけで価格を説明するのは難しく、SGの制度費用が全市場の相関を強めている可能性がある。</x:v>
      </x:c>
      <x:c r="B50" s="5" t="str">
        <x:v>仮説① 所得が高いほど同一モデルの価格が上がる。ただし所得と制度費用は同時に変わる。Dolphinは10カ国r≈0.75、SG除外r≈0.42。Toyota HEVは9カ国r≈0.10。GDPだけで価格を説明するのは難しく、SGの制度費用が全市場の相関を強めている可能性がある。</x:v>
      </x:c>
      <x:c r="C50" s="5" t="str">
        <x:v>仮説① 所得が高いほど同一モデルの価格が上がる。ただし所得と制度費用は同時に変わる。Dolphinは10カ国r≈0.75、SG除外r≈0.42。Toyota HEVは9カ国r≈0.10。GDPだけで価格を説明するのは難しく、SGの制度費用が全市場の相関を強めている可能性がある。</x:v>
      </x:c>
      <x:c r="D50" s="5" t="str">
        <x:v>仮説① 所得が高いほど同一モデルの価格が上がる。ただし所得と制度費用は同時に変わる。Dolphinは10カ国r≈0.75、SG除外r≈0.42。Toyota HEVは9カ国r≈0.10。GDPだけで価格を説明するのは難しく、SGの制度費用が全市場の相関を強めている可能性がある。</x:v>
      </x:c>
      <x:c r="E50" s="5" t="str">
        <x:v>仮説① 所得が高いほど同一モデルの価格が上がる。ただし所得と制度費用は同時に変わる。Dolphinは10カ国r≈0.75、SG除外r≈0.42。Toyota HEVは9カ国r≈0.10。GDPだけで価格を説明するのは難しく、SGの制度費用が全市場の相関を強めている可能性がある。</x:v>
      </x:c>
      <x:c r="F50" s="5" t="str">
        <x:v>仮説① 所得が高いほど同一モデルの価格が上がる。ただし所得と制度費用は同時に変わる。Dolphinは10カ国r≈0.75、SG除外r≈0.42。Toyota HEVは9カ国r≈0.10。GDPだけで価格を説明するのは難しく、SGの制度費用が全市場の相関を強めている可能性がある。</x:v>
      </x:c>
      <x:c r="G50" s="5" t="str">
        <x:v>仮説① 所得が高いほど同一モデルの価格が上がる。ただし所得と制度費用は同時に変わる。Dolphinは10カ国r≈0.75、SG除外r≈0.42。Toyota HEVは9カ国r≈0.10。GDPだけで価格を説明するのは難しく、SGの制度費用が全市場の相関を強めている可能性がある。</x:v>
      </x:c>
      <x:c r="H50" s="5" t="str">
        <x:v>仮説① 所得が高いほど同一モデルの価格が上がる。ただし所得と制度費用は同時に変わる。Dolphinは10カ国r≈0.75、SG除外r≈0.42。Toyota HEVは9カ国r≈0.10。GDPだけで価格を説明するのは難しく、SGの制度費用が全市場の相関を強めている可能性がある。</x:v>
      </x:c>
      <x:c r="I50" s="5" t="str">
        <x:v>仮説① 所得が高いほど同一モデルの価格が上がる。ただし所得と制度費用は同時に変わる。Dolphinは10カ国r≈0.75、SG除外r≈0.42。Toyota HEVは9カ国r≈0.10。GDPだけで価格を説明するのは難しく、SGの制度費用が全市場の相関を強めている可能性がある。</x:v>
      </x:c>
      <x:c r="J50" s="5" t="str">
        <x:v>仮説① 所得が高いほど同一モデルの価格が上がる。ただし所得と制度費用は同時に変わる。Dolphinは10カ国r≈0.75、SG除外r≈0.42。Toyota HEVは9カ国r≈0.10。GDPだけで価格を説明するのは難しく、SGの制度費用が全市場の相関を強めている可能性がある。</x:v>
      </x:c>
      <x:c r="K50" s="5" t="str">
        <x:v>仮説① 所得が高いほど同一モデルの価格が上がる。ただし所得と制度費用は同時に変わる。Dolphinは10カ国r≈0.75、SG除外r≈0.42。Toyota HEVは9カ国r≈0.10。GDPだけで価格を説明するのは難しく、SGの制度費用が全市場の相関を強めている可能性がある。</x:v>
      </x:c>
    </x:row>
    <x:row r="51" ht="25" customHeight="1">
      <x:c r="A51" s="5" t="str">
        <x:v>仮説① 所得が高いほど同一モデルの価格が上がる。ただし所得と制度費用は同時に変わる。Dolphinは10カ国r≈0.75、SG除外r≈0.42。Toyota HEVは9カ国r≈0.10。GDPだけで価格を説明するのは難しく、SGの制度費用が全市場の相関を強めている可能性がある。</x:v>
      </x:c>
      <x:c r="B51" s="5" t="str">
        <x:v>仮説① 所得が高いほど同一モデルの価格が上がる。ただし所得と制度費用は同時に変わる。Dolphinは10カ国r≈0.75、SG除外r≈0.42。Toyota HEVは9カ国r≈0.10。GDPだけで価格を説明するのは難しく、SGの制度費用が全市場の相関を強めている可能性がある。</x:v>
      </x:c>
      <x:c r="C51" s="5" t="str">
        <x:v>仮説① 所得が高いほど同一モデルの価格が上がる。ただし所得と制度費用は同時に変わる。Dolphinは10カ国r≈0.75、SG除外r≈0.42。Toyota HEVは9カ国r≈0.10。GDPだけで価格を説明するのは難しく、SGの制度費用が全市場の相関を強めている可能性がある。</x:v>
      </x:c>
      <x:c r="D51" s="5" t="str">
        <x:v>仮説① 所得が高いほど同一モデルの価格が上がる。ただし所得と制度費用は同時に変わる。Dolphinは10カ国r≈0.75、SG除外r≈0.42。Toyota HEVは9カ国r≈0.10。GDPだけで価格を説明するのは難しく、SGの制度費用が全市場の相関を強めている可能性がある。</x:v>
      </x:c>
      <x:c r="E51" s="5" t="str">
        <x:v>仮説① 所得が高いほど同一モデルの価格が上がる。ただし所得と制度費用は同時に変わる。Dolphinは10カ国r≈0.75、SG除外r≈0.42。Toyota HEVは9カ国r≈0.10。GDPだけで価格を説明するのは難しく、SGの制度費用が全市場の相関を強めている可能性がある。</x:v>
      </x:c>
      <x:c r="F51" s="5" t="str">
        <x:v>仮説① 所得が高いほど同一モデルの価格が上がる。ただし所得と制度費用は同時に変わる。Dolphinは10カ国r≈0.75、SG除外r≈0.42。Toyota HEVは9カ国r≈0.10。GDPだけで価格を説明するのは難しく、SGの制度費用が全市場の相関を強めている可能性がある。</x:v>
      </x:c>
      <x:c r="G51" s="5" t="str">
        <x:v>仮説① 所得が高いほど同一モデルの価格が上がる。ただし所得と制度費用は同時に変わる。Dolphinは10カ国r≈0.75、SG除外r≈0.42。Toyota HEVは9カ国r≈0.10。GDPだけで価格を説明するのは難しく、SGの制度費用が全市場の相関を強めている可能性がある。</x:v>
      </x:c>
      <x:c r="H51" s="5" t="str">
        <x:v>仮説① 所得が高いほど同一モデルの価格が上がる。ただし所得と制度費用は同時に変わる。Dolphinは10カ国r≈0.75、SG除外r≈0.42。Toyota HEVは9カ国r≈0.10。GDPだけで価格を説明するのは難しく、SGの制度費用が全市場の相関を強めている可能性がある。</x:v>
      </x:c>
      <x:c r="I51" s="5" t="str">
        <x:v>仮説① 所得が高いほど同一モデルの価格が上がる。ただし所得と制度費用は同時に変わる。Dolphinは10カ国r≈0.75、SG除外r≈0.42。Toyota HEVは9カ国r≈0.10。GDPだけで価格を説明するのは難しく、SGの制度費用が全市場の相関を強めている可能性がある。</x:v>
      </x:c>
      <x:c r="J51" s="5" t="str">
        <x:v>仮説① 所得が高いほど同一モデルの価格が上がる。ただし所得と制度費用は同時に変わる。Dolphinは10カ国r≈0.75、SG除外r≈0.42。Toyota HEVは9カ国r≈0.10。GDPだけで価格を説明するのは難しく、SGの制度費用が全市場の相関を強めている可能性がある。</x:v>
      </x:c>
      <x:c r="K51" s="5" t="str">
        <x:v>仮説① 所得が高いほど同一モデルの価格が上がる。ただし所得と制度費用は同時に変わる。Dolphinは10カ国r≈0.75、SG除外r≈0.42。Toyota HEVは9カ国r≈0.10。GDPだけで価格を説明するのは難しく、SGの制度費用が全市場の相関を強めている可能性がある。</x:v>
      </x:c>
    </x:row>
    <x:row r="52" ht="25" customHeight="1">
      <x:c r="A52" s="5" t="str">
        <x:v>仮説② 中国車は日本車より常に安い。HEV比較では、H6がToyotaより高いVN・ID・AUと、低いTH・MY・DE・BRが混在。H6のサイズ、グレード、税費用基準も違うので、国籍による一律の価格優位は本表から支持できない。</x:v>
      </x:c>
      <x:c r="B52" s="5" t="str">
        <x:v>仮説② 中国車は日本車より常に安い。HEV比較では、H6がToyotaより高いVN・ID・AUと、低いTH・MY・DE・BRが混在。H6のサイズ、グレード、税費用基準も違うので、国籍による一律の価格優位は本表から支持できない。</x:v>
      </x:c>
      <x:c r="C52" s="5" t="str">
        <x:v>仮説② 中国車は日本車より常に安い。HEV比較では、H6がToyotaより高いVN・ID・AUと、低いTH・MY・DE・BRが混在。H6のサイズ、グレード、税費用基準も違うので、国籍による一律の価格優位は本表から支持できない。</x:v>
      </x:c>
      <x:c r="D52" s="5" t="str">
        <x:v>仮説② 中国車は日本車より常に安い。HEV比較では、H6がToyotaより高いVN・ID・AUと、低いTH・MY・DE・BRが混在。H6のサイズ、グレード、税費用基準も違うので、国籍による一律の価格優位は本表から支持できない。</x:v>
      </x:c>
      <x:c r="E52" s="5" t="str">
        <x:v>仮説② 中国車は日本車より常に安い。HEV比較では、H6がToyotaより高いVN・ID・AUと、低いTH・MY・DE・BRが混在。H6のサイズ、グレード、税費用基準も違うので、国籍による一律の価格優位は本表から支持できない。</x:v>
      </x:c>
      <x:c r="F52" s="5" t="str">
        <x:v>仮説② 中国車は日本車より常に安い。HEV比較では、H6がToyotaより高いVN・ID・AUと、低いTH・MY・DE・BRが混在。H6のサイズ、グレード、税費用基準も違うので、国籍による一律の価格優位は本表から支持できない。</x:v>
      </x:c>
      <x:c r="G52" s="5" t="str">
        <x:v>仮説② 中国車は日本車より常に安い。HEV比較では、H6がToyotaより高いVN・ID・AUと、低いTH・MY・DE・BRが混在。H6のサイズ、グレード、税費用基準も違うので、国籍による一律の価格優位は本表から支持できない。</x:v>
      </x:c>
      <x:c r="H52" s="5" t="str">
        <x:v>仮説② 中国車は日本車より常に安い。HEV比較では、H6がToyotaより高いVN・ID・AUと、低いTH・MY・DE・BRが混在。H6のサイズ、グレード、税費用基準も違うので、国籍による一律の価格優位は本表から支持できない。</x:v>
      </x:c>
      <x:c r="I52" s="5" t="str">
        <x:v>仮説② 中国車は日本車より常に安い。HEV比較では、H6がToyotaより高いVN・ID・AUと、低いTH・MY・DE・BRが混在。H6のサイズ、グレード、税費用基準も違うので、国籍による一律の価格優位は本表から支持できない。</x:v>
      </x:c>
      <x:c r="J52" s="5" t="str">
        <x:v>仮説② 中国車は日本車より常に安い。HEV比較では、H6がToyotaより高いVN・ID・AUと、低いTH・MY・DE・BRが混在。H6のサイズ、グレード、税費用基準も違うので、国籍による一律の価格優位は本表から支持できない。</x:v>
      </x:c>
      <x:c r="K52" s="5" t="str">
        <x:v>仮説② 中国車は日本車より常に安い。HEV比較では、H6がToyotaより高いVN・ID・AUと、低いTH・MY・DE・BRが混在。H6のサイズ、グレード、税費用基準も違うので、国籍による一律の価格優位は本表から支持できない。</x:v>
      </x:c>
    </x:row>
    <x:row r="53" ht="25" customHeight="1">
      <x:c r="A53" s="5" t="str">
        <x:v>仮説② 中国車は日本車より常に安い。HEV比較では、H6がToyotaより高いVN・ID・AUと、低いTH・MY・DE・BRが混在。H6のサイズ、グレード、税費用基準も違うので、国籍による一律の価格優位は本表から支持できない。</x:v>
      </x:c>
      <x:c r="B53" s="5" t="str">
        <x:v>仮説② 中国車は日本車より常に安い。HEV比較では、H6がToyotaより高いVN・ID・AUと、低いTH・MY・DE・BRが混在。H6のサイズ、グレード、税費用基準も違うので、国籍による一律の価格優位は本表から支持できない。</x:v>
      </x:c>
      <x:c r="C53" s="5" t="str">
        <x:v>仮説② 中国車は日本車より常に安い。HEV比較では、H6がToyotaより高いVN・ID・AUと、低いTH・MY・DE・BRが混在。H6のサイズ、グレード、税費用基準も違うので、国籍による一律の価格優位は本表から支持できない。</x:v>
      </x:c>
      <x:c r="D53" s="5" t="str">
        <x:v>仮説② 中国車は日本車より常に安い。HEV比較では、H6がToyotaより高いVN・ID・AUと、低いTH・MY・DE・BRが混在。H6のサイズ、グレード、税費用基準も違うので、国籍による一律の価格優位は本表から支持できない。</x:v>
      </x:c>
      <x:c r="E53" s="5" t="str">
        <x:v>仮説② 中国車は日本車より常に安い。HEV比較では、H6がToyotaより高いVN・ID・AUと、低いTH・MY・DE・BRが混在。H6のサイズ、グレード、税費用基準も違うので、国籍による一律の価格優位は本表から支持できない。</x:v>
      </x:c>
      <x:c r="F53" s="5" t="str">
        <x:v>仮説② 中国車は日本車より常に安い。HEV比較では、H6がToyotaより高いVN・ID・AUと、低いTH・MY・DE・BRが混在。H6のサイズ、グレード、税費用基準も違うので、国籍による一律の価格優位は本表から支持できない。</x:v>
      </x:c>
      <x:c r="G53" s="5" t="str">
        <x:v>仮説② 中国車は日本車より常に安い。HEV比較では、H6がToyotaより高いVN・ID・AUと、低いTH・MY・DE・BRが混在。H6のサイズ、グレード、税費用基準も違うので、国籍による一律の価格優位は本表から支持できない。</x:v>
      </x:c>
      <x:c r="H53" s="5" t="str">
        <x:v>仮説② 中国車は日本車より常に安い。HEV比較では、H6がToyotaより高いVN・ID・AUと、低いTH・MY・DE・BRが混在。H6のサイズ、グレード、税費用基準も違うので、国籍による一律の価格優位は本表から支持できない。</x:v>
      </x:c>
      <x:c r="I53" s="5" t="str">
        <x:v>仮説② 中国車は日本車より常に安い。HEV比較では、H6がToyotaより高いVN・ID・AUと、低いTH・MY・DE・BRが混在。H6のサイズ、グレード、税費用基準も違うので、国籍による一律の価格優位は本表から支持できない。</x:v>
      </x:c>
      <x:c r="J53" s="5" t="str">
        <x:v>仮説② 中国車は日本車より常に安い。HEV比較では、H6がToyotaより高いVN・ID・AUと、低いTH・MY・DE・BRが混在。H6のサイズ、グレード、税費用基準も違うので、国籍による一律の価格優位は本表から支持できない。</x:v>
      </x:c>
      <x:c r="K53" s="5" t="str">
        <x:v>仮説② 中国車は日本車より常に安い。HEV比較では、H6がToyotaより高いVN・ID・AUと、低いTH・MY・DE・BRが混在。H6のサイズ、グレード、税費用基準も違うので、国籍による一律の価格優位は本表から支持できない。</x:v>
      </x:c>
    </x:row>
    <x:row r="54" ht="25" customHeight="1">
      <x:c r="A54" s="5" t="str">
        <x:v>仮説② 中国車は日本車より常に安い。HEV比較では、H6がToyotaより高いVN・ID・AUと、低いTH・MY・DE・BRが混在。H6のサイズ、グレード、税費用基準も違うので、国籍による一律の価格優位は本表から支持できない。</x:v>
      </x:c>
      <x:c r="B54" s="5" t="str">
        <x:v>仮説② 中国車は日本車より常に安い。HEV比較では、H6がToyotaより高いVN・ID・AUと、低いTH・MY・DE・BRが混在。H6のサイズ、グレード、税費用基準も違うので、国籍による一律の価格優位は本表から支持できない。</x:v>
      </x:c>
      <x:c r="C54" s="5" t="str">
        <x:v>仮説② 中国車は日本車より常に安い。HEV比較では、H6がToyotaより高いVN・ID・AUと、低いTH・MY・DE・BRが混在。H6のサイズ、グレード、税費用基準も違うので、国籍による一律の価格優位は本表から支持できない。</x:v>
      </x:c>
      <x:c r="D54" s="5" t="str">
        <x:v>仮説② 中国車は日本車より常に安い。HEV比較では、H6がToyotaより高いVN・ID・AUと、低いTH・MY・DE・BRが混在。H6のサイズ、グレード、税費用基準も違うので、国籍による一律の価格優位は本表から支持できない。</x:v>
      </x:c>
      <x:c r="E54" s="5" t="str">
        <x:v>仮説② 中国車は日本車より常に安い。HEV比較では、H6がToyotaより高いVN・ID・AUと、低いTH・MY・DE・BRが混在。H6のサイズ、グレード、税費用基準も違うので、国籍による一律の価格優位は本表から支持できない。</x:v>
      </x:c>
      <x:c r="F54" s="5" t="str">
        <x:v>仮説② 中国車は日本車より常に安い。HEV比較では、H6がToyotaより高いVN・ID・AUと、低いTH・MY・DE・BRが混在。H6のサイズ、グレード、税費用基準も違うので、国籍による一律の価格優位は本表から支持できない。</x:v>
      </x:c>
      <x:c r="G54" s="5" t="str">
        <x:v>仮説② 中国車は日本車より常に安い。HEV比較では、H6がToyotaより高いVN・ID・AUと、低いTH・MY・DE・BRが混在。H6のサイズ、グレード、税費用基準も違うので、国籍による一律の価格優位は本表から支持できない。</x:v>
      </x:c>
      <x:c r="H54" s="5" t="str">
        <x:v>仮説② 中国車は日本車より常に安い。HEV比較では、H6がToyotaより高いVN・ID・AUと、低いTH・MY・DE・BRが混在。H6のサイズ、グレード、税費用基準も違うので、国籍による一律の価格優位は本表から支持できない。</x:v>
      </x:c>
      <x:c r="I54" s="5" t="str">
        <x:v>仮説② 中国車は日本車より常に安い。HEV比較では、H6がToyotaより高いVN・ID・AUと、低いTH・MY・DE・BRが混在。H6のサイズ、グレード、税費用基準も違うので、国籍による一律の価格優位は本表から支持できない。</x:v>
      </x:c>
      <x:c r="J54" s="5" t="str">
        <x:v>仮説② 中国車は日本車より常に安い。HEV比較では、H6がToyotaより高いVN・ID・AUと、低いTH・MY・DE・BRが混在。H6のサイズ、グレード、税費用基準も違うので、国籍による一律の価格優位は本表から支持できない。</x:v>
      </x:c>
      <x:c r="K54" s="5" t="str">
        <x:v>仮説② 中国車は日本車より常に安い。HEV比較では、H6がToyotaより高いVN・ID・AUと、低いTH・MY・DE・BRが混在。H6のサイズ、グレード、税費用基準も違うので、国籍による一律の価格優位は本表から支持できない。</x:v>
      </x:c>
    </x:row>
    <x:row r="55" ht="25" customHeight="1">
      <x:c r="A55" s="5" t="str">
        <x:v>仮説③ 所得の低い市場では販売価格より購入負担が制約になる。DolphinのGDP比はPH約6.00、VN約4.50、AU約0.30。価格水準の国別差に比べて負担差が大きい。ただし買う人の所得分布・ローン・可処分所得を追加しないと、普及率を予測できない。</x:v>
      </x:c>
      <x:c r="B55" s="5" t="str">
        <x:v>仮説③ 所得の低い市場では販売価格より購入負担が制約になる。DolphinのGDP比はPH約6.00、VN約4.50、AU約0.30。価格水準の国別差に比べて負担差が大きい。ただし買う人の所得分布・ローン・可処分所得を追加しないと、普及率を予測できない。</x:v>
      </x:c>
      <x:c r="C55" s="5" t="str">
        <x:v>仮説③ 所得の低い市場では販売価格より購入負担が制約になる。DolphinのGDP比はPH約6.00、VN約4.50、AU約0.30。価格水準の国別差に比べて負担差が大きい。ただし買う人の所得分布・ローン・可処分所得を追加しないと、普及率を予測できない。</x:v>
      </x:c>
      <x:c r="D55" s="5" t="str">
        <x:v>仮説③ 所得の低い市場では販売価格より購入負担が制約になる。DolphinのGDP比はPH約6.00、VN約4.50、AU約0.30。価格水準の国別差に比べて負担差が大きい。ただし買う人の所得分布・ローン・可処分所得を追加しないと、普及率を予測できない。</x:v>
      </x:c>
      <x:c r="E55" s="5" t="str">
        <x:v>仮説③ 所得の低い市場では販売価格より購入負担が制約になる。DolphinのGDP比はPH約6.00、VN約4.50、AU約0.30。価格水準の国別差に比べて負担差が大きい。ただし買う人の所得分布・ローン・可処分所得を追加しないと、普及率を予測できない。</x:v>
      </x:c>
      <x:c r="F55" s="5" t="str">
        <x:v>仮説③ 所得の低い市場では販売価格より購入負担が制約になる。DolphinのGDP比はPH約6.00、VN約4.50、AU約0.30。価格水準の国別差に比べて負担差が大きい。ただし買う人の所得分布・ローン・可処分所得を追加しないと、普及率を予測できない。</x:v>
      </x:c>
      <x:c r="G55" s="5" t="str">
        <x:v>仮説③ 所得の低い市場では販売価格より購入負担が制約になる。DolphinのGDP比はPH約6.00、VN約4.50、AU約0.30。価格水準の国別差に比べて負担差が大きい。ただし買う人の所得分布・ローン・可処分所得を追加しないと、普及率を予測できない。</x:v>
      </x:c>
      <x:c r="H55" s="5" t="str">
        <x:v>仮説③ 所得の低い市場では販売価格より購入負担が制約になる。DolphinのGDP比はPH約6.00、VN約4.50、AU約0.30。価格水準の国別差に比べて負担差が大きい。ただし買う人の所得分布・ローン・可処分所得を追加しないと、普及率を予測できない。</x:v>
      </x:c>
      <x:c r="I55" s="5" t="str">
        <x:v>仮説③ 所得の低い市場では販売価格より購入負担が制約になる。DolphinのGDP比はPH約6.00、VN約4.50、AU約0.30。価格水準の国別差に比べて負担差が大きい。ただし買う人の所得分布・ローン・可処分所得を追加しないと、普及率を予測できない。</x:v>
      </x:c>
      <x:c r="J55" s="5" t="str">
        <x:v>仮説③ 所得の低い市場では販売価格より購入負担が制約になる。DolphinのGDP比はPH約6.00、VN約4.50、AU約0.30。価格水準の国別差に比べて負担差が大きい。ただし買う人の所得分布・ローン・可処分所得を追加しないと、普及率を予測できない。</x:v>
      </x:c>
      <x:c r="K55" s="5" t="str">
        <x:v>仮説③ 所得の低い市場では販売価格より購入負担が制約になる。DolphinのGDP比はPH約6.00、VN約4.50、AU約0.30。価格水準の国別差に比べて負担差が大きい。ただし買う人の所得分布・ローン・可処分所得を追加しないと、普及率を予測できない。</x:v>
      </x:c>
    </x:row>
    <x:row r="56" ht="25" customHeight="1">
      <x:c r="A56" s="5" t="str">
        <x:v>仮説③ 所得の低い市場では販売価格より購入負担が制約になる。DolphinのGDP比はPH約6.00、VN約4.50、AU約0.30。価格水準の国別差に比べて負担差が大きい。ただし買う人の所得分布・ローン・可処分所得を追加しないと、普及率を予測できない。</x:v>
      </x:c>
      <x:c r="B56" s="5" t="str">
        <x:v>仮説③ 所得の低い市場では販売価格より購入負担が制約になる。DolphinのGDP比はPH約6.00、VN約4.50、AU約0.30。価格水準の国別差に比べて負担差が大きい。ただし買う人の所得分布・ローン・可処分所得を追加しないと、普及率を予測できない。</x:v>
      </x:c>
      <x:c r="C56" s="5" t="str">
        <x:v>仮説③ 所得の低い市場では販売価格より購入負担が制約になる。DolphinのGDP比はPH約6.00、VN約4.50、AU約0.30。価格水準の国別差に比べて負担差が大きい。ただし買う人の所得分布・ローン・可処分所得を追加しないと、普及率を予測できない。</x:v>
      </x:c>
      <x:c r="D56" s="5" t="str">
        <x:v>仮説③ 所得の低い市場では販売価格より購入負担が制約になる。DolphinのGDP比はPH約6.00、VN約4.50、AU約0.30。価格水準の国別差に比べて負担差が大きい。ただし買う人の所得分布・ローン・可処分所得を追加しないと、普及率を予測できない。</x:v>
      </x:c>
      <x:c r="E56" s="5" t="str">
        <x:v>仮説③ 所得の低い市場では販売価格より購入負担が制約になる。DolphinのGDP比はPH約6.00、VN約4.50、AU約0.30。価格水準の国別差に比べて負担差が大きい。ただし買う人の所得分布・ローン・可処分所得を追加しないと、普及率を予測できない。</x:v>
      </x:c>
      <x:c r="F56" s="5" t="str">
        <x:v>仮説③ 所得の低い市場では販売価格より購入負担が制約になる。DolphinのGDP比はPH約6.00、VN約4.50、AU約0.30。価格水準の国別差に比べて負担差が大きい。ただし買う人の所得分布・ローン・可処分所得を追加しないと、普及率を予測できない。</x:v>
      </x:c>
      <x:c r="G56" s="5" t="str">
        <x:v>仮説③ 所得の低い市場では販売価格より購入負担が制約になる。DolphinのGDP比はPH約6.00、VN約4.50、AU約0.30。価格水準の国別差に比べて負担差が大きい。ただし買う人の所得分布・ローン・可処分所得を追加しないと、普及率を予測できない。</x:v>
      </x:c>
      <x:c r="H56" s="5" t="str">
        <x:v>仮説③ 所得の低い市場では販売価格より購入負担が制約になる。DolphinのGDP比はPH約6.00、VN約4.50、AU約0.30。価格水準の国別差に比べて負担差が大きい。ただし買う人の所得分布・ローン・可処分所得を追加しないと、普及率を予測できない。</x:v>
      </x:c>
      <x:c r="I56" s="5" t="str">
        <x:v>仮説③ 所得の低い市場では販売価格より購入負担が制約になる。DolphinのGDP比はPH約6.00、VN約4.50、AU約0.30。価格水準の国別差に比べて負担差が大きい。ただし買う人の所得分布・ローン・可処分所得を追加しないと、普及率を予測できない。</x:v>
      </x:c>
      <x:c r="J56" s="5" t="str">
        <x:v>仮説③ 所得の低い市場では販売価格より購入負担が制約になる。DolphinのGDP比はPH約6.00、VN約4.50、AU約0.30。価格水準の国別差に比べて負担差が大きい。ただし買う人の所得分布・ローン・可処分所得を追加しないと、普及率を予測できない。</x:v>
      </x:c>
      <x:c r="K56" s="5" t="str">
        <x:v>仮説③ 所得の低い市場では販売価格より購入負担が制約になる。DolphinのGDP比はPH約6.00、VN約4.50、AU約0.30。価格水準の国別差に比べて負担差が大きい。ただし買う人の所得分布・ローン・可処分所得を追加しないと、普及率を予測できない。</x:v>
      </x:c>
    </x:row>
    <x:row r="57" ht="25" customHeight="1">
      <x:c r="A57" s="5" t="str">
        <x:v>仮説③ 所得の低い市場では販売価格より購入負担が制約になる。DolphinのGDP比はPH約6.00、VN約4.50、AU約0.30。価格水準の国別差に比べて負担差が大きい。ただし買う人の所得分布・ローン・可処分所得を追加しないと、普及率を予測できない。</x:v>
      </x:c>
      <x:c r="B57" s="5" t="str">
        <x:v>仮説③ 所得の低い市場では販売価格より購入負担が制約になる。DolphinのGDP比はPH約6.00、VN約4.50、AU約0.30。価格水準の国別差に比べて負担差が大きい。ただし買う人の所得分布・ローン・可処分所得を追加しないと、普及率を予測できない。</x:v>
      </x:c>
      <x:c r="C57" s="5" t="str">
        <x:v>仮説③ 所得の低い市場では販売価格より購入負担が制約になる。DolphinのGDP比はPH約6.00、VN約4.50、AU約0.30。価格水準の国別差に比べて負担差が大きい。ただし買う人の所得分布・ローン・可処分所得を追加しないと、普及率を予測できない。</x:v>
      </x:c>
      <x:c r="D57" s="5" t="str">
        <x:v>仮説③ 所得の低い市場では販売価格より購入負担が制約になる。DolphinのGDP比はPH約6.00、VN約4.50、AU約0.30。価格水準の国別差に比べて負担差が大きい。ただし買う人の所得分布・ローン・可処分所得を追加しないと、普及率を予測できない。</x:v>
      </x:c>
      <x:c r="E57" s="5" t="str">
        <x:v>仮説③ 所得の低い市場では販売価格より購入負担が制約になる。DolphinのGDP比はPH約6.00、VN約4.50、AU約0.30。価格水準の国別差に比べて負担差が大きい。ただし買う人の所得分布・ローン・可処分所得を追加しないと、普及率を予測できない。</x:v>
      </x:c>
      <x:c r="F57" s="5" t="str">
        <x:v>仮説③ 所得の低い市場では販売価格より購入負担が制約になる。DolphinのGDP比はPH約6.00、VN約4.50、AU約0.30。価格水準の国別差に比べて負担差が大きい。ただし買う人の所得分布・ローン・可処分所得を追加しないと、普及率を予測できない。</x:v>
      </x:c>
      <x:c r="G57" s="5" t="str">
        <x:v>仮説③ 所得の低い市場では販売価格より購入負担が制約になる。DolphinのGDP比はPH約6.00、VN約4.50、AU約0.30。価格水準の国別差に比べて負担差が大きい。ただし買う人の所得分布・ローン・可処分所得を追加しないと、普及率を予測できない。</x:v>
      </x:c>
      <x:c r="H57" s="5" t="str">
        <x:v>仮説③ 所得の低い市場では販売価格より購入負担が制約になる。DolphinのGDP比はPH約6.00、VN約4.50、AU約0.30。価格水準の国別差に比べて負担差が大きい。ただし買う人の所得分布・ローン・可処分所得を追加しないと、普及率を予測できない。</x:v>
      </x:c>
      <x:c r="I57" s="5" t="str">
        <x:v>仮説③ 所得の低い市場では販売価格より購入負担が制約になる。DolphinのGDP比はPH約6.00、VN約4.50、AU約0.30。価格水準の国別差に比べて負担差が大きい。ただし買う人の所得分布・ローン・可処分所得を追加しないと、普及率を予測できない。</x:v>
      </x:c>
      <x:c r="J57" s="5" t="str">
        <x:v>仮説③ 所得の低い市場では販売価格より購入負担が制約になる。DolphinのGDP比はPH約6.00、VN約4.50、AU約0.30。価格水準の国別差に比べて負担差が大きい。ただし買う人の所得分布・ローン・可処分所得を追加しないと、普及率を予測できない。</x:v>
      </x:c>
      <x:c r="K57" s="5" t="str">
        <x:v>仮説③ 所得の低い市場では販売価格より購入負担が制約になる。DolphinのGDP比はPH約6.00、VN約4.50、AU約0.30。価格水準の国別差に比べて負担差が大きい。ただし買う人の所得分布・ローン・可処分所得を追加しないと、普及率を予測できない。</x:v>
      </x:c>
    </x:row>
    <x:row r="58" ht="25" customHeight="1">
      <x:c r="A58" s="5" t="str">
        <x:v>ブラジルは車種次第。Dolphinは約30.2千USDでタイ約17.9千USDより高いが、H6は約40.2千USDでID約36.7千USDに近い。Yuan Plusは2027 AWD・大容量仕様。前回の「ブラジルが高い」は、税・輸入・仕様・現地生産を車種別に切り分けて検証する。</x:v>
      </x:c>
      <x:c r="B58" s="5" t="str">
        <x:v>ブラジルは車種次第。Dolphinは約30.2千USDでタイ約17.9千USDより高いが、H6は約40.2千USDでID約36.7千USDに近い。Yuan Plusは2027 AWD・大容量仕様。前回の「ブラジルが高い」は、税・輸入・仕様・現地生産を車種別に切り分けて検証する。</x:v>
      </x:c>
      <x:c r="C58" s="5" t="str">
        <x:v>ブラジルは車種次第。Dolphinは約30.2千USDでタイ約17.9千USDより高いが、H6は約40.2千USDでID約36.7千USDに近い。Yuan Plusは2027 AWD・大容量仕様。前回の「ブラジルが高い」は、税・輸入・仕様・現地生産を車種別に切り分けて検証する。</x:v>
      </x:c>
      <x:c r="D58" s="5" t="str">
        <x:v>ブラジルは車種次第。Dolphinは約30.2千USDでタイ約17.9千USDより高いが、H6は約40.2千USDでID約36.7千USDに近い。Yuan Plusは2027 AWD・大容量仕様。前回の「ブラジルが高い」は、税・輸入・仕様・現地生産を車種別に切り分けて検証する。</x:v>
      </x:c>
      <x:c r="E58" s="5" t="str">
        <x:v>ブラジルは車種次第。Dolphinは約30.2千USDでタイ約17.9千USDより高いが、H6は約40.2千USDでID約36.7千USDに近い。Yuan Plusは2027 AWD・大容量仕様。前回の「ブラジルが高い」は、税・輸入・仕様・現地生産を車種別に切り分けて検証する。</x:v>
      </x:c>
      <x:c r="F58" s="5" t="str">
        <x:v>ブラジルは車種次第。Dolphinは約30.2千USDでタイ約17.9千USDより高いが、H6は約40.2千USDでID約36.7千USDに近い。Yuan Plusは2027 AWD・大容量仕様。前回の「ブラジルが高い」は、税・輸入・仕様・現地生産を車種別に切り分けて検証する。</x:v>
      </x:c>
      <x:c r="G58" s="5" t="str">
        <x:v>ブラジルは車種次第。Dolphinは約30.2千USDでタイ約17.9千USDより高いが、H6は約40.2千USDでID約36.7千USDに近い。Yuan Plusは2027 AWD・大容量仕様。前回の「ブラジルが高い」は、税・輸入・仕様・現地生産を車種別に切り分けて検証する。</x:v>
      </x:c>
      <x:c r="H58" s="5" t="str">
        <x:v>ブラジルは車種次第。Dolphinは約30.2千USDでタイ約17.9千USDより高いが、H6は約40.2千USDでID約36.7千USDに近い。Yuan Plusは2027 AWD・大容量仕様。前回の「ブラジルが高い」は、税・輸入・仕様・現地生産を車種別に切り分けて検証する。</x:v>
      </x:c>
      <x:c r="I58" s="5" t="str">
        <x:v>ブラジルは車種次第。Dolphinは約30.2千USDでタイ約17.9千USDより高いが、H6は約40.2千USDでID約36.7千USDに近い。Yuan Plusは2027 AWD・大容量仕様。前回の「ブラジルが高い」は、税・輸入・仕様・現地生産を車種別に切り分けて検証する。</x:v>
      </x:c>
      <x:c r="J58" s="5" t="str">
        <x:v>ブラジルは車種次第。Dolphinは約30.2千USDでタイ約17.9千USDより高いが、H6は約40.2千USDでID約36.7千USDに近い。Yuan Plusは2027 AWD・大容量仕様。前回の「ブラジルが高い」は、税・輸入・仕様・現地生産を車種別に切り分けて検証する。</x:v>
      </x:c>
      <x:c r="K58" s="5" t="str">
        <x:v>ブラジルは車種次第。Dolphinは約30.2千USDでタイ約17.9千USDより高いが、H6は約40.2千USDでID約36.7千USDに近い。Yuan Plusは2027 AWD・大容量仕様。前回の「ブラジルが高い」は、税・輸入・仕様・現地生産を車種別に切り分けて検証する。</x:v>
      </x:c>
    </x:row>
    <x:row r="59" ht="25" customHeight="1">
      <x:c r="A59" s="5" t="str">
        <x:v>ブラジルは車種次第。Dolphinは約30.2千USDでタイ約17.9千USDより高いが、H6は約40.2千USDでID約36.7千USDに近い。Yuan Plusは2027 AWD・大容量仕様。前回の「ブラジルが高い」は、税・輸入・仕様・現地生産を車種別に切り分けて検証する。</x:v>
      </x:c>
      <x:c r="B59" s="5" t="str">
        <x:v>ブラジルは車種次第。Dolphinは約30.2千USDでタイ約17.9千USDより高いが、H6は約40.2千USDでID約36.7千USDに近い。Yuan Plusは2027 AWD・大容量仕様。前回の「ブラジルが高い」は、税・輸入・仕様・現地生産を車種別に切り分けて検証する。</x:v>
      </x:c>
      <x:c r="C59" s="5" t="str">
        <x:v>ブラジルは車種次第。Dolphinは約30.2千USDでタイ約17.9千USDより高いが、H6は約40.2千USDでID約36.7千USDに近い。Yuan Plusは2027 AWD・大容量仕様。前回の「ブラジルが高い」は、税・輸入・仕様・現地生産を車種別に切り分けて検証する。</x:v>
      </x:c>
      <x:c r="D59" s="5" t="str">
        <x:v>ブラジルは車種次第。Dolphinは約30.2千USDでタイ約17.9千USDより高いが、H6は約40.2千USDでID約36.7千USDに近い。Yuan Plusは2027 AWD・大容量仕様。前回の「ブラジルが高い」は、税・輸入・仕様・現地生産を車種別に切り分けて検証する。</x:v>
      </x:c>
      <x:c r="E59" s="5" t="str">
        <x:v>ブラジルは車種次第。Dolphinは約30.2千USDでタイ約17.9千USDより高いが、H6は約40.2千USDでID約36.7千USDに近い。Yuan Plusは2027 AWD・大容量仕様。前回の「ブラジルが高い」は、税・輸入・仕様・現地生産を車種別に切り分けて検証する。</x:v>
      </x:c>
      <x:c r="F59" s="5" t="str">
        <x:v>ブラジルは車種次第。Dolphinは約30.2千USDでタイ約17.9千USDより高いが、H6は約40.2千USDでID約36.7千USDに近い。Yuan Plusは2027 AWD・大容量仕様。前回の「ブラジルが高い」は、税・輸入・仕様・現地生産を車種別に切り分けて検証する。</x:v>
      </x:c>
      <x:c r="G59" s="5" t="str">
        <x:v>ブラジルは車種次第。Dolphinは約30.2千USDでタイ約17.9千USDより高いが、H6は約40.2千USDでID約36.7千USDに近い。Yuan Plusは2027 AWD・大容量仕様。前回の「ブラジルが高い」は、税・輸入・仕様・現地生産を車種別に切り分けて検証する。</x:v>
      </x:c>
      <x:c r="H59" s="5" t="str">
        <x:v>ブラジルは車種次第。Dolphinは約30.2千USDでタイ約17.9千USDより高いが、H6は約40.2千USDでID約36.7千USDに近い。Yuan Plusは2027 AWD・大容量仕様。前回の「ブラジルが高い」は、税・輸入・仕様・現地生産を車種別に切り分けて検証する。</x:v>
      </x:c>
      <x:c r="I59" s="5" t="str">
        <x:v>ブラジルは車種次第。Dolphinは約30.2千USDでタイ約17.9千USDより高いが、H6は約40.2千USDでID約36.7千USDに近い。Yuan Plusは2027 AWD・大容量仕様。前回の「ブラジルが高い」は、税・輸入・仕様・現地生産を車種別に切り分けて検証する。</x:v>
      </x:c>
      <x:c r="J59" s="5" t="str">
        <x:v>ブラジルは車種次第。Dolphinは約30.2千USDでタイ約17.9千USDより高いが、H6は約40.2千USDでID約36.7千USDに近い。Yuan Plusは2027 AWD・大容量仕様。前回の「ブラジルが高い」は、税・輸入・仕様・現地生産を車種別に切り分けて検証する。</x:v>
      </x:c>
      <x:c r="K59" s="5" t="str">
        <x:v>ブラジルは車種次第。Dolphinは約30.2千USDでタイ約17.9千USDより高いが、H6は約40.2千USDでID約36.7千USDに近い。Yuan Plusは2027 AWD・大容量仕様。前回の「ブラジルが高い」は、税・輸入・仕様・現地生産を車種別に切り分けて検証する。</x:v>
      </x:c>
    </x:row>
    <x:row r="60" ht="25" customHeight="1">
      <x:c r="A60" s="5" t="str">
        <x:v>ブラジルは車種次第。Dolphinは約30.2千USDでタイ約17.9千USDより高いが、H6は約40.2千USDでID約36.7千USDに近い。Yuan Plusは2027 AWD・大容量仕様。前回の「ブラジルが高い」は、税・輸入・仕様・現地生産を車種別に切り分けて検証する。</x:v>
      </x:c>
      <x:c r="B60" s="5" t="str">
        <x:v>ブラジルは車種次第。Dolphinは約30.2千USDでタイ約17.9千USDより高いが、H6は約40.2千USDでID約36.7千USDに近い。Yuan Plusは2027 AWD・大容量仕様。前回の「ブラジルが高い」は、税・輸入・仕様・現地生産を車種別に切り分けて検証する。</x:v>
      </x:c>
      <x:c r="C60" s="5" t="str">
        <x:v>ブラジルは車種次第。Dolphinは約30.2千USDでタイ約17.9千USDより高いが、H6は約40.2千USDでID約36.7千USDに近い。Yuan Plusは2027 AWD・大容量仕様。前回の「ブラジルが高い」は、税・輸入・仕様・現地生産を車種別に切り分けて検証する。</x:v>
      </x:c>
      <x:c r="D60" s="5" t="str">
        <x:v>ブラジルは車種次第。Dolphinは約30.2千USDでタイ約17.9千USDより高いが、H6は約40.2千USDでID約36.7千USDに近い。Yuan Plusは2027 AWD・大容量仕様。前回の「ブラジルが高い」は、税・輸入・仕様・現地生産を車種別に切り分けて検証する。</x:v>
      </x:c>
      <x:c r="E60" s="5" t="str">
        <x:v>ブラジルは車種次第。Dolphinは約30.2千USDでタイ約17.9千USDより高いが、H6は約40.2千USDでID約36.7千USDに近い。Yuan Plusは2027 AWD・大容量仕様。前回の「ブラジルが高い」は、税・輸入・仕様・現地生産を車種別に切り分けて検証する。</x:v>
      </x:c>
      <x:c r="F60" s="5" t="str">
        <x:v>ブラジルは車種次第。Dolphinは約30.2千USDでタイ約17.9千USDより高いが、H6は約40.2千USDでID約36.7千USDに近い。Yuan Plusは2027 AWD・大容量仕様。前回の「ブラジルが高い」は、税・輸入・仕様・現地生産を車種別に切り分けて検証する。</x:v>
      </x:c>
      <x:c r="G60" s="5" t="str">
        <x:v>ブラジルは車種次第。Dolphinは約30.2千USDでタイ約17.9千USDより高いが、H6は約40.2千USDでID約36.7千USDに近い。Yuan Plusは2027 AWD・大容量仕様。前回の「ブラジルが高い」は、税・輸入・仕様・現地生産を車種別に切り分けて検証する。</x:v>
      </x:c>
      <x:c r="H60" s="5" t="str">
        <x:v>ブラジルは車種次第。Dolphinは約30.2千USDでタイ約17.9千USDより高いが、H6は約40.2千USDでID約36.7千USDに近い。Yuan Plusは2027 AWD・大容量仕様。前回の「ブラジルが高い」は、税・輸入・仕様・現地生産を車種別に切り分けて検証する。</x:v>
      </x:c>
      <x:c r="I60" s="5" t="str">
        <x:v>ブラジルは車種次第。Dolphinは約30.2千USDでタイ約17.9千USDより高いが、H6は約40.2千USDでID約36.7千USDに近い。Yuan Plusは2027 AWD・大容量仕様。前回の「ブラジルが高い」は、税・輸入・仕様・現地生産を車種別に切り分けて検証する。</x:v>
      </x:c>
      <x:c r="J60" s="5" t="str">
        <x:v>ブラジルは車種次第。Dolphinは約30.2千USDでタイ約17.9千USDより高いが、H6は約40.2千USDでID約36.7千USDに近い。Yuan Plusは2027 AWD・大容量仕様。前回の「ブラジルが高い」は、税・輸入・仕様・現地生産を車種別に切り分けて検証する。</x:v>
      </x:c>
      <x:c r="K60" s="5" t="str">
        <x:v>ブラジルは車種次第。Dolphinは約30.2千USDでタイ約17.9千USDより高いが、H6は約40.2千USDでID約36.7千USDに近い。Yuan Plusは2027 AWD・大容量仕様。前回の「ブラジルが高い」は、税・輸入・仕様・現地生産を車種別に切り分けて検証する。</x:v>
      </x:c>
    </x:row>
    <x:row r="61" ht="25" customHeight="1">
      <x:c r="A61" s="5" t="str">
        <x:v>次の検証：同年・同仕様の税抜本体価格、輸入/現地生産と関税、競合の通常/実売価格、家計の可処分所得中央値、頭金・金利・返済額、上位所得層の人数。中古車は新車時の実売価格を分母にした残余価値も併用し、MSRP下落と経年減価を分ける。</x:v>
      </x:c>
      <x:c r="B61" s="5" t="str">
        <x:v>次の検証：同年・同仕様の税抜本体価格、輸入/現地生産と関税、競合の通常/実売価格、家計の可処分所得中央値、頭金・金利・返済額、上位所得層の人数。中古車は新車時の実売価格を分母にした残余価値も併用し、MSRP下落と経年減価を分ける。</x:v>
      </x:c>
      <x:c r="C61" s="5" t="str">
        <x:v>次の検証：同年・同仕様の税抜本体価格、輸入/現地生産と関税、競合の通常/実売価格、家計の可処分所得中央値、頭金・金利・返済額、上位所得層の人数。中古車は新車時の実売価格を分母にした残余価値も併用し、MSRP下落と経年減価を分ける。</x:v>
      </x:c>
      <x:c r="D61" s="5" t="str">
        <x:v>次の検証：同年・同仕様の税抜本体価格、輸入/現地生産と関税、競合の通常/実売価格、家計の可処分所得中央値、頭金・金利・返済額、上位所得層の人数。中古車は新車時の実売価格を分母にした残余価値も併用し、MSRP下落と経年減価を分ける。</x:v>
      </x:c>
      <x:c r="E61" s="5" t="str">
        <x:v>次の検証：同年・同仕様の税抜本体価格、輸入/現地生産と関税、競合の通常/実売価格、家計の可処分所得中央値、頭金・金利・返済額、上位所得層の人数。中古車は新車時の実売価格を分母にした残余価値も併用し、MSRP下落と経年減価を分ける。</x:v>
      </x:c>
      <x:c r="F61" s="5" t="str">
        <x:v>次の検証：同年・同仕様の税抜本体価格、輸入/現地生産と関税、競合の通常/実売価格、家計の可処分所得中央値、頭金・金利・返済額、上位所得層の人数。中古車は新車時の実売価格を分母にした残余価値も併用し、MSRP下落と経年減価を分ける。</x:v>
      </x:c>
      <x:c r="G61" s="5" t="str">
        <x:v>次の検証：同年・同仕様の税抜本体価格、輸入/現地生産と関税、競合の通常/実売価格、家計の可処分所得中央値、頭金・金利・返済額、上位所得層の人数。中古車は新車時の実売価格を分母にした残余価値も併用し、MSRP下落と経年減価を分ける。</x:v>
      </x:c>
      <x:c r="H61" s="5" t="str">
        <x:v>次の検証：同年・同仕様の税抜本体価格、輸入/現地生産と関税、競合の通常/実売価格、家計の可処分所得中央値、頭金・金利・返済額、上位所得層の人数。中古車は新車時の実売価格を分母にした残余価値も併用し、MSRP下落と経年減価を分ける。</x:v>
      </x:c>
      <x:c r="I61" s="5" t="str">
        <x:v>次の検証：同年・同仕様の税抜本体価格、輸入/現地生産と関税、競合の通常/実売価格、家計の可処分所得中央値、頭金・金利・返済額、上位所得層の人数。中古車は新車時の実売価格を分母にした残余価値も併用し、MSRP下落と経年減価を分ける。</x:v>
      </x:c>
      <x:c r="J61" s="5" t="str">
        <x:v>次の検証：同年・同仕様の税抜本体価格、輸入/現地生産と関税、競合の通常/実売価格、家計の可処分所得中央値、頭金・金利・返済額、上位所得層の人数。中古車は新車時の実売価格を分母にした残余価値も併用し、MSRP下落と経年減価を分ける。</x:v>
      </x:c>
      <x:c r="K61" s="5" t="str">
        <x:v>次の検証：同年・同仕様の税抜本体価格、輸入/現地生産と関税、競合の通常/実売価格、家計の可処分所得中央値、頭金・金利・返済額、上位所得層の人数。中古車は新車時の実売価格を分母にした残余価値も併用し、MSRP下落と経年減価を分ける。</x:v>
      </x:c>
    </x:row>
    <x:row r="62" ht="25" customHeight="1">
      <x:c r="A62" s="5" t="str">
        <x:v>次の検証：同年・同仕様の税抜本体価格、輸入/現地生産と関税、競合の通常/実売価格、家計の可処分所得中央値、頭金・金利・返済額、上位所得層の人数。中古車は新車時の実売価格を分母にした残余価値も併用し、MSRP下落と経年減価を分ける。</x:v>
      </x:c>
      <x:c r="B62" s="5" t="str">
        <x:v>次の検証：同年・同仕様の税抜本体価格、輸入/現地生産と関税、競合の通常/実売価格、家計の可処分所得中央値、頭金・金利・返済額、上位所得層の人数。中古車は新車時の実売価格を分母にした残余価値も併用し、MSRP下落と経年減価を分ける。</x:v>
      </x:c>
      <x:c r="C62" s="5" t="str">
        <x:v>次の検証：同年・同仕様の税抜本体価格、輸入/現地生産と関税、競合の通常/実売価格、家計の可処分所得中央値、頭金・金利・返済額、上位所得層の人数。中古車は新車時の実売価格を分母にした残余価値も併用し、MSRP下落と経年減価を分ける。</x:v>
      </x:c>
      <x:c r="D62" s="5" t="str">
        <x:v>次の検証：同年・同仕様の税抜本体価格、輸入/現地生産と関税、競合の通常/実売価格、家計の可処分所得中央値、頭金・金利・返済額、上位所得層の人数。中古車は新車時の実売価格を分母にした残余価値も併用し、MSRP下落と経年減価を分ける。</x:v>
      </x:c>
      <x:c r="E62" s="5" t="str">
        <x:v>次の検証：同年・同仕様の税抜本体価格、輸入/現地生産と関税、競合の通常/実売価格、家計の可処分所得中央値、頭金・金利・返済額、上位所得層の人数。中古車は新車時の実売価格を分母にした残余価値も併用し、MSRP下落と経年減価を分ける。</x:v>
      </x:c>
      <x:c r="F62" s="5" t="str">
        <x:v>次の検証：同年・同仕様の税抜本体価格、輸入/現地生産と関税、競合の通常/実売価格、家計の可処分所得中央値、頭金・金利・返済額、上位所得層の人数。中古車は新車時の実売価格を分母にした残余価値も併用し、MSRP下落と経年減価を分ける。</x:v>
      </x:c>
      <x:c r="G62" s="5" t="str">
        <x:v>次の検証：同年・同仕様の税抜本体価格、輸入/現地生産と関税、競合の通常/実売価格、家計の可処分所得中央値、頭金・金利・返済額、上位所得層の人数。中古車は新車時の実売価格を分母にした残余価値も併用し、MSRP下落と経年減価を分ける。</x:v>
      </x:c>
      <x:c r="H62" s="5" t="str">
        <x:v>次の検証：同年・同仕様の税抜本体価格、輸入/現地生産と関税、競合の通常/実売価格、家計の可処分所得中央値、頭金・金利・返済額、上位所得層の人数。中古車は新車時の実売価格を分母にした残余価値も併用し、MSRP下落と経年減価を分ける。</x:v>
      </x:c>
      <x:c r="I62" s="5" t="str">
        <x:v>次の検証：同年・同仕様の税抜本体価格、輸入/現地生産と関税、競合の通常/実売価格、家計の可処分所得中央値、頭金・金利・返済額、上位所得層の人数。中古車は新車時の実売価格を分母にした残余価値も併用し、MSRP下落と経年減価を分ける。</x:v>
      </x:c>
      <x:c r="J62" s="5" t="str">
        <x:v>次の検証：同年・同仕様の税抜本体価格、輸入/現地生産と関税、競合の通常/実売価格、家計の可処分所得中央値、頭金・金利・返済額、上位所得層の人数。中古車は新車時の実売価格を分母にした残余価値も併用し、MSRP下落と経年減価を分ける。</x:v>
      </x:c>
      <x:c r="K62" s="5" t="str">
        <x:v>次の検証：同年・同仕様の税抜本体価格、輸入/現地生産と関税、競合の通常/実売価格、家計の可処分所得中央値、頭金・金利・返済額、上位所得層の人数。中古車は新車時の実売価格を分母にした残余価値も併用し、MSRP下落と経年減価を分ける。</x:v>
      </x:c>
    </x:row>
    <x:row r="63" ht="25" customHeight="1">
      <x:c r="A63" s="5" t="str">
        <x:v>次の検証：同年・同仕様の税抜本体価格、輸入/現地生産と関税、競合の通常/実売価格、家計の可処分所得中央値、頭金・金利・返済額、上位所得層の人数。中古車は新車時の実売価格を分母にした残余価値も併用し、MSRP下落と経年減価を分ける。</x:v>
      </x:c>
      <x:c r="B63" s="5" t="str">
        <x:v>次の検証：同年・同仕様の税抜本体価格、輸入/現地生産と関税、競合の通常/実売価格、家計の可処分所得中央値、頭金・金利・返済額、上位所得層の人数。中古車は新車時の実売価格を分母にした残余価値も併用し、MSRP下落と経年減価を分ける。</x:v>
      </x:c>
      <x:c r="C63" s="5" t="str">
        <x:v>次の検証：同年・同仕様の税抜本体価格、輸入/現地生産と関税、競合の通常/実売価格、家計の可処分所得中央値、頭金・金利・返済額、上位所得層の人数。中古車は新車時の実売価格を分母にした残余価値も併用し、MSRP下落と経年減価を分ける。</x:v>
      </x:c>
      <x:c r="D63" s="5" t="str">
        <x:v>次の検証：同年・同仕様の税抜本体価格、輸入/現地生産と関税、競合の通常/実売価格、家計の可処分所得中央値、頭金・金利・返済額、上位所得層の人数。中古車は新車時の実売価格を分母にした残余価値も併用し、MSRP下落と経年減価を分ける。</x:v>
      </x:c>
      <x:c r="E63" s="5" t="str">
        <x:v>次の検証：同年・同仕様の税抜本体価格、輸入/現地生産と関税、競合の通常/実売価格、家計の可処分所得中央値、頭金・金利・返済額、上位所得層の人数。中古車は新車時の実売価格を分母にした残余価値も併用し、MSRP下落と経年減価を分ける。</x:v>
      </x:c>
      <x:c r="F63" s="5" t="str">
        <x:v>次の検証：同年・同仕様の税抜本体価格、輸入/現地生産と関税、競合の通常/実売価格、家計の可処分所得中央値、頭金・金利・返済額、上位所得層の人数。中古車は新車時の実売価格を分母にした残余価値も併用し、MSRP下落と経年減価を分ける。</x:v>
      </x:c>
      <x:c r="G63" s="5" t="str">
        <x:v>次の検証：同年・同仕様の税抜本体価格、輸入/現地生産と関税、競合の通常/実売価格、家計の可処分所得中央値、頭金・金利・返済額、上位所得層の人数。中古車は新車時の実売価格を分母にした残余価値も併用し、MSRP下落と経年減価を分ける。</x:v>
      </x:c>
      <x:c r="H63" s="5" t="str">
        <x:v>次の検証：同年・同仕様の税抜本体価格、輸入/現地生産と関税、競合の通常/実売価格、家計の可処分所得中央値、頭金・金利・返済額、上位所得層の人数。中古車は新車時の実売価格を分母にした残余価値も併用し、MSRP下落と経年減価を分ける。</x:v>
      </x:c>
      <x:c r="I63" s="5" t="str">
        <x:v>次の検証：同年・同仕様の税抜本体価格、輸入/現地生産と関税、競合の通常/実売価格、家計の可処分所得中央値、頭金・金利・返済額、上位所得層の人数。中古車は新車時の実売価格を分母にした残余価値も併用し、MSRP下落と経年減価を分ける。</x:v>
      </x:c>
      <x:c r="J63" s="5" t="str">
        <x:v>次の検証：同年・同仕様の税抜本体価格、輸入/現地生産と関税、競合の通常/実売価格、家計の可処分所得中央値、頭金・金利・返済額、上位所得層の人数。中古車は新車時の実売価格を分母にした残余価値も併用し、MSRP下落と経年減価を分ける。</x:v>
      </x:c>
      <x:c r="K63" s="5" t="str">
        <x:v>次の検証：同年・同仕様の税抜本体価格、輸入/現地生産と関税、競合の通常/実売価格、家計の可処分所得中央値、頭金・金利・返済額、上位所得層の人数。中古車は新車時の実売価格を分母にした残余価値も併用し、MSRP下落と経年減価を分ける。</x:v>
      </x:c>
    </x:row>
    <x:row r="64" ht="2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  <x:row r="65" ht="25" customHeight="1">
      <x:c r="A65" s="5" t="str">
        <x:v>対象の限界：Toyota中心の日本企業比較であり、日本車全体・中国車全体の平均ではない。HondaはASEAN5市場の補足。BEVとHEV、世代・駆動・装備差、税込/OTR/COE等の費用差が残る。新車データは出典・価格基準・発売前情報を「価格データ」で確認。</x:v>
      </x:c>
      <x:c r="B65" s="5" t="str">
        <x:v>対象の限界：Toyota中心の日本企業比較であり、日本車全体・中国車全体の平均ではない。HondaはASEAN5市場の補足。BEVとHEV、世代・駆動・装備差、税込/OTR/COE等の費用差が残る。新車データは出典・価格基準・発売前情報を「価格データ」で確認。</x:v>
      </x:c>
      <x:c r="C65" s="5" t="str">
        <x:v>対象の限界：Toyota中心の日本企業比較であり、日本車全体・中国車全体の平均ではない。HondaはASEAN5市場の補足。BEVとHEV、世代・駆動・装備差、税込/OTR/COE等の費用差が残る。新車データは出典・価格基準・発売前情報を「価格データ」で確認。</x:v>
      </x:c>
      <x:c r="D65" s="5" t="str">
        <x:v>対象の限界：Toyota中心の日本企業比較であり、日本車全体・中国車全体の平均ではない。HondaはASEAN5市場の補足。BEVとHEV、世代・駆動・装備差、税込/OTR/COE等の費用差が残る。新車データは出典・価格基準・発売前情報を「価格データ」で確認。</x:v>
      </x:c>
      <x:c r="E65" s="5" t="str">
        <x:v>対象の限界：Toyota中心の日本企業比較であり、日本車全体・中国車全体の平均ではない。HondaはASEAN5市場の補足。BEVとHEV、世代・駆動・装備差、税込/OTR/COE等の費用差が残る。新車データは出典・価格基準・発売前情報を「価格データ」で確認。</x:v>
      </x:c>
      <x:c r="F65" s="5" t="str">
        <x:v>対象の限界：Toyota中心の日本企業比較であり、日本車全体・中国車全体の平均ではない。HondaはASEAN5市場の補足。BEVとHEV、世代・駆動・装備差、税込/OTR/COE等の費用差が残る。新車データは出典・価格基準・発売前情報を「価格データ」で確認。</x:v>
      </x:c>
      <x:c r="G65" s="5" t="str">
        <x:v>対象の限界：Toyota中心の日本企業比較であり、日本車全体・中国車全体の平均ではない。HondaはASEAN5市場の補足。BEVとHEV、世代・駆動・装備差、税込/OTR/COE等の費用差が残る。新車データは出典・価格基準・発売前情報を「価格データ」で確認。</x:v>
      </x:c>
      <x:c r="H65" s="5" t="str">
        <x:v>対象の限界：Toyota中心の日本企業比較であり、日本車全体・中国車全体の平均ではない。HondaはASEAN5市場の補足。BEVとHEV、世代・駆動・装備差、税込/OTR/COE等の費用差が残る。新車データは出典・価格基準・発売前情報を「価格データ」で確認。</x:v>
      </x:c>
      <x:c r="I65" s="5" t="str">
        <x:v>対象の限界：Toyota中心の日本企業比較であり、日本車全体・中国車全体の平均ではない。HondaはASEAN5市場の補足。BEVとHEV、世代・駆動・装備差、税込/OTR/COE等の費用差が残る。新車データは出典・価格基準・発売前情報を「価格データ」で確認。</x:v>
      </x:c>
      <x:c r="J65" s="5" t="str">
        <x:v>対象の限界：Toyota中心の日本企業比較であり、日本車全体・中国車全体の平均ではない。HondaはASEAN5市場の補足。BEVとHEV、世代・駆動・装備差、税込/OTR/COE等の費用差が残る。新車データは出典・価格基準・発売前情報を「価格データ」で確認。</x:v>
      </x:c>
      <x:c r="K65" s="5" t="str">
        <x:v>対象の限界：Toyota中心の日本企業比較であり、日本車全体・中国車全体の平均ではない。HondaはASEAN5市場の補足。BEVとHEV、世代・駆動・装備差、税込/OTR/COE等の費用差が残る。新車データは出典・価格基準・発売前情報を「価格データ」で確認。</x:v>
      </x:c>
    </x:row>
    <x:row r="66" ht="25" customHeight="1">
      <x:c r="A66" s="5" t="str">
        <x:v>対象の限界：Toyota中心の日本企業比較であり、日本車全体・中国車全体の平均ではない。HondaはASEAN5市場の補足。BEVとHEV、世代・駆動・装備差、税込/OTR/COE等の費用差が残る。新車データは出典・価格基準・発売前情報を「価格データ」で確認。</x:v>
      </x:c>
      <x:c r="B66" s="5" t="str">
        <x:v>対象の限界：Toyota中心の日本企業比較であり、日本車全体・中国車全体の平均ではない。HondaはASEAN5市場の補足。BEVとHEV、世代・駆動・装備差、税込/OTR/COE等の費用差が残る。新車データは出典・価格基準・発売前情報を「価格データ」で確認。</x:v>
      </x:c>
      <x:c r="C66" s="5" t="str">
        <x:v>対象の限界：Toyota中心の日本企業比較であり、日本車全体・中国車全体の平均ではない。HondaはASEAN5市場の補足。BEVとHEV、世代・駆動・装備差、税込/OTR/COE等の費用差が残る。新車データは出典・価格基準・発売前情報を「価格データ」で確認。</x:v>
      </x:c>
      <x:c r="D66" s="5" t="str">
        <x:v>対象の限界：Toyota中心の日本企業比較であり、日本車全体・中国車全体の平均ではない。HondaはASEAN5市場の補足。BEVとHEV、世代・駆動・装備差、税込/OTR/COE等の費用差が残る。新車データは出典・価格基準・発売前情報を「価格データ」で確認。</x:v>
      </x:c>
      <x:c r="E66" s="5" t="str">
        <x:v>対象の限界：Toyota中心の日本企業比較であり、日本車全体・中国車全体の平均ではない。HondaはASEAN5市場の補足。BEVとHEV、世代・駆動・装備差、税込/OTR/COE等の費用差が残る。新車データは出典・価格基準・発売前情報を「価格データ」で確認。</x:v>
      </x:c>
      <x:c r="F66" s="5" t="str">
        <x:v>対象の限界：Toyota中心の日本企業比較であり、日本車全体・中国車全体の平均ではない。HondaはASEAN5市場の補足。BEVとHEV、世代・駆動・装備差、税込/OTR/COE等の費用差が残る。新車データは出典・価格基準・発売前情報を「価格データ」で確認。</x:v>
      </x:c>
      <x:c r="G66" s="5" t="str">
        <x:v>対象の限界：Toyota中心の日本企業比較であり、日本車全体・中国車全体の平均ではない。HondaはASEAN5市場の補足。BEVとHEV、世代・駆動・装備差、税込/OTR/COE等の費用差が残る。新車データは出典・価格基準・発売前情報を「価格データ」で確認。</x:v>
      </x:c>
      <x:c r="H66" s="5" t="str">
        <x:v>対象の限界：Toyota中心の日本企業比較であり、日本車全体・中国車全体の平均ではない。HondaはASEAN5市場の補足。BEVとHEV、世代・駆動・装備差、税込/OTR/COE等の費用差が残る。新車データは出典・価格基準・発売前情報を「価格データ」で確認。</x:v>
      </x:c>
      <x:c r="I66" s="5" t="str">
        <x:v>対象の限界：Toyota中心の日本企業比較であり、日本車全体・中国車全体の平均ではない。HondaはASEAN5市場の補足。BEVとHEV、世代・駆動・装備差、税込/OTR/COE等の費用差が残る。新車データは出典・価格基準・発売前情報を「価格データ」で確認。</x:v>
      </x:c>
      <x:c r="J66" s="5" t="str">
        <x:v>対象の限界：Toyota中心の日本企業比較であり、日本車全体・中国車全体の平均ではない。HondaはASEAN5市場の補足。BEVとHEV、世代・駆動・装備差、税込/OTR/COE等の費用差が残る。新車データは出典・価格基準・発売前情報を「価格データ」で確認。</x:v>
      </x:c>
      <x:c r="K66" s="5" t="str">
        <x:v>対象の限界：Toyota中心の日本企業比較であり、日本車全体・中国車全体の平均ではない。HondaはASEAN5市場の補足。BEVとHEV、世代・駆動・装備差、税込/OTR/COE等の費用差が残る。新車データは出典・価格基準・発売前情報を「価格データ」で確認。</x:v>
      </x:c>
    </x:row>
    <x:row r="67" ht="25" customHeight="1">
      <x:c r="A67" s="5" t="str">
        <x:v>対象の限界：Toyota中心の日本企業比較であり、日本車全体・中国車全体の平均ではない。HondaはASEAN5市場の補足。BEVとHEV、世代・駆動・装備差、税込/OTR/COE等の費用差が残る。新車データは出典・価格基準・発売前情報を「価格データ」で確認。</x:v>
      </x:c>
      <x:c r="B67" s="5" t="str">
        <x:v>対象の限界：Toyota中心の日本企業比較であり、日本車全体・中国車全体の平均ではない。HondaはASEAN5市場の補足。BEVとHEV、世代・駆動・装備差、税込/OTR/COE等の費用差が残る。新車データは出典・価格基準・発売前情報を「価格データ」で確認。</x:v>
      </x:c>
      <x:c r="C67" s="5" t="str">
        <x:v>対象の限界：Toyota中心の日本企業比較であり、日本車全体・中国車全体の平均ではない。HondaはASEAN5市場の補足。BEVとHEV、世代・駆動・装備差、税込/OTR/COE等の費用差が残る。新車データは出典・価格基準・発売前情報を「価格データ」で確認。</x:v>
      </x:c>
      <x:c r="D67" s="5" t="str">
        <x:v>対象の限界：Toyota中心の日本企業比較であり、日本車全体・中国車全体の平均ではない。HondaはASEAN5市場の補足。BEVとHEV、世代・駆動・装備差、税込/OTR/COE等の費用差が残る。新車データは出典・価格基準・発売前情報を「価格データ」で確認。</x:v>
      </x:c>
      <x:c r="E67" s="5" t="str">
        <x:v>対象の限界：Toyota中心の日本企業比較であり、日本車全体・中国車全体の平均ではない。HondaはASEAN5市場の補足。BEVとHEV、世代・駆動・装備差、税込/OTR/COE等の費用差が残る。新車データは出典・価格基準・発売前情報を「価格データ」で確認。</x:v>
      </x:c>
      <x:c r="F67" s="5" t="str">
        <x:v>対象の限界：Toyota中心の日本企業比較であり、日本車全体・中国車全体の平均ではない。HondaはASEAN5市場の補足。BEVとHEV、世代・駆動・装備差、税込/OTR/COE等の費用差が残る。新車データは出典・価格基準・発売前情報を「価格データ」で確認。</x:v>
      </x:c>
      <x:c r="G67" s="5" t="str">
        <x:v>対象の限界：Toyota中心の日本企業比較であり、日本車全体・中国車全体の平均ではない。HondaはASEAN5市場の補足。BEVとHEV、世代・駆動・装備差、税込/OTR/COE等の費用差が残る。新車データは出典・価格基準・発売前情報を「価格データ」で確認。</x:v>
      </x:c>
      <x:c r="H67" s="5" t="str">
        <x:v>対象の限界：Toyota中心の日本企業比較であり、日本車全体・中国車全体の平均ではない。HondaはASEAN5市場の補足。BEVとHEV、世代・駆動・装備差、税込/OTR/COE等の費用差が残る。新車データは出典・価格基準・発売前情報を「価格データ」で確認。</x:v>
      </x:c>
      <x:c r="I67" s="5" t="str">
        <x:v>対象の限界：Toyota中心の日本企業比較であり、日本車全体・中国車全体の平均ではない。HondaはASEAN5市場の補足。BEVとHEV、世代・駆動・装備差、税込/OTR/COE等の費用差が残る。新車データは出典・価格基準・発売前情報を「価格データ」で確認。</x:v>
      </x:c>
      <x:c r="J67" s="5" t="str">
        <x:v>対象の限界：Toyota中心の日本企業比較であり、日本車全体・中国車全体の平均ではない。HondaはASEAN5市場の補足。BEVとHEV、世代・駆動・装備差、税込/OTR/COE等の費用差が残る。新車データは出典・価格基準・発売前情報を「価格データ」で確認。</x:v>
      </x:c>
      <x:c r="K67" s="5" t="str">
        <x:v>対象の限界：Toyota中心の日本企業比較であり、日本車全体・中国車全体の平均ではない。HondaはASEAN5市場の補足。BEVとHEV、世代・駆動・装備差、税込/OTR/COE等の費用差が残る。新車データは出典・価格基準・発売前情報を「価格データ」で確認。</x:v>
      </x:c>
    </x:row>
    <x:row r="68" ht="2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</x:sheetData>
  <x:mergeCells>
    <x:mergeCell ref="A3:K4"/>
    <x:mergeCell ref="J8:K11"/>
    <x:mergeCell ref="J13:K17"/>
    <x:mergeCell ref="A19:K20"/>
    <x:mergeCell ref="H24:K27"/>
    <x:mergeCell ref="H29:K33"/>
    <x:mergeCell ref="H37:K41"/>
    <x:mergeCell ref="H43:K46"/>
    <x:mergeCell ref="A49:K51"/>
    <x:mergeCell ref="A52:K54"/>
    <x:mergeCell ref="A55:K57"/>
    <x:mergeCell ref="A58:K60"/>
    <x:mergeCell ref="A61:K63"/>
    <x:mergeCell ref="A65:K67"/>
  </x:mergeCells>
  <x:conditionalFormatting sqref="B24:F33">
    <x:cfRule type="colorScale" priority="1">
      <x:colorScale>
        <x:cfvo type="min"/>
        <x:cfvo type="percentile" val="50"/>
        <x:cfvo type="max"/>
        <x:color rgb="FFEAF2F5"/>
        <x:color rgb="FFFCE4B8"/>
        <x:color rgb="FFD7884C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478A5"/>
  </x:sheetPr>
  <x:sheetViews>
    <x:sheetView showGridLines="0" workbookViewId="0"/>
  </x:sheetViews>
  <x:sheetFormatPr defaultRowHeight="15"/>
  <x:cols>
    <x:col min="1" max="1" width="18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5" customHeight="1">
      <x:c r="A2" s="3" t="str">
        <x:v>価格とGDPの関係・日本車比較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5" customHeight="1">
      <x:c r="A3" s="5" t="str">
        <x:v>散布図：横軸=GDP/人（千USD、2025年LCUを共通為替換算）、縦軸=新車価格（千USD）。Dolphinを1車種ずつ比較。税・仕様差が残る観測であり、GDPが価格を決めるという因果推定ではない。</x:v>
      </x:c>
      <x:c r="B3" s="5" t="str">
        <x:v>散布図：横軸=GDP/人（千USD、2025年LCUを共通為替換算）、縦軸=新車価格（千USD）。Dolphinを1車種ずつ比較。税・仕様差が残る観測であり、GDPが価格を決めるという因果推定ではない。</x:v>
      </x:c>
      <x:c r="C3" s="5" t="str">
        <x:v>散布図：横軸=GDP/人（千USD、2025年LCUを共通為替換算）、縦軸=新車価格（千USD）。Dolphinを1車種ずつ比較。税・仕様差が残る観測であり、GDPが価格を決めるという因果推定ではない。</x:v>
      </x:c>
      <x:c r="D3" s="5" t="str">
        <x:v>散布図：横軸=GDP/人（千USD、2025年LCUを共通為替換算）、縦軸=新車価格（千USD）。Dolphinを1車種ずつ比較。税・仕様差が残る観測であり、GDPが価格を決めるという因果推定ではない。</x:v>
      </x:c>
      <x:c r="E3" s="5" t="str">
        <x:v>散布図：横軸=GDP/人（千USD、2025年LCUを共通為替換算）、縦軸=新車価格（千USD）。Dolphinを1車種ずつ比較。税・仕様差が残る観測であり、GDPが価格を決めるという因果推定ではない。</x:v>
      </x:c>
      <x:c r="F3" s="5" t="str">
        <x:v>散布図：横軸=GDP/人（千USD、2025年LCUを共通為替換算）、縦軸=新車価格（千USD）。Dolphinを1車種ずつ比較。税・仕様差が残る観測であり、GDPが価格を決めるという因果推定ではない。</x:v>
      </x:c>
      <x:c r="G3" s="5" t="str">
        <x:v>散布図：横軸=GDP/人（千USD、2025年LCUを共通為替換算）、縦軸=新車価格（千USD）。Dolphinを1車種ずつ比較。税・仕様差が残る観測であり、GDPが価格を決めるという因果推定ではない。</x:v>
      </x:c>
      <x:c r="H3" s="5" t="str">
        <x:v>散布図：横軸=GDP/人（千USD、2025年LCUを共通為替換算）、縦軸=新車価格（千USD）。Dolphinを1車種ずつ比較。税・仕様差が残る観測であり、GDPが価格を決めるという因果推定ではない。</x:v>
      </x:c>
      <x:c r="I3" s="5" t="str">
        <x:v>散布図：横軸=GDP/人（千USD、2025年LCUを共通為替換算）、縦軸=新車価格（千USD）。Dolphinを1車種ずつ比較。税・仕様差が残る観測であり、GDPが価格を決めるという因果推定ではない。</x:v>
      </x:c>
      <x:c r="J3" s="5" t="str">
        <x:v>散布図：横軸=GDP/人（千USD、2025年LCUを共通為替換算）、縦軸=新車価格（千USD）。Dolphinを1車種ずつ比較。税・仕様差が残る観測であり、GDPが価格を決めるという因果推定ではない。</x:v>
      </x:c>
      <x:c r="K3" s="5" t="str">
        <x:v>散布図：横軸=GDP/人（千USD、2025年LCUを共通為替換算）、縦軸=新車価格（千USD）。Dolphinを1車種ずつ比較。税・仕様差が残る観測であり、GDPが価格を決めるという因果推定ではない。</x:v>
      </x:c>
      <x:c r="L3" s="5" t="str">
        <x:v>散布図：横軸=GDP/人（千USD、2025年LCUを共通為替換算）、縦軸=新車価格（千USD）。Dolphinを1車種ずつ比較。税・仕様差が残る観測であり、GDPが価格を決めるという因果推定ではない。</x:v>
      </x:c>
      <x:c r="M3" s="5" t="str">
        <x:v>散布図：横軸=GDP/人（千USD、2025年LCUを共通為替換算）、縦軸=新車価格（千USD）。Dolphinを1車種ずつ比較。税・仕様差が残る観測であり、GDPが価格を決めるという因果推定ではない。</x:v>
      </x:c>
      <x:c r="N3" s="5" t="str">
        <x:v>散布図：横軸=GDP/人（千USD、2025年LCUを共通為替換算）、縦軸=新車価格（千USD）。Dolphinを1車種ずつ比較。税・仕様差が残る観測であり、GDPが価格を決めるという因果推定ではない。</x:v>
      </x:c>
      <x:c r="O3" s="5" t="str">
        <x:v>散布図：横軸=GDP/人（千USD、2025年LCUを共通為替換算）、縦軸=新車価格（千USD）。Dolphinを1車種ずつ比較。税・仕様差が残る観測であり、GDPが価格を決めるという因果推定ではない。</x:v>
      </x:c>
      <x:c r="P3" s="5" t="str">
        <x:v>散布図：横軸=GDP/人（千USD、2025年LCUを共通為替換算）、縦軸=新車価格（千USD）。Dolphinを1車種ずつ比較。税・仕様差が残る観測であり、GDPが価格を決めるという因果推定ではない。</x:v>
      </x:c>
      <x:c r="Q3" s="5" t="str">
        <x:v>散布図：横軸=GDP/人（千USD、2025年LCUを共通為替換算）、縦軸=新車価格（千USD）。Dolphinを1車種ずつ比較。税・仕様差が残る観測であり、GDPが価格を決めるという因果推定ではない。</x:v>
      </x:c>
    </x:row>
    <x:row r="4" ht="25" customHeight="1">
      <x:c r="A4" s="5" t="str">
        <x:v>散布図：横軸=GDP/人（千USD、2025年LCUを共通為替換算）、縦軸=新車価格（千USD）。Dolphinを1車種ずつ比較。税・仕様差が残る観測であり、GDPが価格を決めるという因果推定ではない。</x:v>
      </x:c>
      <x:c r="B4" s="5" t="str">
        <x:v>散布図：横軸=GDP/人（千USD、2025年LCUを共通為替換算）、縦軸=新車価格（千USD）。Dolphinを1車種ずつ比較。税・仕様差が残る観測であり、GDPが価格を決めるという因果推定ではない。</x:v>
      </x:c>
      <x:c r="C4" s="5" t="str">
        <x:v>散布図：横軸=GDP/人（千USD、2025年LCUを共通為替換算）、縦軸=新車価格（千USD）。Dolphinを1車種ずつ比較。税・仕様差が残る観測であり、GDPが価格を決めるという因果推定ではない。</x:v>
      </x:c>
      <x:c r="D4" s="5" t="str">
        <x:v>散布図：横軸=GDP/人（千USD、2025年LCUを共通為替換算）、縦軸=新車価格（千USD）。Dolphinを1車種ずつ比較。税・仕様差が残る観測であり、GDPが価格を決めるという因果推定ではない。</x:v>
      </x:c>
      <x:c r="E4" s="5" t="str">
        <x:v>散布図：横軸=GDP/人（千USD、2025年LCUを共通為替換算）、縦軸=新車価格（千USD）。Dolphinを1車種ずつ比較。税・仕様差が残る観測であり、GDPが価格を決めるという因果推定ではない。</x:v>
      </x:c>
      <x:c r="F4" s="5" t="str">
        <x:v>散布図：横軸=GDP/人（千USD、2025年LCUを共通為替換算）、縦軸=新車価格（千USD）。Dolphinを1車種ずつ比較。税・仕様差が残る観測であり、GDPが価格を決めるという因果推定ではない。</x:v>
      </x:c>
      <x:c r="G4" s="5" t="str">
        <x:v>散布図：横軸=GDP/人（千USD、2025年LCUを共通為替換算）、縦軸=新車価格（千USD）。Dolphinを1車種ずつ比較。税・仕様差が残る観測であり、GDPが価格を決めるという因果推定ではない。</x:v>
      </x:c>
      <x:c r="H4" s="5" t="str">
        <x:v>散布図：横軸=GDP/人（千USD、2025年LCUを共通為替換算）、縦軸=新車価格（千USD）。Dolphinを1車種ずつ比較。税・仕様差が残る観測であり、GDPが価格を決めるという因果推定ではない。</x:v>
      </x:c>
      <x:c r="I4" s="5" t="str">
        <x:v>散布図：横軸=GDP/人（千USD、2025年LCUを共通為替換算）、縦軸=新車価格（千USD）。Dolphinを1車種ずつ比較。税・仕様差が残る観測であり、GDPが価格を決めるという因果推定ではない。</x:v>
      </x:c>
      <x:c r="J4" s="5" t="str">
        <x:v>散布図：横軸=GDP/人（千USD、2025年LCUを共通為替換算）、縦軸=新車価格（千USD）。Dolphinを1車種ずつ比較。税・仕様差が残る観測であり、GDPが価格を決めるという因果推定ではない。</x:v>
      </x:c>
      <x:c r="K4" s="5" t="str">
        <x:v>散布図：横軸=GDP/人（千USD、2025年LCUを共通為替換算）、縦軸=新車価格（千USD）。Dolphinを1車種ずつ比較。税・仕様差が残る観測であり、GDPが価格を決めるという因果推定ではない。</x:v>
      </x:c>
      <x:c r="L4" s="5" t="str">
        <x:v>散布図：横軸=GDP/人（千USD、2025年LCUを共通為替換算）、縦軸=新車価格（千USD）。Dolphinを1車種ずつ比較。税・仕様差が残る観測であり、GDPが価格を決めるという因果推定ではない。</x:v>
      </x:c>
      <x:c r="M4" s="5" t="str">
        <x:v>散布図：横軸=GDP/人（千USD、2025年LCUを共通為替換算）、縦軸=新車価格（千USD）。Dolphinを1車種ずつ比較。税・仕様差が残る観測であり、GDPが価格を決めるという因果推定ではない。</x:v>
      </x:c>
      <x:c r="N4" s="5" t="str">
        <x:v>散布図：横軸=GDP/人（千USD、2025年LCUを共通為替換算）、縦軸=新車価格（千USD）。Dolphinを1車種ずつ比較。税・仕様差が残る観測であり、GDPが価格を決めるという因果推定ではない。</x:v>
      </x:c>
      <x:c r="O4" s="5" t="str">
        <x:v>散布図：横軸=GDP/人（千USD、2025年LCUを共通為替換算）、縦軸=新車価格（千USD）。Dolphinを1車種ずつ比較。税・仕様差が残る観測であり、GDPが価格を決めるという因果推定ではない。</x:v>
      </x:c>
      <x:c r="P4" s="5" t="str">
        <x:v>散布図：横軸=GDP/人（千USD、2025年LCUを共通為替換算）、縦軸=新車価格（千USD）。Dolphinを1車種ずつ比較。税・仕様差が残る観測であり、GDPが価格を決めるという因果推定ではない。</x:v>
      </x:c>
      <x:c r="Q4" s="5" t="str">
        <x:v>散布図：横軸=GDP/人（千USD、2025年LCUを共通為替換算）、縦軸=新車価格（千USD）。Dolphinを1車種ずつ比較。税・仕様差が残る観測であり、GDPが価格を決めるという因果推定ではない。</x:v>
      </x:c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5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5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2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5" customHeight="1">
      <x:c r="A25" s="5" t="str">
        <x:v>10カ国：右上のSGは価格が約201千USD。高所得とCOE・登録税等の制度が同時に観測される。相関r≈0.75だけで所得連動価格とは言えない。</x:v>
      </x:c>
      <x:c r="B25" s="5" t="str">
        <x:v>10カ国：右上のSGは価格が約201千USD。高所得とCOE・登録税等の制度が同時に観測される。相関r≈0.75だけで所得連動価格とは言えない。</x:v>
      </x:c>
      <x:c r="C25" s="5" t="str">
        <x:v>10カ国：右上のSGは価格が約201千USD。高所得とCOE・登録税等の制度が同時に観測される。相関r≈0.75だけで所得連動価格とは言えない。</x:v>
      </x:c>
      <x:c r="D25" s="5" t="str">
        <x:v>10カ国：右上のSGは価格が約201千USD。高所得とCOE・登録税等の制度が同時に観測される。相関r≈0.75だけで所得連動価格とは言えない。</x:v>
      </x:c>
      <x:c r="E25" s="5" t="str">
        <x:v>10カ国：右上のSGは価格が約201千USD。高所得とCOE・登録税等の制度が同時に観測される。相関r≈0.75だけで所得連動価格とは言えない。</x:v>
      </x:c>
      <x:c r="F25" s="5" t="str">
        <x:v>10カ国：右上のSGは価格が約201千USD。高所得とCOE・登録税等の制度が同時に観測される。相関r≈0.75だけで所得連動価格とは言えない。</x:v>
      </x:c>
      <x:c r="G25" s="5" t="str">
        <x:v>10カ国：右上のSGは価格が約201千USD。高所得とCOE・登録税等の制度が同時に観測される。相関r≈0.75だけで所得連動価格とは言えない。</x:v>
      </x:c>
      <x:c r="H25" s="5" t="str">
        <x:v>10カ国：右上のSGは価格が約201千USD。高所得とCOE・登録税等の制度が同時に観測される。相関r≈0.75だけで所得連動価格とは言えない。</x:v>
      </x:c>
      <x:c r="I25" s="2"/>
      <x:c r="J25" s="5" t="str">
        <x:v>SG除外：r≈0.42、r²≈0.18。豪州は高所得でもDolphin価格は低い。同じモデル系統でも仕様と税制が異なり、GDPだけでは説明しきれない。</x:v>
      </x:c>
      <x:c r="K25" s="5" t="str">
        <x:v>SG除外：r≈0.42、r²≈0.18。豪州は高所得でもDolphin価格は低い。同じモデル系統でも仕様と税制が異なり、GDPだけでは説明しきれない。</x:v>
      </x:c>
      <x:c r="L25" s="5" t="str">
        <x:v>SG除外：r≈0.42、r²≈0.18。豪州は高所得でもDolphin価格は低い。同じモデル系統でも仕様と税制が異なり、GDPだけでは説明しきれない。</x:v>
      </x:c>
      <x:c r="M25" s="5" t="str">
        <x:v>SG除外：r≈0.42、r²≈0.18。豪州は高所得でもDolphin価格は低い。同じモデル系統でも仕様と税制が異なり、GDPだけでは説明しきれない。</x:v>
      </x:c>
      <x:c r="N25" s="5" t="str">
        <x:v>SG除外：r≈0.42、r²≈0.18。豪州は高所得でもDolphin価格は低い。同じモデル系統でも仕様と税制が異なり、GDPだけでは説明しきれない。</x:v>
      </x:c>
      <x:c r="O25" s="5" t="str">
        <x:v>SG除外：r≈0.42、r²≈0.18。豪州は高所得でもDolphin価格は低い。同じモデル系統でも仕様と税制が異なり、GDPだけでは説明しきれない。</x:v>
      </x:c>
      <x:c r="P25" s="5" t="str">
        <x:v>SG除外：r≈0.42、r²≈0.18。豪州は高所得でもDolphin価格は低い。同じモデル系統でも仕様と税制が異なり、GDPだけでは説明しきれない。</x:v>
      </x:c>
      <x:c r="Q25" s="5" t="str">
        <x:v>SG除外：r≈0.42、r²≈0.18。豪州は高所得でもDolphin価格は低い。同じモデル系統でも仕様と税制が異なり、GDPだけでは説明しきれない。</x:v>
      </x:c>
    </x:row>
    <x:row r="26" ht="25" customHeight="1">
      <x:c r="A26" s="5" t="str">
        <x:v>10カ国：右上のSGは価格が約201千USD。高所得とCOE・登録税等の制度が同時に観測される。相関r≈0.75だけで所得連動価格とは言えない。</x:v>
      </x:c>
      <x:c r="B26" s="5" t="str">
        <x:v>10カ国：右上のSGは価格が約201千USD。高所得とCOE・登録税等の制度が同時に観測される。相関r≈0.75だけで所得連動価格とは言えない。</x:v>
      </x:c>
      <x:c r="C26" s="5" t="str">
        <x:v>10カ国：右上のSGは価格が約201千USD。高所得とCOE・登録税等の制度が同時に観測される。相関r≈0.75だけで所得連動価格とは言えない。</x:v>
      </x:c>
      <x:c r="D26" s="5" t="str">
        <x:v>10カ国：右上のSGは価格が約201千USD。高所得とCOE・登録税等の制度が同時に観測される。相関r≈0.75だけで所得連動価格とは言えない。</x:v>
      </x:c>
      <x:c r="E26" s="5" t="str">
        <x:v>10カ国：右上のSGは価格が約201千USD。高所得とCOE・登録税等の制度が同時に観測される。相関r≈0.75だけで所得連動価格とは言えない。</x:v>
      </x:c>
      <x:c r="F26" s="5" t="str">
        <x:v>10カ国：右上のSGは価格が約201千USD。高所得とCOE・登録税等の制度が同時に観測される。相関r≈0.75だけで所得連動価格とは言えない。</x:v>
      </x:c>
      <x:c r="G26" s="5" t="str">
        <x:v>10カ国：右上のSGは価格が約201千USD。高所得とCOE・登録税等の制度が同時に観測される。相関r≈0.75だけで所得連動価格とは言えない。</x:v>
      </x:c>
      <x:c r="H26" s="5" t="str">
        <x:v>10カ国：右上のSGは価格が約201千USD。高所得とCOE・登録税等の制度が同時に観測される。相関r≈0.75だけで所得連動価格とは言えない。</x:v>
      </x:c>
      <x:c r="I26" s="2"/>
      <x:c r="J26" s="5" t="str">
        <x:v>SG除外：r≈0.42、r²≈0.18。豪州は高所得でもDolphin価格は低い。同じモデル系統でも仕様と税制が異なり、GDPだけでは説明しきれない。</x:v>
      </x:c>
      <x:c r="K26" s="5" t="str">
        <x:v>SG除外：r≈0.42、r²≈0.18。豪州は高所得でもDolphin価格は低い。同じモデル系統でも仕様と税制が異なり、GDPだけでは説明しきれない。</x:v>
      </x:c>
      <x:c r="L26" s="5" t="str">
        <x:v>SG除外：r≈0.42、r²≈0.18。豪州は高所得でもDolphin価格は低い。同じモデル系統でも仕様と税制が異なり、GDPだけでは説明しきれない。</x:v>
      </x:c>
      <x:c r="M26" s="5" t="str">
        <x:v>SG除外：r≈0.42、r²≈0.18。豪州は高所得でもDolphin価格は低い。同じモデル系統でも仕様と税制が異なり、GDPだけでは説明しきれない。</x:v>
      </x:c>
      <x:c r="N26" s="5" t="str">
        <x:v>SG除外：r≈0.42、r²≈0.18。豪州は高所得でもDolphin価格は低い。同じモデル系統でも仕様と税制が異なり、GDPだけでは説明しきれない。</x:v>
      </x:c>
      <x:c r="O26" s="5" t="str">
        <x:v>SG除外：r≈0.42、r²≈0.18。豪州は高所得でもDolphin価格は低い。同じモデル系統でも仕様と税制が異なり、GDPだけでは説明しきれない。</x:v>
      </x:c>
      <x:c r="P26" s="5" t="str">
        <x:v>SG除外：r≈0.42、r²≈0.18。豪州は高所得でもDolphin価格は低い。同じモデル系統でも仕様と税制が異なり、GDPだけでは説明しきれない。</x:v>
      </x:c>
      <x:c r="Q26" s="5" t="str">
        <x:v>SG除外：r≈0.42、r²≈0.18。豪州は高所得でもDolphin価格は低い。同じモデル系統でも仕様と税制が異なり、GDPだけでは説明しきれない。</x:v>
      </x:c>
    </x:row>
    <x:row r="27" ht="25" customHeight="1">
      <x:c r="A27" s="5" t="str">
        <x:v>10カ国：右上のSGは価格が約201千USD。高所得とCOE・登録税等の制度が同時に観測される。相関r≈0.75だけで所得連動価格とは言えない。</x:v>
      </x:c>
      <x:c r="B27" s="5" t="str">
        <x:v>10カ国：右上のSGは価格が約201千USD。高所得とCOE・登録税等の制度が同時に観測される。相関r≈0.75だけで所得連動価格とは言えない。</x:v>
      </x:c>
      <x:c r="C27" s="5" t="str">
        <x:v>10カ国：右上のSGは価格が約201千USD。高所得とCOE・登録税等の制度が同時に観測される。相関r≈0.75だけで所得連動価格とは言えない。</x:v>
      </x:c>
      <x:c r="D27" s="5" t="str">
        <x:v>10カ国：右上のSGは価格が約201千USD。高所得とCOE・登録税等の制度が同時に観測される。相関r≈0.75だけで所得連動価格とは言えない。</x:v>
      </x:c>
      <x:c r="E27" s="5" t="str">
        <x:v>10カ国：右上のSGは価格が約201千USD。高所得とCOE・登録税等の制度が同時に観測される。相関r≈0.75だけで所得連動価格とは言えない。</x:v>
      </x:c>
      <x:c r="F27" s="5" t="str">
        <x:v>10カ国：右上のSGは価格が約201千USD。高所得とCOE・登録税等の制度が同時に観測される。相関r≈0.75だけで所得連動価格とは言えない。</x:v>
      </x:c>
      <x:c r="G27" s="5" t="str">
        <x:v>10カ国：右上のSGは価格が約201千USD。高所得とCOE・登録税等の制度が同時に観測される。相関r≈0.75だけで所得連動価格とは言えない。</x:v>
      </x:c>
      <x:c r="H27" s="5" t="str">
        <x:v>10カ国：右上のSGは価格が約201千USD。高所得とCOE・登録税等の制度が同時に観測される。相関r≈0.75だけで所得連動価格とは言えない。</x:v>
      </x:c>
      <x:c r="I27" s="2"/>
      <x:c r="J27" s="5" t="str">
        <x:v>SG除外：r≈0.42、r²≈0.18。豪州は高所得でもDolphin価格は低い。同じモデル系統でも仕様と税制が異なり、GDPだけでは説明しきれない。</x:v>
      </x:c>
      <x:c r="K27" s="5" t="str">
        <x:v>SG除外：r≈0.42、r²≈0.18。豪州は高所得でもDolphin価格は低い。同じモデル系統でも仕様と税制が異なり、GDPだけでは説明しきれない。</x:v>
      </x:c>
      <x:c r="L27" s="5" t="str">
        <x:v>SG除外：r≈0.42、r²≈0.18。豪州は高所得でもDolphin価格は低い。同じモデル系統でも仕様と税制が異なり、GDPだけでは説明しきれない。</x:v>
      </x:c>
      <x:c r="M27" s="5" t="str">
        <x:v>SG除外：r≈0.42、r²≈0.18。豪州は高所得でもDolphin価格は低い。同じモデル系統でも仕様と税制が異なり、GDPだけでは説明しきれない。</x:v>
      </x:c>
      <x:c r="N27" s="5" t="str">
        <x:v>SG除外：r≈0.42、r²≈0.18。豪州は高所得でもDolphin価格は低い。同じモデル系統でも仕様と税制が異なり、GDPだけでは説明しきれない。</x:v>
      </x:c>
      <x:c r="O27" s="5" t="str">
        <x:v>SG除外：r≈0.42、r²≈0.18。豪州は高所得でもDolphin価格は低い。同じモデル系統でも仕様と税制が異なり、GDPだけでは説明しきれない。</x:v>
      </x:c>
      <x:c r="P27" s="5" t="str">
        <x:v>SG除外：r≈0.42、r²≈0.18。豪州は高所得でもDolphin価格は低い。同じモデル系統でも仕様と税制が異なり、GDPだけでは説明しきれない。</x:v>
      </x:c>
      <x:c r="Q27" s="5" t="str">
        <x:v>SG除外：r≈0.42、r²≈0.18。豪州は高所得でもDolphin価格は低い。同じモデル系統でも仕様と税制が異なり、GDPだけでは説明しきれない。</x:v>
      </x:c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2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2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2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2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2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2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25" customHeight="1">
      <x:c r="A50" s="5" t="str">
        <x:v>H6はCorolla Crossより大型。中国車が必ず安い結果ではない。二次資料やOTRの価格差も残る。BR Toyotaは発表済みで、調査日時点では発売前。</x:v>
      </x:c>
      <x:c r="B50" s="5" t="str">
        <x:v>H6はCorolla Crossより大型。中国車が必ず安い結果ではない。二次資料やOTRの価格差も残る。BR Toyotaは発表済みで、調査日時点では発売前。</x:v>
      </x:c>
      <x:c r="C50" s="5" t="str">
        <x:v>H6はCorolla Crossより大型。中国車が必ず安い結果ではない。二次資料やOTRの価格差も残る。BR Toyotaは発表済みで、調査日時点では発売前。</x:v>
      </x:c>
      <x:c r="D50" s="5" t="str">
        <x:v>H6はCorolla Crossより大型。中国車が必ず安い結果ではない。二次資料やOTRの価格差も残る。BR Toyotaは発表済みで、調査日時点では発売前。</x:v>
      </x:c>
      <x:c r="E50" s="5" t="str">
        <x:v>H6はCorolla Crossより大型。中国車が必ず安い結果ではない。二次資料やOTRの価格差も残る。BR Toyotaは発表済みで、調査日時点では発売前。</x:v>
      </x:c>
      <x:c r="F50" s="5" t="str">
        <x:v>H6はCorolla Crossより大型。中国車が必ず安い結果ではない。二次資料やOTRの価格差も残る。BR Toyotaは発表済みで、調査日時点では発売前。</x:v>
      </x:c>
      <x:c r="G50" s="5" t="str">
        <x:v>H6はCorolla Crossより大型。中国車が必ず安い結果ではない。二次資料やOTRの価格差も残る。BR Toyotaは発表済みで、調査日時点では発売前。</x:v>
      </x:c>
      <x:c r="H50" s="5" t="str">
        <x:v>H6はCorolla Crossより大型。中国車が必ず安い結果ではない。二次資料やOTRの価格差も残る。BR Toyotaは発表済みで、調査日時点では発売前。</x:v>
      </x:c>
      <x:c r="I50" s="2"/>
      <x:c r="J50" s="5" t="str">
        <x:v>動力が違う2モデルを、国ごとの負担の目安として併記。GDP比は家計年収比ではなく、購入までの必要年数でもない。</x:v>
      </x:c>
      <x:c r="K50" s="5" t="str">
        <x:v>動力が違う2モデルを、国ごとの負担の目安として併記。GDP比は家計年収比ではなく、購入までの必要年数でもない。</x:v>
      </x:c>
      <x:c r="L50" s="5" t="str">
        <x:v>動力が違う2モデルを、国ごとの負担の目安として併記。GDP比は家計年収比ではなく、購入までの必要年数でもない。</x:v>
      </x:c>
      <x:c r="M50" s="5" t="str">
        <x:v>動力が違う2モデルを、国ごとの負担の目安として併記。GDP比は家計年収比ではなく、購入までの必要年数でもない。</x:v>
      </x:c>
      <x:c r="N50" s="5" t="str">
        <x:v>動力が違う2モデルを、国ごとの負担の目安として併記。GDP比は家計年収比ではなく、購入までの必要年数でもない。</x:v>
      </x:c>
      <x:c r="O50" s="5" t="str">
        <x:v>動力が違う2モデルを、国ごとの負担の目安として併記。GDP比は家計年収比ではなく、購入までの必要年数でもない。</x:v>
      </x:c>
      <x:c r="P50" s="5" t="str">
        <x:v>動力が違う2モデルを、国ごとの負担の目安として併記。GDP比は家計年収比ではなく、購入までの必要年数でもない。</x:v>
      </x:c>
      <x:c r="Q50" s="5" t="str">
        <x:v>動力が違う2モデルを、国ごとの負担の目安として併記。GDP比は家計年収比ではなく、購入までの必要年数でもない。</x:v>
      </x:c>
    </x:row>
    <x:row r="51" ht="25" customHeight="1">
      <x:c r="A51" s="5" t="str">
        <x:v>H6はCorolla Crossより大型。中国車が必ず安い結果ではない。二次資料やOTRの価格差も残る。BR Toyotaは発表済みで、調査日時点では発売前。</x:v>
      </x:c>
      <x:c r="B51" s="5" t="str">
        <x:v>H6はCorolla Crossより大型。中国車が必ず安い結果ではない。二次資料やOTRの価格差も残る。BR Toyotaは発表済みで、調査日時点では発売前。</x:v>
      </x:c>
      <x:c r="C51" s="5" t="str">
        <x:v>H6はCorolla Crossより大型。中国車が必ず安い結果ではない。二次資料やOTRの価格差も残る。BR Toyotaは発表済みで、調査日時点では発売前。</x:v>
      </x:c>
      <x:c r="D51" s="5" t="str">
        <x:v>H6はCorolla Crossより大型。中国車が必ず安い結果ではない。二次資料やOTRの価格差も残る。BR Toyotaは発表済みで、調査日時点では発売前。</x:v>
      </x:c>
      <x:c r="E51" s="5" t="str">
        <x:v>H6はCorolla Crossより大型。中国車が必ず安い結果ではない。二次資料やOTRの価格差も残る。BR Toyotaは発表済みで、調査日時点では発売前。</x:v>
      </x:c>
      <x:c r="F51" s="5" t="str">
        <x:v>H6はCorolla Crossより大型。中国車が必ず安い結果ではない。二次資料やOTRの価格差も残る。BR Toyotaは発表済みで、調査日時点では発売前。</x:v>
      </x:c>
      <x:c r="G51" s="5" t="str">
        <x:v>H6はCorolla Crossより大型。中国車が必ず安い結果ではない。二次資料やOTRの価格差も残る。BR Toyotaは発表済みで、調査日時点では発売前。</x:v>
      </x:c>
      <x:c r="H51" s="5" t="str">
        <x:v>H6はCorolla Crossより大型。中国車が必ず安い結果ではない。二次資料やOTRの価格差も残る。BR Toyotaは発表済みで、調査日時点では発売前。</x:v>
      </x:c>
      <x:c r="I51" s="2"/>
      <x:c r="J51" s="5" t="str">
        <x:v>動力が違う2モデルを、国ごとの負担の目安として併記。GDP比は家計年収比ではなく、購入までの必要年数でもない。</x:v>
      </x:c>
      <x:c r="K51" s="5" t="str">
        <x:v>動力が違う2モデルを、国ごとの負担の目安として併記。GDP比は家計年収比ではなく、購入までの必要年数でもない。</x:v>
      </x:c>
      <x:c r="L51" s="5" t="str">
        <x:v>動力が違う2モデルを、国ごとの負担の目安として併記。GDP比は家計年収比ではなく、購入までの必要年数でもない。</x:v>
      </x:c>
      <x:c r="M51" s="5" t="str">
        <x:v>動力が違う2モデルを、国ごとの負担の目安として併記。GDP比は家計年収比ではなく、購入までの必要年数でもない。</x:v>
      </x:c>
      <x:c r="N51" s="5" t="str">
        <x:v>動力が違う2モデルを、国ごとの負担の目安として併記。GDP比は家計年収比ではなく、購入までの必要年数でもない。</x:v>
      </x:c>
      <x:c r="O51" s="5" t="str">
        <x:v>動力が違う2モデルを、国ごとの負担の目安として併記。GDP比は家計年収比ではなく、購入までの必要年数でもない。</x:v>
      </x:c>
      <x:c r="P51" s="5" t="str">
        <x:v>動力が違う2モデルを、国ごとの負担の目安として併記。GDP比は家計年収比ではなく、購入までの必要年数でもない。</x:v>
      </x:c>
      <x:c r="Q51" s="5" t="str">
        <x:v>動力が違う2モデルを、国ごとの負担の目安として併記。GDP比は家計年収比ではなく、購入までの必要年数でもない。</x:v>
      </x:c>
    </x:row>
    <x:row r="52" ht="25" customHeight="1">
      <x:c r="A52" s="5" t="str">
        <x:v>H6はCorolla Crossより大型。中国車が必ず安い結果ではない。二次資料やOTRの価格差も残る。BR Toyotaは発表済みで、調査日時点では発売前。</x:v>
      </x:c>
      <x:c r="B52" s="5" t="str">
        <x:v>H6はCorolla Crossより大型。中国車が必ず安い結果ではない。二次資料やOTRの価格差も残る。BR Toyotaは発表済みで、調査日時点では発売前。</x:v>
      </x:c>
      <x:c r="C52" s="5" t="str">
        <x:v>H6はCorolla Crossより大型。中国車が必ず安い結果ではない。二次資料やOTRの価格差も残る。BR Toyotaは発表済みで、調査日時点では発売前。</x:v>
      </x:c>
      <x:c r="D52" s="5" t="str">
        <x:v>H6はCorolla Crossより大型。中国車が必ず安い結果ではない。二次資料やOTRの価格差も残る。BR Toyotaは発表済みで、調査日時点では発売前。</x:v>
      </x:c>
      <x:c r="E52" s="5" t="str">
        <x:v>H6はCorolla Crossより大型。中国車が必ず安い結果ではない。二次資料やOTRの価格差も残る。BR Toyotaは発表済みで、調査日時点では発売前。</x:v>
      </x:c>
      <x:c r="F52" s="5" t="str">
        <x:v>H6はCorolla Crossより大型。中国車が必ず安い結果ではない。二次資料やOTRの価格差も残る。BR Toyotaは発表済みで、調査日時点では発売前。</x:v>
      </x:c>
      <x:c r="G52" s="5" t="str">
        <x:v>H6はCorolla Crossより大型。中国車が必ず安い結果ではない。二次資料やOTRの価格差も残る。BR Toyotaは発表済みで、調査日時点では発売前。</x:v>
      </x:c>
      <x:c r="H52" s="5" t="str">
        <x:v>H6はCorolla Crossより大型。中国車が必ず安い結果ではない。二次資料やOTRの価格差も残る。BR Toyotaは発表済みで、調査日時点では発売前。</x:v>
      </x:c>
      <x:c r="I52" s="2"/>
      <x:c r="J52" s="5" t="str">
        <x:v>動力が違う2モデルを、国ごとの負担の目安として併記。GDP比は家計年収比ではなく、購入までの必要年数でもない。</x:v>
      </x:c>
      <x:c r="K52" s="5" t="str">
        <x:v>動力が違う2モデルを、国ごとの負担の目安として併記。GDP比は家計年収比ではなく、購入までの必要年数でもない。</x:v>
      </x:c>
      <x:c r="L52" s="5" t="str">
        <x:v>動力が違う2モデルを、国ごとの負担の目安として併記。GDP比は家計年収比ではなく、購入までの必要年数でもない。</x:v>
      </x:c>
      <x:c r="M52" s="5" t="str">
        <x:v>動力が違う2モデルを、国ごとの負担の目安として併記。GDP比は家計年収比ではなく、購入までの必要年数でもない。</x:v>
      </x:c>
      <x:c r="N52" s="5" t="str">
        <x:v>動力が違う2モデルを、国ごとの負担の目安として併記。GDP比は家計年収比ではなく、購入までの必要年数でもない。</x:v>
      </x:c>
      <x:c r="O52" s="5" t="str">
        <x:v>動力が違う2モデルを、国ごとの負担の目安として併記。GDP比は家計年収比ではなく、購入までの必要年数でもない。</x:v>
      </x:c>
      <x:c r="P52" s="5" t="str">
        <x:v>動力が違う2モデルを、国ごとの負担の目安として併記。GDP比は家計年収比ではなく、購入までの必要年数でもない。</x:v>
      </x:c>
      <x:c r="Q52" s="5" t="str">
        <x:v>動力が違う2モデルを、国ごとの負担の目安として併記。GDP比は家計年収比ではなく、購入までの必要年数でもない。</x:v>
      </x:c>
    </x:row>
    <x:row r="53" ht="2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 ht="2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 ht="25" customHeight="1">
      <x:c r="A55" s="21" t="str">
        <x:v>散布図の国別座標（千USD）</x:v>
      </x:c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</x:row>
    <x:row r="56" ht="44" customHeight="1">
      <x:c r="A56" s="9" t="str">
        <x:v>国</x:v>
      </x:c>
      <x:c r="B56" s="9" t="str">
        <x:v>GDP/人</x:v>
      </x:c>
      <x:c r="C56" s="9" t="str">
        <x:v>Dolphin価格</x:v>
      </x:c>
      <x:c r="D56" s="9" t="str">
        <x:v>SG除外の対象</x:v>
      </x:c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 ht="25" customHeight="1">
      <x:c r="A57" s="2" t="str">
        <x:v>ベトナム</x:v>
      </x:c>
      <x:c r="B57" s="33" t="n">
        <x:f>'GDPと為替'!F6/1000</x:f>
        <x:v>4.930953633724859</x:v>
      </x:c>
      <x:c r="C57" s="33" t="n">
        <x:f>'価格データ'!K6/1000</x:f>
        <x:v>22.18756092805615</x:v>
      </x:c>
      <x:c r="D57" s="2" t="str">
        <x:v>含む</x:v>
      </x:c>
      <x:c r="E57" s="2"/>
      <x:c r="F57" s="5" t="str">
        <x:v>散布図は1点=1カ国。国の位置は左の座標表で確認。WB公表USDでの感度分析、Atto 3・Toyotaの相関、ASEAN5だけの相関は「比較と考察」へ。</x:v>
      </x:c>
      <x:c r="G57" s="5" t="str">
        <x:v>散布図は1点=1カ国。国の位置は左の座標表で確認。WB公表USDでの感度分析、Atto 3・Toyotaの相関、ASEAN5だけの相関は「比較と考察」へ。</x:v>
      </x:c>
      <x:c r="H57" s="5" t="str">
        <x:v>散布図は1点=1カ国。国の位置は左の座標表で確認。WB公表USDでの感度分析、Atto 3・Toyotaの相関、ASEAN5だけの相関は「比較と考察」へ。</x:v>
      </x:c>
      <x:c r="I57" s="5" t="str">
        <x:v>散布図は1点=1カ国。国の位置は左の座標表で確認。WB公表USDでの感度分析、Atto 3・Toyotaの相関、ASEAN5だけの相関は「比較と考察」へ。</x:v>
      </x:c>
      <x:c r="J57" s="5" t="str">
        <x:v>散布図は1点=1カ国。国の位置は左の座標表で確認。WB公表USDでの感度分析、Atto 3・Toyotaの相関、ASEAN5だけの相関は「比較と考察」へ。</x:v>
      </x:c>
      <x:c r="K57" s="5" t="str">
        <x:v>散布図は1点=1カ国。国の位置は左の座標表で確認。WB公表USDでの感度分析、Atto 3・Toyotaの相関、ASEAN5だけの相関は「比較と考察」へ。</x:v>
      </x:c>
      <x:c r="L57" s="5" t="str">
        <x:v>散布図は1点=1カ国。国の位置は左の座標表で確認。WB公表USDでの感度分析、Atto 3・Toyotaの相関、ASEAN5だけの相関は「比較と考察」へ。</x:v>
      </x:c>
      <x:c r="M57" s="5" t="str">
        <x:v>散布図は1点=1カ国。国の位置は左の座標表で確認。WB公表USDでの感度分析、Atto 3・Toyotaの相関、ASEAN5だけの相関は「比較と考察」へ。</x:v>
      </x:c>
      <x:c r="N57" s="5" t="str">
        <x:v>散布図は1点=1カ国。国の位置は左の座標表で確認。WB公表USDでの感度分析、Atto 3・Toyotaの相関、ASEAN5だけの相関は「比較と考察」へ。</x:v>
      </x:c>
      <x:c r="O57" s="5" t="str">
        <x:v>散布図は1点=1カ国。国の位置は左の座標表で確認。WB公表USDでの感度分析、Atto 3・Toyotaの相関、ASEAN5だけの相関は「比較と考察」へ。</x:v>
      </x:c>
      <x:c r="P57" s="5" t="str">
        <x:v>散布図は1点=1カ国。国の位置は左の座標表で確認。WB公表USDでの感度分析、Atto 3・Toyotaの相関、ASEAN5だけの相関は「比較と考察」へ。</x:v>
      </x:c>
      <x:c r="Q57" s="5" t="str">
        <x:v>散布図は1点=1カ国。国の位置は左の座標表で確認。WB公表USDでの感度分析、Atto 3・Toyotaの相関、ASEAN5だけの相関は「比較と考察」へ。</x:v>
      </x:c>
    </x:row>
    <x:row r="58" ht="25" customHeight="1">
      <x:c r="A58" s="2" t="str">
        <x:v>タイ</x:v>
      </x:c>
      <x:c r="B58" s="33" t="n">
        <x:f>'GDPと為替'!F7/1000</x:f>
        <x:v>7.890398030013613</x:v>
      </x:c>
      <x:c r="C58" s="33" t="n">
        <x:f>'価格データ'!K11/1000</x:f>
        <x:v>17.86730389047468</x:v>
      </x:c>
      <x:c r="D58" s="2" t="str">
        <x:v>含む</x:v>
      </x:c>
      <x:c r="E58" s="2"/>
      <x:c r="F58" s="5" t="str">
        <x:v>散布図は1点=1カ国。国の位置は左の座標表で確認。WB公表USDでの感度分析、Atto 3・Toyotaの相関、ASEAN5だけの相関は「比較と考察」へ。</x:v>
      </x:c>
      <x:c r="G58" s="5" t="str">
        <x:v>散布図は1点=1カ国。国の位置は左の座標表で確認。WB公表USDでの感度分析、Atto 3・Toyotaの相関、ASEAN5だけの相関は「比較と考察」へ。</x:v>
      </x:c>
      <x:c r="H58" s="5" t="str">
        <x:v>散布図は1点=1カ国。国の位置は左の座標表で確認。WB公表USDでの感度分析、Atto 3・Toyotaの相関、ASEAN5だけの相関は「比較と考察」へ。</x:v>
      </x:c>
      <x:c r="I58" s="5" t="str">
        <x:v>散布図は1点=1カ国。国の位置は左の座標表で確認。WB公表USDでの感度分析、Atto 3・Toyotaの相関、ASEAN5だけの相関は「比較と考察」へ。</x:v>
      </x:c>
      <x:c r="J58" s="5" t="str">
        <x:v>散布図は1点=1カ国。国の位置は左の座標表で確認。WB公表USDでの感度分析、Atto 3・Toyotaの相関、ASEAN5だけの相関は「比較と考察」へ。</x:v>
      </x:c>
      <x:c r="K58" s="5" t="str">
        <x:v>散布図は1点=1カ国。国の位置は左の座標表で確認。WB公表USDでの感度分析、Atto 3・Toyotaの相関、ASEAN5だけの相関は「比較と考察」へ。</x:v>
      </x:c>
      <x:c r="L58" s="5" t="str">
        <x:v>散布図は1点=1カ国。国の位置は左の座標表で確認。WB公表USDでの感度分析、Atto 3・Toyotaの相関、ASEAN5だけの相関は「比較と考察」へ。</x:v>
      </x:c>
      <x:c r="M58" s="5" t="str">
        <x:v>散布図は1点=1カ国。国の位置は左の座標表で確認。WB公表USDでの感度分析、Atto 3・Toyotaの相関、ASEAN5だけの相関は「比較と考察」へ。</x:v>
      </x:c>
      <x:c r="N58" s="5" t="str">
        <x:v>散布図は1点=1カ国。国の位置は左の座標表で確認。WB公表USDでの感度分析、Atto 3・Toyotaの相関、ASEAN5だけの相関は「比較と考察」へ。</x:v>
      </x:c>
      <x:c r="O58" s="5" t="str">
        <x:v>散布図は1点=1カ国。国の位置は左の座標表で確認。WB公表USDでの感度分析、Atto 3・Toyotaの相関、ASEAN5だけの相関は「比較と考察」へ。</x:v>
      </x:c>
      <x:c r="P58" s="5" t="str">
        <x:v>散布図は1点=1カ国。国の位置は左の座標表で確認。WB公表USDでの感度分析、Atto 3・Toyotaの相関、ASEAN5だけの相関は「比較と考察」へ。</x:v>
      </x:c>
      <x:c r="Q58" s="5" t="str">
        <x:v>散布図は1点=1カ国。国の位置は左の座標表で確認。WB公表USDでの感度分析、Atto 3・Toyotaの相関、ASEAN5だけの相関は「比較と考察」へ。</x:v>
      </x:c>
    </x:row>
    <x:row r="59" ht="25" customHeight="1">
      <x:c r="A59" s="2" t="str">
        <x:v>インドネシア</x:v>
      </x:c>
      <x:c r="B59" s="33" t="n">
        <x:f>'GDPと為替'!F8/1000</x:f>
        <x:v>4.67309897608492</x:v>
      </x:c>
      <x:c r="C59" s="33" t="n">
        <x:f>'価格データ'!K16/1000</x:f>
        <x:v>20.682926465321714</x:v>
      </x:c>
      <x:c r="D59" s="2" t="str">
        <x:v>含む</x:v>
      </x:c>
      <x:c r="E59" s="2"/>
      <x:c r="F59" s="5" t="str">
        <x:v>散布図は1点=1カ国。国の位置は左の座標表で確認。WB公表USDでの感度分析、Atto 3・Toyotaの相関、ASEAN5だけの相関は「比較と考察」へ。</x:v>
      </x:c>
      <x:c r="G59" s="5" t="str">
        <x:v>散布図は1点=1カ国。国の位置は左の座標表で確認。WB公表USDでの感度分析、Atto 3・Toyotaの相関、ASEAN5だけの相関は「比較と考察」へ。</x:v>
      </x:c>
      <x:c r="H59" s="5" t="str">
        <x:v>散布図は1点=1カ国。国の位置は左の座標表で確認。WB公表USDでの感度分析、Atto 3・Toyotaの相関、ASEAN5だけの相関は「比較と考察」へ。</x:v>
      </x:c>
      <x:c r="I59" s="5" t="str">
        <x:v>散布図は1点=1カ国。国の位置は左の座標表で確認。WB公表USDでの感度分析、Atto 3・Toyotaの相関、ASEAN5だけの相関は「比較と考察」へ。</x:v>
      </x:c>
      <x:c r="J59" s="5" t="str">
        <x:v>散布図は1点=1カ国。国の位置は左の座標表で確認。WB公表USDでの感度分析、Atto 3・Toyotaの相関、ASEAN5だけの相関は「比較と考察」へ。</x:v>
      </x:c>
      <x:c r="K59" s="5" t="str">
        <x:v>散布図は1点=1カ国。国の位置は左の座標表で確認。WB公表USDでの感度分析、Atto 3・Toyotaの相関、ASEAN5だけの相関は「比較と考察」へ。</x:v>
      </x:c>
      <x:c r="L59" s="5" t="str">
        <x:v>散布図は1点=1カ国。国の位置は左の座標表で確認。WB公表USDでの感度分析、Atto 3・Toyotaの相関、ASEAN5だけの相関は「比較と考察」へ。</x:v>
      </x:c>
      <x:c r="M59" s="5" t="str">
        <x:v>散布図は1点=1カ国。国の位置は左の座標表で確認。WB公表USDでの感度分析、Atto 3・Toyotaの相関、ASEAN5だけの相関は「比較と考察」へ。</x:v>
      </x:c>
      <x:c r="N59" s="5" t="str">
        <x:v>散布図は1点=1カ国。国の位置は左の座標表で確認。WB公表USDでの感度分析、Atto 3・Toyotaの相関、ASEAN5だけの相関は「比較と考察」へ。</x:v>
      </x:c>
      <x:c r="O59" s="5" t="str">
        <x:v>散布図は1点=1カ国。国の位置は左の座標表で確認。WB公表USDでの感度分析、Atto 3・Toyotaの相関、ASEAN5だけの相関は「比較と考察」へ。</x:v>
      </x:c>
      <x:c r="P59" s="5" t="str">
        <x:v>散布図は1点=1カ国。国の位置は左の座標表で確認。WB公表USDでの感度分析、Atto 3・Toyotaの相関、ASEAN5だけの相関は「比較と考察」へ。</x:v>
      </x:c>
      <x:c r="Q59" s="5" t="str">
        <x:v>散布図は1点=1カ国。国の位置は左の座標表で確認。WB公表USDでの感度分析、Atto 3・Toyotaの相関、ASEAN5だけの相関は「比較と考察」へ。</x:v>
      </x:c>
    </x:row>
    <x:row r="60" ht="25" customHeight="1">
      <x:c r="A60" s="2" t="str">
        <x:v>フィリピン</x:v>
      </x:c>
      <x:c r="B60" s="33" t="n">
        <x:f>'GDPと為替'!F9/1000</x:f>
        <x:v>3.8227105601098206</x:v>
      </x:c>
      <x:c r="C60" s="33" t="n">
        <x:f>'価格データ'!K21/1000</x:f>
        <x:v>22.919891940822044</x:v>
      </x:c>
      <x:c r="D60" s="2" t="str">
        <x:v>含む</x:v>
      </x:c>
      <x:c r="E60" s="2"/>
      <x:c r="F60" s="5" t="str">
        <x:v>散布図は1点=1カ国。国の位置は左の座標表で確認。WB公表USDでの感度分析、Atto 3・Toyotaの相関、ASEAN5だけの相関は「比較と考察」へ。</x:v>
      </x:c>
      <x:c r="G60" s="5" t="str">
        <x:v>散布図は1点=1カ国。国の位置は左の座標表で確認。WB公表USDでの感度分析、Atto 3・Toyotaの相関、ASEAN5だけの相関は「比較と考察」へ。</x:v>
      </x:c>
      <x:c r="H60" s="5" t="str">
        <x:v>散布図は1点=1カ国。国の位置は左の座標表で確認。WB公表USDでの感度分析、Atto 3・Toyotaの相関、ASEAN5だけの相関は「比較と考察」へ。</x:v>
      </x:c>
      <x:c r="I60" s="5" t="str">
        <x:v>散布図は1点=1カ国。国の位置は左の座標表で確認。WB公表USDでの感度分析、Atto 3・Toyotaの相関、ASEAN5だけの相関は「比較と考察」へ。</x:v>
      </x:c>
      <x:c r="J60" s="5" t="str">
        <x:v>散布図は1点=1カ国。国の位置は左の座標表で確認。WB公表USDでの感度分析、Atto 3・Toyotaの相関、ASEAN5だけの相関は「比較と考察」へ。</x:v>
      </x:c>
      <x:c r="K60" s="5" t="str">
        <x:v>散布図は1点=1カ国。国の位置は左の座標表で確認。WB公表USDでの感度分析、Atto 3・Toyotaの相関、ASEAN5だけの相関は「比較と考察」へ。</x:v>
      </x:c>
      <x:c r="L60" s="5" t="str">
        <x:v>散布図は1点=1カ国。国の位置は左の座標表で確認。WB公表USDでの感度分析、Atto 3・Toyotaの相関、ASEAN5だけの相関は「比較と考察」へ。</x:v>
      </x:c>
      <x:c r="M60" s="5" t="str">
        <x:v>散布図は1点=1カ国。国の位置は左の座標表で確認。WB公表USDでの感度分析、Atto 3・Toyotaの相関、ASEAN5だけの相関は「比較と考察」へ。</x:v>
      </x:c>
      <x:c r="N60" s="5" t="str">
        <x:v>散布図は1点=1カ国。国の位置は左の座標表で確認。WB公表USDでの感度分析、Atto 3・Toyotaの相関、ASEAN5だけの相関は「比較と考察」へ。</x:v>
      </x:c>
      <x:c r="O60" s="5" t="str">
        <x:v>散布図は1点=1カ国。国の位置は左の座標表で確認。WB公表USDでの感度分析、Atto 3・Toyotaの相関、ASEAN5だけの相関は「比較と考察」へ。</x:v>
      </x:c>
      <x:c r="P60" s="5" t="str">
        <x:v>散布図は1点=1カ国。国の位置は左の座標表で確認。WB公表USDでの感度分析、Atto 3・Toyotaの相関、ASEAN5だけの相関は「比較と考察」へ。</x:v>
      </x:c>
      <x:c r="Q60" s="5" t="str">
        <x:v>散布図は1点=1カ国。国の位置は左の座標表で確認。WB公表USDでの感度分析、Atto 3・Toyotaの相関、ASEAN5だけの相関は「比較と考察」へ。</x:v>
      </x:c>
    </x:row>
    <x:row r="61" ht="25" customHeight="1">
      <x:c r="A61" s="2" t="str">
        <x:v>マレーシア</x:v>
      </x:c>
      <x:c r="B61" s="33" t="n">
        <x:f>'GDPと為替'!F10/1000</x:f>
        <x:v>13.765237531731245</x:v>
      </x:c>
      <x:c r="C61" s="33" t="n">
        <x:f>'価格データ'!K26/1000</x:f>
        <x:v>24.47973237172525</x:v>
      </x:c>
      <x:c r="D61" s="2" t="str">
        <x:v>含む</x:v>
      </x:c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 ht="25" customHeight="1">
      <x:c r="A62" s="2" t="str">
        <x:v>シンガポール</x:v>
      </x:c>
      <x:c r="B62" s="33" t="n">
        <x:f>'GDPと為替'!F11/1000</x:f>
        <x:v>101.15974007767838</x:v>
      </x:c>
      <x:c r="C62" s="33" t="n">
        <x:f>'価格データ'!K31/1000</x:f>
        <x:v>201.1444463590884</x:v>
      </x:c>
      <x:c r="D62" s="2" t="str">
        <x:v>除外</x:v>
      </x:c>
      <x:c r="E62" s="2"/>
      <x:c r="F62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G62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H62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I62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J62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K62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L62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M62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N62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O62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P62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Q62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</x:row>
    <x:row r="63" ht="25" customHeight="1">
      <x:c r="A63" s="2" t="str">
        <x:v>中国</x:v>
      </x:c>
      <x:c r="B63" s="33" t="n">
        <x:f>'GDPと為替'!F12/1000</x:f>
        <x:v>14.8652606091394</x:v>
      </x:c>
      <x:c r="C63" s="33" t="n">
        <x:f>'価格データ'!K36/1000</x:f>
        <x:v>14.885329697964371</x:v>
      </x:c>
      <x:c r="D63" s="2" t="str">
        <x:v>含む</x:v>
      </x:c>
      <x:c r="E63" s="2"/>
      <x:c r="F63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G63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H63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I63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J63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K63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L63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M63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N63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O63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P63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Q63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</x:row>
    <x:row r="64" ht="25" customHeight="1">
      <x:c r="A64" s="2" t="str">
        <x:v>ドイツ</x:v>
      </x:c>
      <x:c r="B64" s="33" t="n">
        <x:f>'GDPと為替'!F13/1000</x:f>
        <x:v>60.3313717225622</x:v>
      </x:c>
      <x:c r="C64" s="33" t="n">
        <x:f>'価格データ'!K40/1000</x:f>
        <x:v>38.303331</x:v>
      </x:c>
      <x:c r="D64" s="2" t="str">
        <x:v>含む</x:v>
      </x:c>
      <x:c r="E64" s="2"/>
      <x:c r="F64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G64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H64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I64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J64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K64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L64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M64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N64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O64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P64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Q64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</x:row>
    <x:row r="65" ht="25" customHeight="1">
      <x:c r="A65" s="2" t="str">
        <x:v>ブラジル</x:v>
      </x:c>
      <x:c r="B65" s="33" t="n">
        <x:f>'GDPと為替'!F14/1000</x:f>
        <x:v>12.047328246940044</x:v>
      </x:c>
      <x:c r="C65" s="33" t="n">
        <x:f>'価格データ'!K44/1000</x:f>
        <x:v>30.187660695468917</x:v>
      </x:c>
      <x:c r="D65" s="2" t="str">
        <x:v>含む</x:v>
      </x:c>
      <x:c r="E65" s="2"/>
      <x:c r="F65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G65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H65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I65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J65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K65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L65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M65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N65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O65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P65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Q65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</x:row>
    <x:row r="66" ht="25" customHeight="1">
      <x:c r="A66" s="2" t="str">
        <x:v>豪州</x:v>
      </x:c>
      <x:c r="B66" s="33" t="n">
        <x:f>'GDPと為替'!F15/1000</x:f>
        <x:v>70.2616774435577</x:v>
      </x:c>
      <x:c r="C66" s="33" t="n">
        <x:f>'価格データ'!K48/1000</x:f>
        <x:v>20.939114622057</x:v>
      </x:c>
      <x:c r="D66" s="2" t="str">
        <x:v>含む</x:v>
      </x:c>
      <x:c r="E66" s="2"/>
      <x:c r="F66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G66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H66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I66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J66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K66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L66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M66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N66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O66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P66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  <x:c r="Q66" s="5" t="str">
        <x:v>価格をGDPで割った負担指標とGDPとの相関は、分母共有による見かけの関係を生むので計算しない。サンプル数が少なく、10市場の選定自体にも偏りがある。価格水準の相関と購入負担を分けて読む。</x:v>
      </x:c>
    </x:row>
    <x:row r="67" ht="2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 ht="2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 ht="2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 ht="2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 ht="2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 ht="2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 ht="2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 ht="2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 ht="2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 ht="2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 ht="2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 ht="2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 ht="25" customHeight="1">
      <x:c r="A79" s="21" t="str">
        <x:v>計算・グラフ元データ（出典セルへの数式リンク）</x:v>
      </x:c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</x:row>
    <x:row r="80" ht="2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 ht="25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 ht="25" customHeight="1">
      <x:c r="A82" s="36" t="str">
        <x:v>市場</x:v>
      </x:c>
      <x:c r="B82" s="34" t="str">
        <x:v>Dolphin GDP*</x:v>
      </x:c>
      <x:c r="C82" s="34" t="str">
        <x:v>Dolphin 価格USD</x:v>
      </x:c>
      <x:c r="D82" s="34" t="str">
        <x:v>WB公表 GDP USD</x:v>
      </x:c>
      <x:c r="E82" s="34" t="str">
        <x:v>GDP比</x:v>
      </x:c>
      <x:c r="F82" s="2"/>
      <x:c r="G82" s="24" t="str">
        <x:v>GDP/人 千USD</x:v>
      </x:c>
      <x:c r="H82" s="24" t="str">
        <x:v>Dolphin 千USD</x:v>
      </x:c>
      <x:c r="I82" s="24"/>
      <x:c r="J82" s="2"/>
      <x:c r="K82" s="2"/>
      <x:c r="L82" s="2"/>
      <x:c r="M82" s="2"/>
      <x:c r="N82" s="2"/>
      <x:c r="O82" s="2"/>
      <x:c r="P82" s="2"/>
      <x:c r="Q82" s="2"/>
    </x:row>
    <x:row r="83" ht="25" customHeight="1">
      <x:c r="A83" s="36" t="str">
        <x:v>ベトナム</x:v>
      </x:c>
      <x:c r="B83" s="34" t="n">
        <x:f>'GDPと為替'!F6</x:f>
        <x:v>4930.953633724859</x:v>
      </x:c>
      <x:c r="C83" s="34" t="n">
        <x:f>'価格データ'!K6</x:f>
        <x:v>22187.56092805615</x:v>
      </x:c>
      <x:c r="D83" s="34" t="n">
        <x:f>'GDPと為替'!E6</x:f>
        <x:v>5065.99091899299</x:v>
      </x:c>
      <x:c r="E83" s="34" t="n">
        <x:f>'価格データ'!L6</x:f>
        <x:v>4.4996490691589806</x:v>
      </x:c>
      <x:c r="F83" s="2"/>
      <x:c r="G83" s="24" t="n">
        <x:f>'GDPと為替'!F6/1000</x:f>
        <x:v>4.930953633724859</x:v>
      </x:c>
      <x:c r="H83" s="24" t="n">
        <x:f>'価格データ'!K6/1000</x:f>
        <x:v>22.18756092805615</x:v>
      </x:c>
      <x:c r="I83" s="24"/>
      <x:c r="J83" s="2"/>
      <x:c r="K83" s="2"/>
      <x:c r="L83" s="2"/>
      <x:c r="M83" s="2"/>
      <x:c r="N83" s="2"/>
      <x:c r="O83" s="2"/>
      <x:c r="P83" s="2"/>
      <x:c r="Q83" s="2"/>
    </x:row>
    <x:row r="84" ht="25" customHeight="1">
      <x:c r="A84" s="36" t="str">
        <x:v>タイ</x:v>
      </x:c>
      <x:c r="B84" s="34" t="n">
        <x:f>'GDPと為替'!F7</x:f>
        <x:v>7890.398030013614</x:v>
      </x:c>
      <x:c r="C84" s="34" t="n">
        <x:f>'価格データ'!K11</x:f>
        <x:v>17867.30389047468</x:v>
      </x:c>
      <x:c r="D84" s="34" t="n">
        <x:f>'GDPと為替'!E7</x:f>
        <x:v>8056.56359761558</x:v>
      </x:c>
      <x:c r="E84" s="34" t="n">
        <x:f>'価格データ'!L11</x:f>
        <x:v>2.2644363215278576</x:v>
      </x:c>
      <x:c r="F84" s="2"/>
      <x:c r="G84" s="24" t="n">
        <x:f>'GDPと為替'!F7/1000</x:f>
        <x:v>7.890398030013613</x:v>
      </x:c>
      <x:c r="H84" s="24" t="n">
        <x:f>'価格データ'!K11/1000</x:f>
        <x:v>17.86730389047468</x:v>
      </x:c>
      <x:c r="I84" s="24"/>
      <x:c r="J84" s="2"/>
      <x:c r="K84" s="2"/>
      <x:c r="L84" s="2"/>
      <x:c r="M84" s="2"/>
      <x:c r="N84" s="2"/>
      <x:c r="O84" s="2"/>
      <x:c r="P84" s="2"/>
      <x:c r="Q84" s="2"/>
    </x:row>
    <x:row r="85" ht="25" customHeight="1">
      <x:c r="A85" s="36" t="str">
        <x:v>インドネシア</x:v>
      </x:c>
      <x:c r="B85" s="34" t="n">
        <x:f>'GDPと為替'!F8</x:f>
        <x:v>4673.09897608492</x:v>
      </x:c>
      <x:c r="C85" s="34" t="n">
        <x:f>'価格データ'!K16</x:f>
        <x:v>20682.926465321714</x:v>
      </x:c>
      <x:c r="D85" s="34" t="n">
        <x:f>'GDPと為替'!E8</x:f>
        <x:v>5059.62596411213</x:v>
      </x:c>
      <x:c r="E85" s="34" t="n">
        <x:f>'価格データ'!L16</x:f>
        <x:v>4.425955146931146</x:v>
      </x:c>
      <x:c r="F85" s="2"/>
      <x:c r="G85" s="24" t="n">
        <x:f>'GDPと為替'!F8/1000</x:f>
        <x:v>4.67309897608492</x:v>
      </x:c>
      <x:c r="H85" s="24" t="n">
        <x:f>'価格データ'!K16/1000</x:f>
        <x:v>20.682926465321714</x:v>
      </x:c>
      <x:c r="I85" s="24"/>
      <x:c r="J85" s="2"/>
      <x:c r="K85" s="2"/>
      <x:c r="L85" s="2"/>
      <x:c r="M85" s="2"/>
      <x:c r="N85" s="2"/>
      <x:c r="O85" s="2"/>
      <x:c r="P85" s="2"/>
      <x:c r="Q85" s="2"/>
    </x:row>
    <x:row r="86" ht="25" customHeight="1">
      <x:c r="A86" s="36" t="str">
        <x:v>フィリピン</x:v>
      </x:c>
      <x:c r="B86" s="34" t="n">
        <x:f>'GDPと為替'!F9</x:f>
        <x:v>3822.7105601098206</x:v>
      </x:c>
      <x:c r="C86" s="34" t="n">
        <x:f>'価格データ'!K21</x:f>
        <x:v>22919.891940822043</x:v>
      </x:c>
      <x:c r="D86" s="34" t="n">
        <x:f>'GDPと為替'!E9</x:f>
        <x:v>4170.72347271451</x:v>
      </x:c>
      <x:c r="E86" s="34" t="n">
        <x:f>'価格データ'!L21</x:f>
        <x:v>5.995717326860235</x:v>
      </x:c>
      <x:c r="F86" s="2"/>
      <x:c r="G86" s="24" t="n">
        <x:f>'GDPと為替'!F9/1000</x:f>
        <x:v>3.8227105601098206</x:v>
      </x:c>
      <x:c r="H86" s="24" t="n">
        <x:f>'価格データ'!K21/1000</x:f>
        <x:v>22.919891940822044</x:v>
      </x:c>
      <x:c r="I86" s="24"/>
      <x:c r="J86" s="2"/>
      <x:c r="K86" s="2"/>
      <x:c r="L86" s="2"/>
      <x:c r="M86" s="2"/>
      <x:c r="N86" s="2"/>
      <x:c r="O86" s="2"/>
      <x:c r="P86" s="2"/>
      <x:c r="Q86" s="2"/>
    </x:row>
    <x:row r="87" ht="25" customHeight="1">
      <x:c r="A87" s="36" t="str">
        <x:v>マレーシア</x:v>
      </x:c>
      <x:c r="B87" s="34" t="n">
        <x:f>'GDPと為替'!F10</x:f>
        <x:v>13765.237531731245</x:v>
      </x:c>
      <x:c r="C87" s="34" t="n">
        <x:f>'価格データ'!K26</x:f>
        <x:v>24479.73237172525</x:v>
      </x:c>
      <x:c r="D87" s="34" t="n">
        <x:f>'GDPと為替'!E10</x:f>
        <x:v>13124.5554178269</x:v>
      </x:c>
      <x:c r="E87" s="34" t="n">
        <x:f>'価格データ'!L26</x:f>
        <x:v>1.7783734073091906</x:v>
      </x:c>
      <x:c r="F87" s="2"/>
      <x:c r="G87" s="24" t="n">
        <x:f>'GDPと為替'!F10/1000</x:f>
        <x:v>13.765237531731245</x:v>
      </x:c>
      <x:c r="H87" s="24" t="n">
        <x:f>'価格データ'!K26/1000</x:f>
        <x:v>24.47973237172525</x:v>
      </x:c>
      <x:c r="I87" s="24"/>
      <x:c r="J87" s="2"/>
      <x:c r="K87" s="2"/>
      <x:c r="L87" s="2"/>
      <x:c r="M87" s="2"/>
      <x:c r="N87" s="2"/>
      <x:c r="O87" s="2"/>
      <x:c r="P87" s="2"/>
      <x:c r="Q87" s="2"/>
    </x:row>
    <x:row r="88" ht="25" customHeight="1">
      <x:c r="A88" s="36" t="str">
        <x:v>シンガポール</x:v>
      </x:c>
      <x:c r="B88" s="34" t="n">
        <x:f>'GDPと為替'!F11</x:f>
        <x:v>101159.74007767838</x:v>
      </x:c>
      <x:c r="C88" s="34" t="n">
        <x:f>'価格データ'!K31</x:f>
        <x:v>201144.44635908838</x:v>
      </x:c>
      <x:c r="D88" s="34" t="n">
        <x:f>'GDPと為替'!E11</x:f>
        <x:v>98813.9788172877</x:v>
      </x:c>
      <x:c r="E88" s="34" t="n">
        <x:f>'価格データ'!L31</x:f>
        <x:v>1.9883843731175455</x:v>
      </x:c>
      <x:c r="F88" s="2"/>
      <x:c r="G88" s="24" t="n">
        <x:f>'GDPと為替'!F11/1000</x:f>
        <x:v>101.15974007767838</x:v>
      </x:c>
      <x:c r="H88" s="24" t="n">
        <x:f>'価格データ'!K31/1000</x:f>
        <x:v>201.1444463590884</x:v>
      </x:c>
      <x:c r="I88" s="24"/>
      <x:c r="J88" s="2"/>
      <x:c r="K88" s="2"/>
      <x:c r="L88" s="2"/>
      <x:c r="M88" s="2"/>
      <x:c r="N88" s="2"/>
      <x:c r="O88" s="2"/>
      <x:c r="P88" s="2"/>
      <x:c r="Q88" s="2"/>
    </x:row>
    <x:row r="89" ht="25" customHeight="1">
      <x:c r="A89" s="36" t="str">
        <x:v>中国</x:v>
      </x:c>
      <x:c r="B89" s="34" t="n">
        <x:f>'GDPと為替'!F12</x:f>
        <x:v>14865.2606091394</x:v>
      </x:c>
      <x:c r="C89" s="34" t="n">
        <x:f>'価格データ'!K36</x:f>
        <x:v>14885.329697964371</x:v>
      </x:c>
      <x:c r="D89" s="34" t="n">
        <x:f>'GDPと為替'!E12</x:f>
        <x:v>13861.970224368</x:v>
      </x:c>
      <x:c r="E89" s="34" t="n">
        <x:f>'価格データ'!L36</x:f>
        <x:v>1.0013500663965913</x:v>
      </x:c>
      <x:c r="F89" s="2"/>
      <x:c r="G89" s="24" t="n">
        <x:f>'GDPと為替'!F12/1000</x:f>
        <x:v>14.8652606091394</x:v>
      </x:c>
      <x:c r="H89" s="24" t="n">
        <x:f>'価格データ'!K36/1000</x:f>
        <x:v>14.885329697964371</x:v>
      </x:c>
      <x:c r="I89" s="24"/>
      <x:c r="J89" s="2"/>
      <x:c r="K89" s="2"/>
      <x:c r="L89" s="2"/>
      <x:c r="M89" s="2"/>
      <x:c r="N89" s="2"/>
      <x:c r="O89" s="2"/>
      <x:c r="P89" s="2"/>
      <x:c r="Q89" s="2"/>
    </x:row>
    <x:row r="90" ht="25" customHeight="1">
      <x:c r="A90" s="36" t="str">
        <x:v>ドイツ</x:v>
      </x:c>
      <x:c r="B90" s="34" t="n">
        <x:f>'GDPと為替'!F13</x:f>
        <x:v>60331.3717225622</x:v>
      </x:c>
      <x:c r="C90" s="34" t="n">
        <x:f>'価格データ'!K40</x:f>
        <x:v>38303.331</x:v>
      </x:c>
      <x:c r="D90" s="34" t="n">
        <x:f>'GDPと為替'!E13</x:f>
        <x:v>60496.4350820414</x:v>
      </x:c>
      <x:c r="E90" s="34" t="n">
        <x:f>'価格データ'!L40</x:f>
        <x:v>0.63488248164057</x:v>
      </x:c>
      <x:c r="F90" s="2"/>
      <x:c r="G90" s="24" t="n">
        <x:f>'GDPと為替'!F13/1000</x:f>
        <x:v>60.3313717225622</x:v>
      </x:c>
      <x:c r="H90" s="24" t="n">
        <x:f>'価格データ'!K40/1000</x:f>
        <x:v>38.303331</x:v>
      </x:c>
      <x:c r="I90" s="24"/>
      <x:c r="J90" s="2"/>
      <x:c r="K90" s="2"/>
      <x:c r="L90" s="2"/>
      <x:c r="M90" s="2"/>
      <x:c r="N90" s="2"/>
      <x:c r="O90" s="2"/>
      <x:c r="P90" s="2"/>
      <x:c r="Q90" s="2"/>
    </x:row>
    <x:row r="91" ht="25" customHeight="1">
      <x:c r="A91" s="36" t="str">
        <x:v>ブラジル</x:v>
      </x:c>
      <x:c r="B91" s="34" t="n">
        <x:f>'GDPと為替'!F14</x:f>
        <x:v>12047.328246940044</x:v>
      </x:c>
      <x:c r="C91" s="34" t="n">
        <x:f>'価格データ'!K44</x:f>
        <x:v>30187.660695468916</x:v>
      </x:c>
      <x:c r="D91" s="34" t="n">
        <x:f>'GDPと為替'!E14</x:f>
        <x:v>10713.2856869511</x:v>
      </x:c>
      <x:c r="E91" s="34" t="n">
        <x:f>'価格データ'!L44</x:f>
        <x:v>2.5057556394826728</x:v>
      </x:c>
      <x:c r="F91" s="2"/>
      <x:c r="G91" s="24" t="n">
        <x:f>'GDPと為替'!F14/1000</x:f>
        <x:v>12.047328246940044</x:v>
      </x:c>
      <x:c r="H91" s="24" t="n">
        <x:f>'価格データ'!K44/1000</x:f>
        <x:v>30.187660695468917</x:v>
      </x:c>
      <x:c r="I91" s="24"/>
      <x:c r="J91" s="2"/>
      <x:c r="K91" s="2"/>
      <x:c r="L91" s="2"/>
      <x:c r="M91" s="2"/>
      <x:c r="N91" s="2"/>
      <x:c r="O91" s="2"/>
      <x:c r="P91" s="2"/>
      <x:c r="Q91" s="2"/>
    </x:row>
    <x:row r="92" ht="25" customHeight="1">
      <x:c r="A92" s="36" t="str">
        <x:v>豪州</x:v>
      </x:c>
      <x:c r="B92" s="34" t="n">
        <x:f>'GDPと為替'!F15</x:f>
        <x:v>70261.6774435577</x:v>
      </x:c>
      <x:c r="C92" s="34" t="n">
        <x:f>'価格データ'!K48</x:f>
        <x:v>20939.114622057</x:v>
      </x:c>
      <x:c r="D92" s="34" t="n">
        <x:f>'GDPと為替'!E15</x:f>
        <x:v>65129.7227990563</x:v>
      </x:c>
      <x:c r="E92" s="34" t="n">
        <x:f>'価格データ'!L48</x:f>
        <x:v>0.29801615025314077</x:v>
      </x:c>
      <x:c r="F92" s="2"/>
      <x:c r="G92" s="24" t="n">
        <x:f>'GDPと為替'!F15/1000</x:f>
        <x:v>70.2616774435577</x:v>
      </x:c>
      <x:c r="H92" s="24" t="n">
        <x:f>'価格データ'!K48/1000</x:f>
        <x:v>20.939114622057</x:v>
      </x:c>
      <x:c r="I92" s="24"/>
      <x:c r="J92" s="2"/>
      <x:c r="K92" s="2"/>
      <x:c r="L92" s="2"/>
      <x:c r="M92" s="2"/>
      <x:c r="N92" s="2"/>
      <x:c r="O92" s="2"/>
      <x:c r="P92" s="2"/>
      <x:c r="Q92" s="2"/>
    </x:row>
    <x:row r="93" ht="25" customHeight="1">
      <x:c r="A93" s="36"/>
      <x:c r="B93" s="34"/>
      <x:c r="C93" s="34"/>
      <x:c r="D93" s="34"/>
      <x:c r="E93" s="34"/>
      <x:c r="F93" s="2"/>
      <x:c r="G93" s="24"/>
      <x:c r="H93" s="24"/>
      <x:c r="I93" s="24"/>
      <x:c r="J93" s="2"/>
      <x:c r="K93" s="2"/>
      <x:c r="L93" s="2"/>
      <x:c r="M93" s="2"/>
      <x:c r="N93" s="2"/>
      <x:c r="O93" s="2"/>
      <x:c r="P93" s="2"/>
      <x:c r="Q93" s="2"/>
    </x:row>
    <x:row r="94" ht="25" customHeight="1">
      <x:c r="A94" s="36"/>
      <x:c r="B94" s="34"/>
      <x:c r="C94" s="34"/>
      <x:c r="D94" s="34"/>
      <x:c r="E94" s="34"/>
      <x:c r="F94" s="2"/>
      <x:c r="G94" s="24"/>
      <x:c r="H94" s="24"/>
      <x:c r="I94" s="24"/>
      <x:c r="J94" s="2"/>
      <x:c r="K94" s="2"/>
      <x:c r="L94" s="2"/>
      <x:c r="M94" s="2"/>
      <x:c r="N94" s="2"/>
      <x:c r="O94" s="2"/>
      <x:c r="P94" s="2"/>
      <x:c r="Q94" s="2"/>
    </x:row>
    <x:row r="95" ht="25" customHeight="1">
      <x:c r="A95" s="36" t="str">
        <x:v>市場</x:v>
      </x:c>
      <x:c r="B95" s="34" t="str">
        <x:v>Dolphin GDP*</x:v>
      </x:c>
      <x:c r="C95" s="34" t="str">
        <x:v>Dolphin 価格USD</x:v>
      </x:c>
      <x:c r="D95" s="34" t="str">
        <x:v>WB公表 GDP USD</x:v>
      </x:c>
      <x:c r="E95" s="34" t="str">
        <x:v>GDP比</x:v>
      </x:c>
      <x:c r="F95" s="2"/>
      <x:c r="G95" s="24"/>
      <x:c r="H95" s="24"/>
      <x:c r="I95" s="24"/>
      <x:c r="J95" s="2"/>
      <x:c r="K95" s="2"/>
      <x:c r="L95" s="2"/>
      <x:c r="M95" s="2"/>
      <x:c r="N95" s="2"/>
      <x:c r="O95" s="2"/>
      <x:c r="P95" s="2"/>
      <x:c r="Q95" s="2"/>
    </x:row>
    <x:row r="96" ht="25" customHeight="1">
      <x:c r="A96" s="36" t="str">
        <x:v>ベトナム</x:v>
      </x:c>
      <x:c r="B96" s="34" t="n">
        <x:f>'GDPと為替'!F6</x:f>
        <x:v>4930.953633724859</x:v>
      </x:c>
      <x:c r="C96" s="34" t="n">
        <x:f>'価格データ'!K6</x:f>
        <x:v>22187.56092805615</x:v>
      </x:c>
      <x:c r="D96" s="34" t="n">
        <x:f>'GDPと為替'!E6</x:f>
        <x:v>5065.99091899299</x:v>
      </x:c>
      <x:c r="E96" s="34" t="n">
        <x:f>'価格データ'!L6</x:f>
        <x:v>4.4996490691589806</x:v>
      </x:c>
      <x:c r="F96" s="2"/>
      <x:c r="G96" s="24" t="str">
        <x:v>GDP/人 千USD</x:v>
      </x:c>
      <x:c r="H96" s="24" t="str">
        <x:v>Dolphin 千USD</x:v>
      </x:c>
      <x:c r="I96" s="24"/>
      <x:c r="J96" s="2"/>
      <x:c r="K96" s="2"/>
      <x:c r="L96" s="2"/>
      <x:c r="M96" s="2"/>
      <x:c r="N96" s="2"/>
      <x:c r="O96" s="2"/>
      <x:c r="P96" s="2"/>
      <x:c r="Q96" s="2"/>
    </x:row>
    <x:row r="97" ht="25" customHeight="1">
      <x:c r="A97" s="36" t="str">
        <x:v>タイ</x:v>
      </x:c>
      <x:c r="B97" s="34" t="n">
        <x:f>'GDPと為替'!F7</x:f>
        <x:v>7890.398030013614</x:v>
      </x:c>
      <x:c r="C97" s="34" t="n">
        <x:f>'価格データ'!K11</x:f>
        <x:v>17867.30389047468</x:v>
      </x:c>
      <x:c r="D97" s="34" t="n">
        <x:f>'GDPと為替'!E7</x:f>
        <x:v>8056.56359761558</x:v>
      </x:c>
      <x:c r="E97" s="34" t="n">
        <x:f>'価格データ'!L11</x:f>
        <x:v>2.2644363215278576</x:v>
      </x:c>
      <x:c r="F97" s="2"/>
      <x:c r="G97" s="24" t="n">
        <x:f>'GDPと為替'!F6/1000</x:f>
        <x:v>4.930953633724859</x:v>
      </x:c>
      <x:c r="H97" s="24" t="n">
        <x:f>'価格データ'!K6/1000</x:f>
        <x:v>22.18756092805615</x:v>
      </x:c>
      <x:c r="I97" s="24"/>
      <x:c r="J97" s="2"/>
      <x:c r="K97" s="2"/>
      <x:c r="L97" s="2"/>
      <x:c r="M97" s="2"/>
      <x:c r="N97" s="2"/>
      <x:c r="O97" s="2"/>
      <x:c r="P97" s="2"/>
      <x:c r="Q97" s="2"/>
    </x:row>
    <x:row r="98" ht="25" customHeight="1">
      <x:c r="A98" s="36" t="str">
        <x:v>インドネシア</x:v>
      </x:c>
      <x:c r="B98" s="34" t="n">
        <x:f>'GDPと為替'!F8</x:f>
        <x:v>4673.09897608492</x:v>
      </x:c>
      <x:c r="C98" s="34" t="n">
        <x:f>'価格データ'!K16</x:f>
        <x:v>20682.926465321714</x:v>
      </x:c>
      <x:c r="D98" s="34" t="n">
        <x:f>'GDPと為替'!E8</x:f>
        <x:v>5059.62596411213</x:v>
      </x:c>
      <x:c r="E98" s="34" t="n">
        <x:f>'価格データ'!L16</x:f>
        <x:v>4.425955146931146</x:v>
      </x:c>
      <x:c r="F98" s="2"/>
      <x:c r="G98" s="24" t="n">
        <x:f>'GDPと為替'!F7/1000</x:f>
        <x:v>7.890398030013613</x:v>
      </x:c>
      <x:c r="H98" s="24" t="n">
        <x:f>'価格データ'!K11/1000</x:f>
        <x:v>17.86730389047468</x:v>
      </x:c>
      <x:c r="I98" s="24"/>
      <x:c r="J98" s="2"/>
      <x:c r="K98" s="2"/>
      <x:c r="L98" s="2"/>
      <x:c r="M98" s="2"/>
      <x:c r="N98" s="2"/>
      <x:c r="O98" s="2"/>
      <x:c r="P98" s="2"/>
      <x:c r="Q98" s="2"/>
    </x:row>
    <x:row r="99" ht="25" customHeight="1">
      <x:c r="A99" s="36" t="str">
        <x:v>フィリピン</x:v>
      </x:c>
      <x:c r="B99" s="34" t="n">
        <x:f>'GDPと為替'!F9</x:f>
        <x:v>3822.7105601098206</x:v>
      </x:c>
      <x:c r="C99" s="34" t="n">
        <x:f>'価格データ'!K21</x:f>
        <x:v>22919.891940822043</x:v>
      </x:c>
      <x:c r="D99" s="34" t="n">
        <x:f>'GDPと為替'!E9</x:f>
        <x:v>4170.72347271451</x:v>
      </x:c>
      <x:c r="E99" s="34" t="n">
        <x:f>'価格データ'!L21</x:f>
        <x:v>5.995717326860235</x:v>
      </x:c>
      <x:c r="F99" s="2"/>
      <x:c r="G99" s="24" t="n">
        <x:f>'GDPと為替'!F8/1000</x:f>
        <x:v>4.67309897608492</x:v>
      </x:c>
      <x:c r="H99" s="24" t="n">
        <x:f>'価格データ'!K16/1000</x:f>
        <x:v>20.682926465321714</x:v>
      </x:c>
      <x:c r="I99" s="24"/>
      <x:c r="J99" s="2"/>
      <x:c r="K99" s="2"/>
      <x:c r="L99" s="2"/>
      <x:c r="M99" s="2"/>
      <x:c r="N99" s="2"/>
      <x:c r="O99" s="2"/>
      <x:c r="P99" s="2"/>
      <x:c r="Q99" s="2"/>
    </x:row>
    <x:row r="100" ht="25" customHeight="1">
      <x:c r="A100" s="36" t="str">
        <x:v>マレーシア</x:v>
      </x:c>
      <x:c r="B100" s="34" t="n">
        <x:f>'GDPと為替'!F10</x:f>
        <x:v>13765.237531731245</x:v>
      </x:c>
      <x:c r="C100" s="34" t="n">
        <x:f>'価格データ'!K26</x:f>
        <x:v>24479.73237172525</x:v>
      </x:c>
      <x:c r="D100" s="34" t="n">
        <x:f>'GDPと為替'!E10</x:f>
        <x:v>13124.5554178269</x:v>
      </x:c>
      <x:c r="E100" s="34" t="n">
        <x:f>'価格データ'!L26</x:f>
        <x:v>1.7783734073091906</x:v>
      </x:c>
      <x:c r="F100" s="2"/>
      <x:c r="G100" s="24" t="n">
        <x:f>'GDPと為替'!F9/1000</x:f>
        <x:v>3.8227105601098206</x:v>
      </x:c>
      <x:c r="H100" s="24" t="n">
        <x:f>'価格データ'!K21/1000</x:f>
        <x:v>22.919891940822044</x:v>
      </x:c>
      <x:c r="I100" s="24"/>
      <x:c r="J100" s="2"/>
      <x:c r="K100" s="2"/>
      <x:c r="L100" s="2"/>
      <x:c r="M100" s="2"/>
      <x:c r="N100" s="2"/>
      <x:c r="O100" s="2"/>
      <x:c r="P100" s="2"/>
      <x:c r="Q100" s="2"/>
    </x:row>
    <x:row r="101" ht="25" customHeight="1">
      <x:c r="A101" s="36" t="str">
        <x:v>中国</x:v>
      </x:c>
      <x:c r="B101" s="34" t="n">
        <x:f>'GDPと為替'!F12</x:f>
        <x:v>14865.2606091394</x:v>
      </x:c>
      <x:c r="C101" s="34" t="n">
        <x:f>'価格データ'!K36</x:f>
        <x:v>14885.329697964371</x:v>
      </x:c>
      <x:c r="D101" s="34" t="n">
        <x:f>'GDPと為替'!E12</x:f>
        <x:v>13861.970224368</x:v>
      </x:c>
      <x:c r="E101" s="34" t="n">
        <x:f>'価格データ'!L36</x:f>
        <x:v>1.0013500663965913</x:v>
      </x:c>
      <x:c r="F101" s="2"/>
      <x:c r="G101" s="24" t="n">
        <x:f>'GDPと為替'!F10/1000</x:f>
        <x:v>13.765237531731245</x:v>
      </x:c>
      <x:c r="H101" s="24" t="n">
        <x:f>'価格データ'!K26/1000</x:f>
        <x:v>24.47973237172525</x:v>
      </x:c>
      <x:c r="I101" s="24"/>
      <x:c r="J101" s="2"/>
      <x:c r="K101" s="2"/>
      <x:c r="L101" s="2"/>
      <x:c r="M101" s="2"/>
      <x:c r="N101" s="2"/>
      <x:c r="O101" s="2"/>
      <x:c r="P101" s="2"/>
      <x:c r="Q101" s="2"/>
    </x:row>
    <x:row r="102" ht="25" customHeight="1">
      <x:c r="A102" s="36" t="str">
        <x:v>ドイツ</x:v>
      </x:c>
      <x:c r="B102" s="34" t="n">
        <x:f>'GDPと為替'!F13</x:f>
        <x:v>60331.3717225622</x:v>
      </x:c>
      <x:c r="C102" s="34" t="n">
        <x:f>'価格データ'!K40</x:f>
        <x:v>38303.331</x:v>
      </x:c>
      <x:c r="D102" s="34" t="n">
        <x:f>'GDPと為替'!E13</x:f>
        <x:v>60496.4350820414</x:v>
      </x:c>
      <x:c r="E102" s="34" t="n">
        <x:f>'価格データ'!L40</x:f>
        <x:v>0.63488248164057</x:v>
      </x:c>
      <x:c r="F102" s="2"/>
      <x:c r="G102" s="24" t="n">
        <x:f>'GDPと為替'!F12/1000</x:f>
        <x:v>14.8652606091394</x:v>
      </x:c>
      <x:c r="H102" s="24" t="n">
        <x:f>'価格データ'!K36/1000</x:f>
        <x:v>14.885329697964371</x:v>
      </x:c>
      <x:c r="I102" s="24"/>
      <x:c r="J102" s="2"/>
      <x:c r="K102" s="2"/>
      <x:c r="L102" s="2"/>
      <x:c r="M102" s="2"/>
      <x:c r="N102" s="2"/>
      <x:c r="O102" s="2"/>
      <x:c r="P102" s="2"/>
      <x:c r="Q102" s="2"/>
    </x:row>
    <x:row r="103" ht="25" customHeight="1">
      <x:c r="A103" s="36" t="str">
        <x:v>ブラジル</x:v>
      </x:c>
      <x:c r="B103" s="34" t="n">
        <x:f>'GDPと為替'!F14</x:f>
        <x:v>12047.328246940044</x:v>
      </x:c>
      <x:c r="C103" s="34" t="n">
        <x:f>'価格データ'!K44</x:f>
        <x:v>30187.660695468916</x:v>
      </x:c>
      <x:c r="D103" s="34" t="n">
        <x:f>'GDPと為替'!E14</x:f>
        <x:v>10713.2856869511</x:v>
      </x:c>
      <x:c r="E103" s="34" t="n">
        <x:f>'価格データ'!L44</x:f>
        <x:v>2.5057556394826728</x:v>
      </x:c>
      <x:c r="F103" s="2"/>
      <x:c r="G103" s="24" t="n">
        <x:f>'GDPと為替'!F13/1000</x:f>
        <x:v>60.3313717225622</x:v>
      </x:c>
      <x:c r="H103" s="24" t="n">
        <x:f>'価格データ'!K40/1000</x:f>
        <x:v>38.303331</x:v>
      </x:c>
      <x:c r="I103" s="24"/>
      <x:c r="J103" s="2"/>
      <x:c r="K103" s="2"/>
      <x:c r="L103" s="2"/>
      <x:c r="M103" s="2"/>
      <x:c r="N103" s="2"/>
      <x:c r="O103" s="2"/>
      <x:c r="P103" s="2"/>
      <x:c r="Q103" s="2"/>
    </x:row>
    <x:row r="104" ht="25" customHeight="1">
      <x:c r="A104" s="36" t="str">
        <x:v>豪州</x:v>
      </x:c>
      <x:c r="B104" s="34" t="n">
        <x:f>'GDPと為替'!F15</x:f>
        <x:v>70261.6774435577</x:v>
      </x:c>
      <x:c r="C104" s="34" t="n">
        <x:f>'価格データ'!K48</x:f>
        <x:v>20939.114622057</x:v>
      </x:c>
      <x:c r="D104" s="34" t="n">
        <x:f>'GDPと為替'!E15</x:f>
        <x:v>65129.7227990563</x:v>
      </x:c>
      <x:c r="E104" s="34" t="n">
        <x:f>'価格データ'!L48</x:f>
        <x:v>0.29801615025314077</x:v>
      </x:c>
      <x:c r="F104" s="2"/>
      <x:c r="G104" s="24" t="n">
        <x:f>'GDPと為替'!F14/1000</x:f>
        <x:v>12.047328246940044</x:v>
      </x:c>
      <x:c r="H104" s="24" t="n">
        <x:f>'価格データ'!K44/1000</x:f>
        <x:v>30.187660695468917</x:v>
      </x:c>
      <x:c r="I104" s="24"/>
      <x:c r="J104" s="2"/>
      <x:c r="K104" s="2"/>
      <x:c r="L104" s="2"/>
      <x:c r="M104" s="2"/>
      <x:c r="N104" s="2"/>
      <x:c r="O104" s="2"/>
      <x:c r="P104" s="2"/>
      <x:c r="Q104" s="2"/>
    </x:row>
    <x:row r="105" ht="25" customHeight="1">
      <x:c r="A105" s="36"/>
      <x:c r="B105" s="34"/>
      <x:c r="C105" s="34"/>
      <x:c r="D105" s="34"/>
      <x:c r="E105" s="34"/>
      <x:c r="F105" s="2"/>
      <x:c r="G105" s="24" t="n">
        <x:f>'GDPと為替'!F15/1000</x:f>
        <x:v>70.2616774435577</x:v>
      </x:c>
      <x:c r="H105" s="24" t="n">
        <x:f>'価格データ'!K48/1000</x:f>
        <x:v>20.939114622057</x:v>
      </x:c>
      <x:c r="I105" s="24"/>
      <x:c r="J105" s="2"/>
      <x:c r="K105" s="2"/>
      <x:c r="L105" s="2"/>
      <x:c r="M105" s="2"/>
      <x:c r="N105" s="2"/>
      <x:c r="O105" s="2"/>
      <x:c r="P105" s="2"/>
      <x:c r="Q105" s="2"/>
    </x:row>
    <x:row r="106" ht="25" customHeight="1">
      <x:c r="A106" s="36"/>
      <x:c r="B106" s="34"/>
      <x:c r="C106" s="34"/>
      <x:c r="D106" s="34"/>
      <x:c r="E106" s="34"/>
      <x:c r="F106" s="2"/>
      <x:c r="G106" s="24"/>
      <x:c r="H106" s="24"/>
      <x:c r="I106" s="24"/>
      <x:c r="J106" s="2"/>
      <x:c r="K106" s="2"/>
      <x:c r="L106" s="2"/>
      <x:c r="M106" s="2"/>
      <x:c r="N106" s="2"/>
      <x:c r="O106" s="2"/>
      <x:c r="P106" s="2"/>
      <x:c r="Q106" s="2"/>
    </x:row>
    <x:row r="107" ht="25" customHeight="1">
      <x:c r="A107" s="36" t="str">
        <x:v>市場</x:v>
      </x:c>
      <x:c r="B107" s="34" t="str">
        <x:v>Dolphin GDP*</x:v>
      </x:c>
      <x:c r="C107" s="34" t="str">
        <x:v>Dolphin 価格USD</x:v>
      </x:c>
      <x:c r="D107" s="34" t="str">
        <x:v>WB公表 GDP USD</x:v>
      </x:c>
      <x:c r="E107" s="34" t="str">
        <x:v>GDP比</x:v>
      </x:c>
      <x:c r="F107" s="2"/>
      <x:c r="G107" s="24"/>
      <x:c r="H107" s="24"/>
      <x:c r="I107" s="24"/>
      <x:c r="J107" s="2"/>
      <x:c r="K107" s="2"/>
      <x:c r="L107" s="2"/>
      <x:c r="M107" s="2"/>
      <x:c r="N107" s="2"/>
      <x:c r="O107" s="2"/>
      <x:c r="P107" s="2"/>
      <x:c r="Q107" s="2"/>
    </x:row>
    <x:row r="108" ht="25" customHeight="1">
      <x:c r="A108" s="36" t="str">
        <x:v>ベトナム</x:v>
      </x:c>
      <x:c r="B108" s="34" t="n">
        <x:f>'GDPと為替'!F6</x:f>
        <x:v>4930.953633724859</x:v>
      </x:c>
      <x:c r="C108" s="34" t="n">
        <x:f>'価格データ'!K6</x:f>
        <x:v>22187.56092805615</x:v>
      </x:c>
      <x:c r="D108" s="34" t="n">
        <x:f>'GDPと為替'!E6</x:f>
        <x:v>5065.99091899299</x:v>
      </x:c>
      <x:c r="E108" s="34" t="n">
        <x:f>'価格データ'!L6</x:f>
        <x:v>4.4996490691589806</x:v>
      </x:c>
      <x:c r="F108" s="2"/>
      <x:c r="G108" s="24"/>
      <x:c r="H108" s="24"/>
      <x:c r="I108" s="24"/>
      <x:c r="J108" s="2"/>
      <x:c r="K108" s="2"/>
      <x:c r="L108" s="2"/>
      <x:c r="M108" s="2"/>
      <x:c r="N108" s="2"/>
      <x:c r="O108" s="2"/>
      <x:c r="P108" s="2"/>
      <x:c r="Q108" s="2"/>
    </x:row>
    <x:row r="109" ht="25" customHeight="1">
      <x:c r="A109" s="36" t="str">
        <x:v>タイ</x:v>
      </x:c>
      <x:c r="B109" s="34" t="n">
        <x:f>'GDPと為替'!F7</x:f>
        <x:v>7890.398030013614</x:v>
      </x:c>
      <x:c r="C109" s="34" t="n">
        <x:f>'価格データ'!K11</x:f>
        <x:v>17867.30389047468</x:v>
      </x:c>
      <x:c r="D109" s="34" t="n">
        <x:f>'GDPと為替'!E7</x:f>
        <x:v>8056.56359761558</x:v>
      </x:c>
      <x:c r="E109" s="34" t="n">
        <x:f>'価格データ'!L11</x:f>
        <x:v>2.2644363215278576</x:v>
      </x:c>
      <x:c r="F109" s="2"/>
      <x:c r="G109" s="24"/>
      <x:c r="H109" s="24"/>
      <x:c r="I109" s="24"/>
      <x:c r="J109" s="2"/>
      <x:c r="K109" s="2"/>
      <x:c r="L109" s="2"/>
      <x:c r="M109" s="2"/>
      <x:c r="N109" s="2"/>
      <x:c r="O109" s="2"/>
      <x:c r="P109" s="2"/>
      <x:c r="Q109" s="2"/>
    </x:row>
    <x:row r="110" ht="25" customHeight="1">
      <x:c r="A110" s="36" t="str">
        <x:v>インドネシア</x:v>
      </x:c>
      <x:c r="B110" s="34" t="n">
        <x:f>'GDPと為替'!F8</x:f>
        <x:v>4673.09897608492</x:v>
      </x:c>
      <x:c r="C110" s="34" t="n">
        <x:f>'価格データ'!K16</x:f>
        <x:v>20682.926465321714</x:v>
      </x:c>
      <x:c r="D110" s="34" t="n">
        <x:f>'GDPと為替'!E8</x:f>
        <x:v>5059.62596411213</x:v>
      </x:c>
      <x:c r="E110" s="34" t="n">
        <x:f>'価格データ'!L16</x:f>
        <x:v>4.425955146931146</x:v>
      </x:c>
      <x:c r="F110" s="2"/>
      <x:c r="G110" s="24"/>
      <x:c r="H110" s="24"/>
      <x:c r="I110" s="24"/>
      <x:c r="J110" s="2"/>
      <x:c r="K110" s="2"/>
      <x:c r="L110" s="2"/>
      <x:c r="M110" s="2"/>
      <x:c r="N110" s="2"/>
      <x:c r="O110" s="2"/>
      <x:c r="P110" s="2"/>
      <x:c r="Q110" s="2"/>
    </x:row>
    <x:row r="111" ht="25" customHeight="1">
      <x:c r="A111" s="36" t="str">
        <x:v>フィリピン</x:v>
      </x:c>
      <x:c r="B111" s="34" t="n">
        <x:f>'GDPと為替'!F9</x:f>
        <x:v>3822.7105601098206</x:v>
      </x:c>
      <x:c r="C111" s="34" t="n">
        <x:f>'価格データ'!K21</x:f>
        <x:v>22919.891940822043</x:v>
      </x:c>
      <x:c r="D111" s="34" t="n">
        <x:f>'GDPと為替'!E9</x:f>
        <x:v>4170.72347271451</x:v>
      </x:c>
      <x:c r="E111" s="34" t="n">
        <x:f>'価格データ'!L21</x:f>
        <x:v>5.995717326860235</x:v>
      </x:c>
      <x:c r="F111" s="2"/>
      <x:c r="G111" s="24"/>
      <x:c r="H111" s="24"/>
      <x:c r="I111" s="24"/>
      <x:c r="J111" s="2"/>
      <x:c r="K111" s="2"/>
      <x:c r="L111" s="2"/>
      <x:c r="M111" s="2"/>
      <x:c r="N111" s="2"/>
      <x:c r="O111" s="2"/>
      <x:c r="P111" s="2"/>
      <x:c r="Q111" s="2"/>
    </x:row>
    <x:row r="112" ht="25" customHeight="1">
      <x:c r="A112" s="36" t="str">
        <x:v>マレーシア</x:v>
      </x:c>
      <x:c r="B112" s="34" t="n">
        <x:f>'GDPと為替'!F10</x:f>
        <x:v>13765.237531731245</x:v>
      </x:c>
      <x:c r="C112" s="34" t="n">
        <x:f>'価格データ'!K26</x:f>
        <x:v>24479.73237172525</x:v>
      </x:c>
      <x:c r="D112" s="34" t="n">
        <x:f>'GDPと為替'!E10</x:f>
        <x:v>13124.5554178269</x:v>
      </x:c>
      <x:c r="E112" s="34" t="n">
        <x:f>'価格データ'!L26</x:f>
        <x:v>1.7783734073091906</x:v>
      </x:c>
      <x:c r="F112" s="2"/>
      <x:c r="G112" s="24"/>
      <x:c r="H112" s="24"/>
      <x:c r="I112" s="24"/>
      <x:c r="J112" s="2"/>
      <x:c r="K112" s="2"/>
      <x:c r="L112" s="2"/>
      <x:c r="M112" s="2"/>
      <x:c r="N112" s="2"/>
      <x:c r="O112" s="2"/>
      <x:c r="P112" s="2"/>
      <x:c r="Q112" s="2"/>
    </x:row>
    <x:row r="113" ht="25" customHeight="1">
      <x:c r="A113" s="36"/>
      <x:c r="B113" s="34"/>
      <x:c r="C113" s="34"/>
      <x:c r="D113" s="34"/>
      <x:c r="E113" s="34"/>
      <x:c r="F113" s="2"/>
      <x:c r="G113" s="36" t="str">
        <x:v>国</x:v>
      </x:c>
      <x:c r="H113" s="24" t="str">
        <x:v>H6 HEV</x:v>
      </x:c>
      <x:c r="I113" s="24" t="str">
        <x:v>Toyota HEV</x:v>
      </x:c>
      <x:c r="J113" s="2"/>
      <x:c r="K113" s="2"/>
      <x:c r="L113" s="2"/>
      <x:c r="M113" s="2"/>
      <x:c r="N113" s="2"/>
      <x:c r="O113" s="2"/>
      <x:c r="P113" s="2"/>
      <x:c r="Q113" s="2"/>
    </x:row>
    <x:row r="114" ht="25" customHeight="1">
      <x:c r="A114" s="36"/>
      <x:c r="B114" s="34"/>
      <x:c r="C114" s="34"/>
      <x:c r="D114" s="34"/>
      <x:c r="E114" s="34"/>
      <x:c r="F114" s="2"/>
      <x:c r="G114" s="37" t="str">
        <x:v>ベトナム</x:v>
      </x:c>
      <x:c r="H114" s="24" t="n">
        <x:f>'価格データ'!K8/1000</x:f>
        <x:v>38.44804055371418</x:v>
      </x:c>
      <x:c r="I114" s="24" t="n">
        <x:f>'価格データ'!K9/1000</x:f>
        <x:v>33.72977188535777</x:v>
      </x:c>
      <x:c r="J114" s="2"/>
      <x:c r="K114" s="2"/>
      <x:c r="L114" s="2"/>
      <x:c r="M114" s="2"/>
      <x:c r="N114" s="2"/>
      <x:c r="O114" s="2"/>
      <x:c r="P114" s="2"/>
      <x:c r="Q114" s="2"/>
    </x:row>
    <x:row r="115" ht="25" customHeight="1">
      <x:c r="A115" s="36" t="str">
        <x:v>市場</x:v>
      </x:c>
      <x:c r="B115" s="34" t="str">
        <x:v>Atto 3 / Yuan Plus GDP*</x:v>
      </x:c>
      <x:c r="C115" s="34" t="str">
        <x:v>Atto 3 / Yuan Plus 価格USD</x:v>
      </x:c>
      <x:c r="D115" s="34" t="str">
        <x:v>WB公表 GDP USD</x:v>
      </x:c>
      <x:c r="E115" s="34" t="str">
        <x:v>GDP比</x:v>
      </x:c>
      <x:c r="F115" s="2"/>
      <x:c r="G115" s="37" t="str">
        <x:v>タイ</x:v>
      </x:c>
      <x:c r="H115" s="24" t="n">
        <x:f>'価格データ'!K13/1000</x:f>
        <x:v>28.860505867427847</x:v>
      </x:c>
      <x:c r="I115" s="24" t="n">
        <x:f>'価格データ'!K14/1000</x:f>
        <x:v>29.456181943122953</x:v>
      </x:c>
      <x:c r="J115" s="2"/>
      <x:c r="K115" s="2"/>
      <x:c r="L115" s="2"/>
      <x:c r="M115" s="2"/>
      <x:c r="N115" s="2"/>
      <x:c r="O115" s="2"/>
      <x:c r="P115" s="2"/>
      <x:c r="Q115" s="2"/>
    </x:row>
    <x:row r="116" ht="25" customHeight="1">
      <x:c r="A116" s="36" t="str">
        <x:v>ベトナム</x:v>
      </x:c>
      <x:c r="B116" s="34" t="n">
        <x:f>'GDPと為替'!F6</x:f>
        <x:v>4930.953633724859</x:v>
      </x:c>
      <x:c r="C116" s="34" t="n">
        <x:f>'価格データ'!K7</x:f>
        <x:v>29869.37024761162</x:v>
      </x:c>
      <x:c r="D116" s="34" t="n">
        <x:f>'GDPと為替'!E6</x:f>
        <x:v>5065.99091899299</x:v>
      </x:c>
      <x:c r="E116" s="34" t="n">
        <x:f>'価格データ'!L7</x:f>
        <x:v>6.057524054438979</x:v>
      </x:c>
      <x:c r="F116" s="2"/>
      <x:c r="G116" s="37" t="str">
        <x:v>インドネシア</x:v>
      </x:c>
      <x:c r="H116" s="24" t="n">
        <x:f>'価格データ'!K18/1000</x:f>
        <x:v>36.7023854999801</x:v>
      </x:c>
      <x:c r="I116" s="24" t="n">
        <x:f>'価格データ'!K19/1000</x:f>
        <x:v>33.98950300425769</x:v>
      </x:c>
      <x:c r="J116" s="2"/>
      <x:c r="K116" s="2"/>
      <x:c r="L116" s="2"/>
      <x:c r="M116" s="2"/>
      <x:c r="N116" s="2"/>
      <x:c r="O116" s="2"/>
      <x:c r="P116" s="2"/>
      <x:c r="Q116" s="2"/>
    </x:row>
    <x:row r="117" ht="25" customHeight="1">
      <x:c r="A117" s="36" t="str">
        <x:v>タイ</x:v>
      </x:c>
      <x:c r="B117" s="34" t="n">
        <x:f>'GDPと為替'!F7</x:f>
        <x:v>7890.398030013614</x:v>
      </x:c>
      <x:c r="C117" s="34" t="n">
        <x:f>'価格データ'!K12</x:f>
        <x:v>23824.064647425734</x:v>
      </x:c>
      <x:c r="D117" s="34" t="n">
        <x:f>'GDPと為替'!E7</x:f>
        <x:v>8056.56359761558</x:v>
      </x:c>
      <x:c r="E117" s="34" t="n">
        <x:f>'価格データ'!L12</x:f>
        <x:v>3.0193742516921707</x:v>
      </x:c>
      <x:c r="F117" s="2"/>
      <x:c r="G117" s="37" t="str">
        <x:v>マレーシア</x:v>
      </x:c>
      <x:c r="H117" s="24" t="n">
        <x:f>'価格データ'!K28/1000</x:f>
        <x:v>34.119850979710655</x:v>
      </x:c>
      <x:c r="I117" s="24" t="n">
        <x:f>'価格データ'!K29/1000</x:f>
        <x:v>34.467463179389156</x:v>
      </x:c>
      <x:c r="J117" s="2"/>
      <x:c r="K117" s="2"/>
      <x:c r="L117" s="2"/>
      <x:c r="M117" s="2"/>
      <x:c r="N117" s="2"/>
      <x:c r="O117" s="2"/>
      <x:c r="P117" s="2"/>
      <x:c r="Q117" s="2"/>
    </x:row>
    <x:row r="118" ht="25" customHeight="1">
      <x:c r="A118" s="36" t="str">
        <x:v>インドネシア</x:v>
      </x:c>
      <x:c r="B118" s="34" t="n">
        <x:f>'GDPと為替'!F8</x:f>
        <x:v>4673.09897608492</x:v>
      </x:c>
      <x:c r="C118" s="34" t="n">
        <x:f>'価格データ'!K17</x:f>
        <x:v>23261.28586208269</x:v>
      </x:c>
      <x:c r="D118" s="34" t="n">
        <x:f>'GDPと為替'!E8</x:f>
        <x:v>5059.62596411213</x:v>
      </x:c>
      <x:c r="E118" s="34" t="n">
        <x:f>'価格データ'!L17</x:f>
        <x:v>4.977700232998442</x:v>
      </x:c>
      <x:c r="F118" s="2"/>
      <x:c r="G118" s="37" t="str">
        <x:v>ドイツ</x:v>
      </x:c>
      <x:c r="H118" s="24" t="n">
        <x:f>'価格データ'!K42/1000</x:f>
        <x:v>36.049531</x:v>
      </x:c>
      <x:c r="I118" s="24" t="n">
        <x:f>'価格データ'!K43/1000</x:f>
        <x:v>41.684031000000004</x:v>
      </x:c>
      <x:c r="J118" s="2"/>
      <x:c r="K118" s="2"/>
      <x:c r="L118" s="2"/>
      <x:c r="M118" s="2"/>
      <x:c r="N118" s="2"/>
      <x:c r="O118" s="2"/>
      <x:c r="P118" s="2"/>
      <x:c r="Q118" s="2"/>
    </x:row>
    <x:row r="119" ht="25" customHeight="1">
      <x:c r="A119" s="36" t="str">
        <x:v>フィリピン</x:v>
      </x:c>
      <x:c r="B119" s="34" t="n">
        <x:f>'GDPと為替'!F9</x:f>
        <x:v>3822.7105601098206</x:v>
      </x:c>
      <x:c r="C119" s="34" t="n">
        <x:f>'価格データ'!K22</x:f>
        <x:v>26107.63769058867</x:v>
      </x:c>
      <x:c r="D119" s="34" t="n">
        <x:f>'GDPと為替'!E9</x:f>
        <x:v>4170.72347271451</x:v>
      </x:c>
      <x:c r="E119" s="34" t="n">
        <x:f>'価格データ'!L22</x:f>
        <x:v>6.829614034351227</x:v>
      </x:c>
      <x:c r="F119" s="2"/>
      <x:c r="G119" s="37" t="str">
        <x:v>ブラジル</x:v>
      </x:c>
      <x:c r="H119" s="24" t="n">
        <x:f>'価格データ'!K46/1000</x:f>
        <x:v>40.23277133825079</x:v>
      </x:c>
      <x:c r="I119" s="24" t="n">
        <x:f>'価格データ'!K47/1000</x:f>
        <x:v>43.06858798735511</x:v>
      </x:c>
      <x:c r="J119" s="2"/>
      <x:c r="K119" s="2"/>
      <x:c r="L119" s="2"/>
      <x:c r="M119" s="2"/>
      <x:c r="N119" s="2"/>
      <x:c r="O119" s="2"/>
      <x:c r="P119" s="2"/>
      <x:c r="Q119" s="2"/>
    </x:row>
    <x:row r="120" ht="25" customHeight="1">
      <x:c r="A120" s="36" t="str">
        <x:v>マレーシア</x:v>
      </x:c>
      <x:c r="B120" s="34" t="n">
        <x:f>'GDPと為替'!F10</x:f>
        <x:v>13765.237531731245</x:v>
      </x:c>
      <x:c r="C120" s="34" t="n">
        <x:f>'価格データ'!K27</x:f>
        <x:v>30795.503323630364</x:v>
      </x:c>
      <x:c r="D120" s="34" t="n">
        <x:f>'GDPと為替'!E10</x:f>
        <x:v>13124.5554178269</x:v>
      </x:c>
      <x:c r="E120" s="34" t="n">
        <x:f>'価格データ'!L27</x:f>
        <x:v>2.237193746394962</x:v>
      </x:c>
      <x:c r="F120" s="2"/>
      <x:c r="G120" s="37" t="str">
        <x:v>豪州</x:v>
      </x:c>
      <x:c r="H120" s="24" t="n">
        <x:f>'価格データ'!K50/1000</x:f>
        <x:v>27.57204522924411</x:v>
      </x:c>
      <x:c r="I120" s="24" t="n">
        <x:f>'価格データ'!K51/1000</x:f>
        <x:v>26.140728624535313</x:v>
      </x:c>
      <x:c r="J120" s="2"/>
      <x:c r="K120" s="2"/>
      <x:c r="L120" s="2"/>
      <x:c r="M120" s="2"/>
      <x:c r="N120" s="2"/>
      <x:c r="O120" s="2"/>
      <x:c r="P120" s="2"/>
      <x:c r="Q120" s="2"/>
    </x:row>
    <x:row r="121" ht="25" customHeight="1">
      <x:c r="A121" s="36" t="str">
        <x:v>シンガポール</x:v>
      </x:c>
      <x:c r="B121" s="34" t="n">
        <x:f>'GDPと為替'!F11</x:f>
        <x:v>101159.74007767838</x:v>
      </x:c>
      <x:c r="C121" s="34" t="n">
        <x:f>'価格データ'!K32</x:f>
        <x:v>201144.44635908838</x:v>
      </x:c>
      <x:c r="D121" s="34" t="n">
        <x:f>'GDPと為替'!E11</x:f>
        <x:v>98813.9788172877</x:v>
      </x:c>
      <x:c r="E121" s="34" t="n">
        <x:f>'価格データ'!L32</x:f>
        <x:v>1.9883843731175455</x:v>
      </x:c>
      <x:c r="F121" s="2"/>
      <x:c r="G121" s="36"/>
      <x:c r="H121" s="24"/>
      <x:c r="I121" s="24"/>
      <x:c r="J121" s="2"/>
      <x:c r="K121" s="2"/>
      <x:c r="L121" s="2"/>
      <x:c r="M121" s="2"/>
      <x:c r="N121" s="2"/>
      <x:c r="O121" s="2"/>
      <x:c r="P121" s="2"/>
      <x:c r="Q121" s="2"/>
    </x:row>
    <x:row r="122" ht="25" customHeight="1">
      <x:c r="A122" s="36" t="str">
        <x:v>中国</x:v>
      </x:c>
      <x:c r="B122" s="34" t="n">
        <x:f>'GDPと為替'!F12</x:f>
        <x:v>14865.2606091394</x:v>
      </x:c>
      <x:c r="C122" s="34" t="n">
        <x:f>'価格データ'!K37</x:f>
        <x:v>17883.276861582446</x:v>
      </x:c>
      <x:c r="D122" s="34" t="n">
        <x:f>'GDPと為替'!E12</x:f>
        <x:v>13861.970224368</x:v>
      </x:c>
      <x:c r="E122" s="34" t="n">
        <x:f>'価格データ'!L37</x:f>
        <x:v>1.2030247791678488</x:v>
      </x:c>
      <x:c r="F122" s="2"/>
      <x:c r="G122" s="36"/>
      <x:c r="H122" s="24"/>
      <x:c r="I122" s="24"/>
      <x:c r="J122" s="2"/>
      <x:c r="K122" s="2"/>
      <x:c r="L122" s="2"/>
      <x:c r="M122" s="2"/>
      <x:c r="N122" s="2"/>
      <x:c r="O122" s="2"/>
      <x:c r="P122" s="2"/>
      <x:c r="Q122" s="2"/>
    </x:row>
    <x:row r="123" ht="25" customHeight="1">
      <x:c r="A123" s="36" t="str">
        <x:v>ドイツ</x:v>
      </x:c>
      <x:c r="B123" s="34" t="n">
        <x:f>'GDPと為替'!F13</x:f>
        <x:v>60331.3717225622</x:v>
      </x:c>
      <x:c r="C123" s="34" t="n">
        <x:f>'価格データ'!K41</x:f>
        <x:v>50699.231</x:v>
      </x:c>
      <x:c r="D123" s="34" t="n">
        <x:f>'GDPと為替'!E13</x:f>
        <x:v>60496.4350820414</x:v>
      </x:c>
      <x:c r="E123" s="34" t="n">
        <x:f>'価格データ'!L41</x:f>
        <x:v>0.8403460679320166</x:v>
      </x:c>
      <x:c r="F123" s="2"/>
      <x:c r="G123" s="36"/>
      <x:c r="H123" s="24"/>
      <x:c r="I123" s="24"/>
      <x:c r="J123" s="2"/>
      <x:c r="K123" s="2"/>
      <x:c r="L123" s="2"/>
      <x:c r="M123" s="2"/>
      <x:c r="N123" s="2"/>
      <x:c r="O123" s="2"/>
      <x:c r="P123" s="2"/>
      <x:c r="Q123" s="2"/>
    </x:row>
    <x:row r="124" ht="25" customHeight="1">
      <x:c r="A124" s="36" t="str">
        <x:v>ブラジル</x:v>
      </x:c>
      <x:c r="B124" s="34" t="n">
        <x:f>'GDPと為替'!F14</x:f>
        <x:v>12047.328246940044</x:v>
      </x:c>
      <x:c r="C124" s="34" t="n">
        <x:f>'価格データ'!K45</x:f>
        <x:v>54339.39936775553</x:v>
      </x:c>
      <x:c r="D124" s="34" t="n">
        <x:f>'GDPと為替'!E14</x:f>
        <x:v>10713.2856869511</x:v>
      </x:c>
      <x:c r="E124" s="34" t="n">
        <x:f>'価格データ'!L45</x:f>
        <x:v>4.510493800279531</x:v>
      </x:c>
      <x:c r="F124" s="2"/>
      <x:c r="G124" s="36"/>
      <x:c r="H124" s="24"/>
      <x:c r="I124" s="24"/>
      <x:c r="J124" s="2"/>
      <x:c r="K124" s="2"/>
      <x:c r="L124" s="2"/>
      <x:c r="M124" s="2"/>
      <x:c r="N124" s="2"/>
      <x:c r="O124" s="2"/>
      <x:c r="P124" s="2"/>
      <x:c r="Q124" s="2"/>
    </x:row>
    <x:row r="125" ht="25" customHeight="1">
      <x:c r="A125" s="36" t="str">
        <x:v>豪州</x:v>
      </x:c>
      <x:c r="B125" s="34" t="n">
        <x:f>'GDPと為替'!F15</x:f>
        <x:v>70261.6774435577</x:v>
      </x:c>
      <x:c r="C125" s="34" t="n">
        <x:f>'価格データ'!K49</x:f>
        <x:v>27921.146840148696</x:v>
      </x:c>
      <x:c r="D125" s="34" t="n">
        <x:f>'GDPと為替'!E15</x:f>
        <x:v>65129.7227990563</x:v>
      </x:c>
      <x:c r="E125" s="34" t="n">
        <x:f>'価格データ'!L49</x:f>
        <x:v>0.397387990951087</x:v>
      </x:c>
      <x:c r="F125" s="2"/>
      <x:c r="G125" s="36" t="str">
        <x:v>国</x:v>
      </x:c>
      <x:c r="H125" s="24" t="str">
        <x:v>Dolphin BEV</x:v>
      </x:c>
      <x:c r="I125" s="24" t="str">
        <x:v>Toyota HEV</x:v>
      </x:c>
      <x:c r="J125" s="2"/>
      <x:c r="K125" s="2"/>
      <x:c r="L125" s="2"/>
      <x:c r="M125" s="2"/>
      <x:c r="N125" s="2"/>
      <x:c r="O125" s="2"/>
      <x:c r="P125" s="2"/>
      <x:c r="Q125" s="2"/>
    </x:row>
    <x:row r="126" ht="25" customHeight="1">
      <x:c r="A126" s="36"/>
      <x:c r="B126" s="34"/>
      <x:c r="C126" s="34"/>
      <x:c r="D126" s="34"/>
      <x:c r="E126" s="34"/>
      <x:c r="F126" s="2"/>
      <x:c r="G126" s="37" t="str">
        <x:v>ベトナム</x:v>
      </x:c>
      <x:c r="H126" s="24" t="n">
        <x:f>'価格データ'!L6</x:f>
        <x:v>4.4996490691589806</x:v>
      </x:c>
      <x:c r="I126" s="24" t="n">
        <x:f>'価格データ'!L9</x:f>
        <x:v>6.840415544503546</x:v>
      </x:c>
      <x:c r="J126" s="2"/>
      <x:c r="K126" s="2"/>
      <x:c r="L126" s="2"/>
      <x:c r="M126" s="2"/>
      <x:c r="N126" s="2"/>
      <x:c r="O126" s="2"/>
      <x:c r="P126" s="2"/>
      <x:c r="Q126" s="2"/>
    </x:row>
    <x:row r="127" ht="25" customHeight="1">
      <x:c r="A127" s="36"/>
      <x:c r="B127" s="34"/>
      <x:c r="C127" s="34"/>
      <x:c r="D127" s="34"/>
      <x:c r="E127" s="34"/>
      <x:c r="F127" s="2"/>
      <x:c r="G127" s="37" t="str">
        <x:v>タイ</x:v>
      </x:c>
      <x:c r="H127" s="24" t="n">
        <x:f>'価格データ'!L11</x:f>
        <x:v>2.2644363215278576</x:v>
      </x:c>
      <x:c r="I127" s="24" t="n">
        <x:f>'価格データ'!L14</x:f>
        <x:v>3.7331680646625287</x:v>
      </x:c>
      <x:c r="J127" s="2"/>
      <x:c r="K127" s="2"/>
      <x:c r="L127" s="2"/>
      <x:c r="M127" s="2"/>
      <x:c r="N127" s="2"/>
      <x:c r="O127" s="2"/>
      <x:c r="P127" s="2"/>
      <x:c r="Q127" s="2"/>
    </x:row>
    <x:row r="128" ht="25" customHeight="1">
      <x:c r="A128" s="36" t="str">
        <x:v>市場</x:v>
      </x:c>
      <x:c r="B128" s="34" t="str">
        <x:v>Atto 3 / Yuan Plus GDP*</x:v>
      </x:c>
      <x:c r="C128" s="34" t="str">
        <x:v>Atto 3 / Yuan Plus 価格USD</x:v>
      </x:c>
      <x:c r="D128" s="34" t="str">
        <x:v>WB公表 GDP USD</x:v>
      </x:c>
      <x:c r="E128" s="34" t="str">
        <x:v>GDP比</x:v>
      </x:c>
      <x:c r="F128" s="2"/>
      <x:c r="G128" s="37" t="str">
        <x:v>インドネシア</x:v>
      </x:c>
      <x:c r="H128" s="24" t="n">
        <x:f>'価格データ'!L16</x:f>
        <x:v>4.425955146931146</x:v>
      </x:c>
      <x:c r="I128" s="24" t="n">
        <x:f>'価格データ'!L19</x:f>
        <x:v>7.273439569374109</x:v>
      </x:c>
      <x:c r="J128" s="2"/>
      <x:c r="K128" s="2"/>
      <x:c r="L128" s="2"/>
      <x:c r="M128" s="2"/>
      <x:c r="N128" s="2"/>
      <x:c r="O128" s="2"/>
      <x:c r="P128" s="2"/>
      <x:c r="Q128" s="2"/>
    </x:row>
    <x:row r="129" ht="25" customHeight="1">
      <x:c r="A129" s="36" t="str">
        <x:v>ベトナム</x:v>
      </x:c>
      <x:c r="B129" s="34" t="n">
        <x:f>'GDPと為替'!F6</x:f>
        <x:v>4930.953633724859</x:v>
      </x:c>
      <x:c r="C129" s="34" t="n">
        <x:f>'価格データ'!K7</x:f>
        <x:v>29869.37024761162</x:v>
      </x:c>
      <x:c r="D129" s="34" t="n">
        <x:f>'GDPと為替'!E6</x:f>
        <x:v>5065.99091899299</x:v>
      </x:c>
      <x:c r="E129" s="34" t="n">
        <x:f>'価格データ'!L7</x:f>
        <x:v>6.057524054438979</x:v>
      </x:c>
      <x:c r="F129" s="2"/>
      <x:c r="G129" s="37" t="str">
        <x:v>フィリピン</x:v>
      </x:c>
      <x:c r="H129" s="24" t="n">
        <x:f>'価格データ'!L21</x:f>
        <x:v>5.995717326860235</x:v>
      </x:c>
      <x:c r="I129" s="24" t="n">
        <x:f>'価格データ'!L24</x:f>
        <x:v>6.312598075706812</x:v>
      </x:c>
      <x:c r="J129" s="2"/>
      <x:c r="K129" s="2"/>
      <x:c r="L129" s="2"/>
      <x:c r="M129" s="2"/>
      <x:c r="N129" s="2"/>
      <x:c r="O129" s="2"/>
      <x:c r="P129" s="2"/>
      <x:c r="Q129" s="2"/>
    </x:row>
    <x:row r="130" ht="25" customHeight="1">
      <x:c r="A130" s="36" t="str">
        <x:v>タイ</x:v>
      </x:c>
      <x:c r="B130" s="34" t="n">
        <x:f>'GDPと為替'!F7</x:f>
        <x:v>7890.398030013614</x:v>
      </x:c>
      <x:c r="C130" s="34" t="n">
        <x:f>'価格データ'!K12</x:f>
        <x:v>23824.064647425734</x:v>
      </x:c>
      <x:c r="D130" s="34" t="n">
        <x:f>'GDPと為替'!E7</x:f>
        <x:v>8056.56359761558</x:v>
      </x:c>
      <x:c r="E130" s="34" t="n">
        <x:f>'価格データ'!L12</x:f>
        <x:v>3.0193742516921707</x:v>
      </x:c>
      <x:c r="F130" s="2"/>
      <x:c r="G130" s="37" t="str">
        <x:v>マレーシア</x:v>
      </x:c>
      <x:c r="H130" s="24" t="n">
        <x:f>'価格データ'!L26</x:f>
        <x:v>1.7783734073091906</x:v>
      </x:c>
      <x:c r="I130" s="24" t="n">
        <x:f>'価格データ'!L29</x:f>
        <x:v>2.5039497574913403</x:v>
      </x:c>
      <x:c r="J130" s="2"/>
      <x:c r="K130" s="2"/>
      <x:c r="L130" s="2"/>
      <x:c r="M130" s="2"/>
      <x:c r="N130" s="2"/>
      <x:c r="O130" s="2"/>
      <x:c r="P130" s="2"/>
      <x:c r="Q130" s="2"/>
    </x:row>
    <x:row r="131" ht="25" customHeight="1">
      <x:c r="A131" s="36" t="str">
        <x:v>インドネシア</x:v>
      </x:c>
      <x:c r="B131" s="34" t="n">
        <x:f>'GDPと為替'!F8</x:f>
        <x:v>4673.09897608492</x:v>
      </x:c>
      <x:c r="C131" s="34" t="n">
        <x:f>'価格データ'!K17</x:f>
        <x:v>23261.28586208269</x:v>
      </x:c>
      <x:c r="D131" s="34" t="n">
        <x:f>'GDPと為替'!E8</x:f>
        <x:v>5059.62596411213</x:v>
      </x:c>
      <x:c r="E131" s="34" t="n">
        <x:f>'価格データ'!L17</x:f>
        <x:v>4.977700232998442</x:v>
      </x:c>
      <x:c r="F131" s="2"/>
      <x:c r="G131" s="37" t="str">
        <x:v>中国</x:v>
      </x:c>
      <x:c r="H131" s="24" t="n">
        <x:f>'価格データ'!L36</x:f>
        <x:v>1.0013500663965913</x:v>
      </x:c>
      <x:c r="I131" s="24" t="n">
        <x:f>'価格データ'!L39</x:f>
        <x:v>1.4026927783791932</x:v>
      </x:c>
      <x:c r="J131" s="2"/>
      <x:c r="K131" s="2"/>
      <x:c r="L131" s="2"/>
      <x:c r="M131" s="2"/>
      <x:c r="N131" s="2"/>
      <x:c r="O131" s="2"/>
      <x:c r="P131" s="2"/>
      <x:c r="Q131" s="2"/>
    </x:row>
    <x:row r="132" ht="25" customHeight="1">
      <x:c r="A132" s="36" t="str">
        <x:v>フィリピン</x:v>
      </x:c>
      <x:c r="B132" s="34" t="n">
        <x:f>'GDPと為替'!F9</x:f>
        <x:v>3822.7105601098206</x:v>
      </x:c>
      <x:c r="C132" s="34" t="n">
        <x:f>'価格データ'!K22</x:f>
        <x:v>26107.63769058867</x:v>
      </x:c>
      <x:c r="D132" s="34" t="n">
        <x:f>'GDPと為替'!E9</x:f>
        <x:v>4170.72347271451</x:v>
      </x:c>
      <x:c r="E132" s="34" t="n">
        <x:f>'価格データ'!L22</x:f>
        <x:v>6.829614034351227</x:v>
      </x:c>
      <x:c r="F132" s="2"/>
      <x:c r="G132" s="37" t="str">
        <x:v>ドイツ</x:v>
      </x:c>
      <x:c r="H132" s="24" t="n">
        <x:f>'価格データ'!L40</x:f>
        <x:v>0.63488248164057</x:v>
      </x:c>
      <x:c r="I132" s="24" t="n">
        <x:f>'価格データ'!L43</x:f>
        <x:v>0.6909180051746009</x:v>
      </x:c>
      <x:c r="J132" s="2"/>
      <x:c r="K132" s="2"/>
      <x:c r="L132" s="2"/>
      <x:c r="M132" s="2"/>
      <x:c r="N132" s="2"/>
      <x:c r="O132" s="2"/>
      <x:c r="P132" s="2"/>
      <x:c r="Q132" s="2"/>
    </x:row>
    <x:row r="133" ht="25" customHeight="1">
      <x:c r="A133" s="36" t="str">
        <x:v>マレーシア</x:v>
      </x:c>
      <x:c r="B133" s="34" t="n">
        <x:f>'GDPと為替'!F10</x:f>
        <x:v>13765.237531731245</x:v>
      </x:c>
      <x:c r="C133" s="34" t="n">
        <x:f>'価格データ'!K27</x:f>
        <x:v>30795.503323630364</x:v>
      </x:c>
      <x:c r="D133" s="34" t="n">
        <x:f>'GDPと為替'!E10</x:f>
        <x:v>13124.5554178269</x:v>
      </x:c>
      <x:c r="E133" s="34" t="n">
        <x:f>'価格データ'!L27</x:f>
        <x:v>2.237193746394962</x:v>
      </x:c>
      <x:c r="F133" s="2"/>
      <x:c r="G133" s="37" t="str">
        <x:v>ブラジル</x:v>
      </x:c>
      <x:c r="H133" s="24" t="n">
        <x:f>'価格データ'!L44</x:f>
        <x:v>2.5057556394826728</x:v>
      </x:c>
      <x:c r="I133" s="24" t="n">
        <x:f>'価格データ'!L47</x:f>
        <x:v>3.574949325240997</x:v>
      </x:c>
      <x:c r="J133" s="2"/>
      <x:c r="K133" s="2"/>
      <x:c r="L133" s="2"/>
      <x:c r="M133" s="2"/>
      <x:c r="N133" s="2"/>
      <x:c r="O133" s="2"/>
      <x:c r="P133" s="2"/>
      <x:c r="Q133" s="2"/>
    </x:row>
    <x:row r="134" ht="25" customHeight="1">
      <x:c r="A134" s="36" t="str">
        <x:v>中国</x:v>
      </x:c>
      <x:c r="B134" s="34" t="n">
        <x:f>'GDPと為替'!F12</x:f>
        <x:v>14865.2606091394</x:v>
      </x:c>
      <x:c r="C134" s="34" t="n">
        <x:f>'価格データ'!K37</x:f>
        <x:v>17883.276861582446</x:v>
      </x:c>
      <x:c r="D134" s="34" t="n">
        <x:f>'GDPと為替'!E12</x:f>
        <x:v>13861.970224368</x:v>
      </x:c>
      <x:c r="E134" s="34" t="n">
        <x:f>'価格データ'!L37</x:f>
        <x:v>1.2030247791678488</x:v>
      </x:c>
      <x:c r="F134" s="2"/>
      <x:c r="G134" s="37" t="str">
        <x:v>豪州</x:v>
      </x:c>
      <x:c r="H134" s="24" t="n">
        <x:f>'価格データ'!L48</x:f>
        <x:v>0.29801615025314077</x:v>
      </x:c>
      <x:c r="I134" s="24" t="n">
        <x:f>'価格データ'!L51</x:f>
        <x:v>0.3720481715731107</x:v>
      </x:c>
      <x:c r="J134" s="2"/>
      <x:c r="K134" s="2"/>
      <x:c r="L134" s="2"/>
      <x:c r="M134" s="2"/>
      <x:c r="N134" s="2"/>
      <x:c r="O134" s="2"/>
      <x:c r="P134" s="2"/>
      <x:c r="Q134" s="2"/>
    </x:row>
    <x:row r="135" ht="25" customHeight="1">
      <x:c r="A135" s="36" t="str">
        <x:v>ドイツ</x:v>
      </x:c>
      <x:c r="B135" s="34" t="n">
        <x:f>'GDPと為替'!F13</x:f>
        <x:v>60331.3717225622</x:v>
      </x:c>
      <x:c r="C135" s="34" t="n">
        <x:f>'価格データ'!K41</x:f>
        <x:v>50699.231</x:v>
      </x:c>
      <x:c r="D135" s="34" t="n">
        <x:f>'GDPと為替'!E13</x:f>
        <x:v>60496.4350820414</x:v>
      </x:c>
      <x:c r="E135" s="34" t="n">
        <x:f>'価格データ'!L41</x:f>
        <x:v>0.8403460679320166</x:v>
      </x:c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</x:row>
    <x:row r="136" ht="25" customHeight="1">
      <x:c r="A136" s="36" t="str">
        <x:v>ブラジル</x:v>
      </x:c>
      <x:c r="B136" s="34" t="n">
        <x:f>'GDPと為替'!F14</x:f>
        <x:v>12047.328246940044</x:v>
      </x:c>
      <x:c r="C136" s="34" t="n">
        <x:f>'価格データ'!K45</x:f>
        <x:v>54339.39936775553</x:v>
      </x:c>
      <x:c r="D136" s="34" t="n">
        <x:f>'GDPと為替'!E14</x:f>
        <x:v>10713.2856869511</x:v>
      </x:c>
      <x:c r="E136" s="34" t="n">
        <x:f>'価格データ'!L45</x:f>
        <x:v>4.510493800279531</x:v>
      </x:c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</x:row>
    <x:row r="137" ht="25" customHeight="1">
      <x:c r="A137" s="36" t="str">
        <x:v>豪州</x:v>
      </x:c>
      <x:c r="B137" s="34" t="n">
        <x:f>'GDPと為替'!F15</x:f>
        <x:v>70261.6774435577</x:v>
      </x:c>
      <x:c r="C137" s="34" t="n">
        <x:f>'価格データ'!K49</x:f>
        <x:v>27921.146840148696</x:v>
      </x:c>
      <x:c r="D137" s="34" t="n">
        <x:f>'GDPと為替'!E15</x:f>
        <x:v>65129.7227990563</x:v>
      </x:c>
      <x:c r="E137" s="34" t="n">
        <x:f>'価格データ'!L49</x:f>
        <x:v>0.397387990951087</x:v>
      </x:c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</x:row>
    <x:row r="138" ht="25" customHeight="1">
      <x:c r="A138" s="36"/>
      <x:c r="B138" s="34"/>
      <x:c r="C138" s="34"/>
      <x:c r="D138" s="34"/>
      <x:c r="E138" s="34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</x:row>
    <x:row r="139" ht="25" customHeight="1">
      <x:c r="A139" s="36"/>
      <x:c r="B139" s="34"/>
      <x:c r="C139" s="34"/>
      <x:c r="D139" s="34"/>
      <x:c r="E139" s="34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</x:row>
    <x:row r="140" ht="25" customHeight="1">
      <x:c r="A140" s="36" t="str">
        <x:v>市場</x:v>
      </x:c>
      <x:c r="B140" s="34" t="str">
        <x:v>Atto 3 / Yuan Plus GDP*</x:v>
      </x:c>
      <x:c r="C140" s="34" t="str">
        <x:v>Atto 3 / Yuan Plus 価格USD</x:v>
      </x:c>
      <x:c r="D140" s="34" t="str">
        <x:v>WB公表 GDP USD</x:v>
      </x:c>
      <x:c r="E140" s="34" t="str">
        <x:v>GDP比</x:v>
      </x:c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</x:row>
    <x:row r="141" ht="25" customHeight="1">
      <x:c r="A141" s="36" t="str">
        <x:v>ベトナム</x:v>
      </x:c>
      <x:c r="B141" s="34" t="n">
        <x:f>'GDPと為替'!F6</x:f>
        <x:v>4930.953633724859</x:v>
      </x:c>
      <x:c r="C141" s="34" t="n">
        <x:f>'価格データ'!K7</x:f>
        <x:v>29869.37024761162</x:v>
      </x:c>
      <x:c r="D141" s="34" t="n">
        <x:f>'GDPと為替'!E6</x:f>
        <x:v>5065.99091899299</x:v>
      </x:c>
      <x:c r="E141" s="34" t="n">
        <x:f>'価格データ'!L7</x:f>
        <x:v>6.057524054438979</x:v>
      </x:c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</x:row>
    <x:row r="142" ht="25" customHeight="1">
      <x:c r="A142" s="36" t="str">
        <x:v>タイ</x:v>
      </x:c>
      <x:c r="B142" s="34" t="n">
        <x:f>'GDPと為替'!F7</x:f>
        <x:v>7890.398030013614</x:v>
      </x:c>
      <x:c r="C142" s="34" t="n">
        <x:f>'価格データ'!K12</x:f>
        <x:v>23824.064647425734</x:v>
      </x:c>
      <x:c r="D142" s="34" t="n">
        <x:f>'GDPと為替'!E7</x:f>
        <x:v>8056.56359761558</x:v>
      </x:c>
      <x:c r="E142" s="34" t="n">
        <x:f>'価格データ'!L12</x:f>
        <x:v>3.0193742516921707</x:v>
      </x:c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</x:row>
    <x:row r="143" ht="25" customHeight="1">
      <x:c r="A143" s="36" t="str">
        <x:v>インドネシア</x:v>
      </x:c>
      <x:c r="B143" s="34" t="n">
        <x:f>'GDPと為替'!F8</x:f>
        <x:v>4673.09897608492</x:v>
      </x:c>
      <x:c r="C143" s="34" t="n">
        <x:f>'価格データ'!K17</x:f>
        <x:v>23261.28586208269</x:v>
      </x:c>
      <x:c r="D143" s="34" t="n">
        <x:f>'GDPと為替'!E8</x:f>
        <x:v>5059.62596411213</x:v>
      </x:c>
      <x:c r="E143" s="34" t="n">
        <x:f>'価格データ'!L17</x:f>
        <x:v>4.977700232998442</x:v>
      </x:c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</x:row>
    <x:row r="144" ht="25" customHeight="1">
      <x:c r="A144" s="36" t="str">
        <x:v>フィリピン</x:v>
      </x:c>
      <x:c r="B144" s="34" t="n">
        <x:f>'GDPと為替'!F9</x:f>
        <x:v>3822.7105601098206</x:v>
      </x:c>
      <x:c r="C144" s="34" t="n">
        <x:f>'価格データ'!K22</x:f>
        <x:v>26107.63769058867</x:v>
      </x:c>
      <x:c r="D144" s="34" t="n">
        <x:f>'GDPと為替'!E9</x:f>
        <x:v>4170.72347271451</x:v>
      </x:c>
      <x:c r="E144" s="34" t="n">
        <x:f>'価格データ'!L22</x:f>
        <x:v>6.829614034351227</x:v>
      </x:c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</x:row>
    <x:row r="145" ht="25" customHeight="1">
      <x:c r="A145" s="36" t="str">
        <x:v>マレーシア</x:v>
      </x:c>
      <x:c r="B145" s="34" t="n">
        <x:f>'GDPと為替'!F10</x:f>
        <x:v>13765.237531731245</x:v>
      </x:c>
      <x:c r="C145" s="34" t="n">
        <x:f>'価格データ'!K27</x:f>
        <x:v>30795.503323630364</x:v>
      </x:c>
      <x:c r="D145" s="34" t="n">
        <x:f>'GDPと為替'!E10</x:f>
        <x:v>13124.5554178269</x:v>
      </x:c>
      <x:c r="E145" s="34" t="n">
        <x:f>'価格データ'!L27</x:f>
        <x:v>2.237193746394962</x:v>
      </x:c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</x:row>
    <x:row r="146" ht="25" customHeight="1">
      <x:c r="A146" s="36"/>
      <x:c r="B146" s="34"/>
      <x:c r="C146" s="34"/>
      <x:c r="D146" s="34"/>
      <x:c r="E146" s="34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</x:row>
    <x:row r="147" ht="25" customHeight="1">
      <x:c r="A147" s="36"/>
      <x:c r="B147" s="34"/>
      <x:c r="C147" s="34"/>
      <x:c r="D147" s="34"/>
      <x:c r="E147" s="34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</x:row>
    <x:row r="148" ht="25" customHeight="1">
      <x:c r="A148" s="36" t="str">
        <x:v>市場</x:v>
      </x:c>
      <x:c r="B148" s="34" t="str">
        <x:v>Corolla Cross HEV GDP*</x:v>
      </x:c>
      <x:c r="C148" s="34" t="str">
        <x:v>Corolla Cross HEV 価格USD</x:v>
      </x:c>
      <x:c r="D148" s="34" t="str">
        <x:v>WB公表 GDP USD</x:v>
      </x:c>
      <x:c r="E148" s="34" t="str">
        <x:v>GDP比</x:v>
      </x:c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</x:row>
    <x:row r="149" ht="25" customHeight="1">
      <x:c r="A149" s="36" t="str">
        <x:v>ベトナム</x:v>
      </x:c>
      <x:c r="B149" s="34" t="n">
        <x:f>'GDPと為替'!F6</x:f>
        <x:v>4930.953633724859</x:v>
      </x:c>
      <x:c r="C149" s="34" t="n">
        <x:f>'価格データ'!K9</x:f>
        <x:v>33729.77188535777</x:v>
      </x:c>
      <x:c r="D149" s="34" t="n">
        <x:f>'GDPと為替'!E6</x:f>
        <x:v>5065.99091899299</x:v>
      </x:c>
      <x:c r="E149" s="34" t="n">
        <x:f>'価格データ'!L9</x:f>
        <x:v>6.840415544503546</x:v>
      </x:c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</x:row>
    <x:row r="150" ht="25" customHeight="1">
      <x:c r="A150" s="36" t="str">
        <x:v>タイ</x:v>
      </x:c>
      <x:c r="B150" s="34" t="n">
        <x:f>'GDPと為替'!F7</x:f>
        <x:v>7890.398030013614</x:v>
      </x:c>
      <x:c r="C150" s="34" t="n">
        <x:f>'価格データ'!K14</x:f>
        <x:v>29456.181943122952</x:v>
      </x:c>
      <x:c r="D150" s="34" t="n">
        <x:f>'GDPと為替'!E7</x:f>
        <x:v>8056.56359761558</x:v>
      </x:c>
      <x:c r="E150" s="34" t="n">
        <x:f>'価格データ'!L14</x:f>
        <x:v>3.7331680646625287</x:v>
      </x:c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</x:row>
    <x:row r="151" ht="25" customHeight="1">
      <x:c r="A151" s="36" t="str">
        <x:v>インドネシア</x:v>
      </x:c>
      <x:c r="B151" s="34" t="n">
        <x:f>'GDPと為替'!F8</x:f>
        <x:v>4673.09897608492</x:v>
      </x:c>
      <x:c r="C151" s="34" t="n">
        <x:f>'価格データ'!K19</x:f>
        <x:v>33989.50300425769</x:v>
      </x:c>
      <x:c r="D151" s="34" t="n">
        <x:f>'GDPと為替'!E8</x:f>
        <x:v>5059.62596411213</x:v>
      </x:c>
      <x:c r="E151" s="34" t="n">
        <x:f>'価格データ'!L19</x:f>
        <x:v>7.273439569374109</x:v>
      </x:c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</x:row>
    <x:row r="152" ht="25" customHeight="1">
      <x:c r="A152" s="36" t="str">
        <x:v>フィリピン</x:v>
      </x:c>
      <x:c r="B152" s="34" t="n">
        <x:f>'GDPと為替'!F9</x:f>
        <x:v>3822.7105601098206</x:v>
      </x:c>
      <x:c r="C152" s="34" t="n">
        <x:f>'価格データ'!K24</x:f>
        <x:v>24131.23532573336</x:v>
      </x:c>
      <x:c r="D152" s="34" t="n">
        <x:f>'GDPと為替'!E9</x:f>
        <x:v>4170.72347271451</x:v>
      </x:c>
      <x:c r="E152" s="34" t="n">
        <x:f>'価格データ'!L24</x:f>
        <x:v>6.312598075706812</x:v>
      </x:c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</x:row>
    <x:row r="153" ht="25" customHeight="1">
      <x:c r="A153" s="36" t="str">
        <x:v>マレーシア</x:v>
      </x:c>
      <x:c r="B153" s="34" t="n">
        <x:f>'GDPと為替'!F10</x:f>
        <x:v>13765.237531731245</x:v>
      </x:c>
      <x:c r="C153" s="34" t="n">
        <x:f>'価格データ'!K29</x:f>
        <x:v>34467.46317938915</x:v>
      </x:c>
      <x:c r="D153" s="34" t="n">
        <x:f>'GDPと為替'!E10</x:f>
        <x:v>13124.5554178269</x:v>
      </x:c>
      <x:c r="E153" s="34" t="n">
        <x:f>'価格データ'!L29</x:f>
        <x:v>2.5039497574913403</x:v>
      </x:c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</x:row>
    <x:row r="154" ht="25" customHeight="1">
      <x:c r="A154" s="36" t="str">
        <x:v>中国</x:v>
      </x:c>
      <x:c r="B154" s="34" t="n">
        <x:f>'GDPと為替'!F12</x:f>
        <x:v>14865.2606091394</x:v>
      </x:c>
      <x:c r="C154" s="34" t="n">
        <x:f>'価格データ'!K39</x:f>
        <x:v>20851.39370516452</x:v>
      </x:c>
      <x:c r="D154" s="34" t="n">
        <x:f>'GDPと為替'!E12</x:f>
        <x:v>13861.970224368</x:v>
      </x:c>
      <x:c r="E154" s="34" t="n">
        <x:f>'価格データ'!L39</x:f>
        <x:v>1.4026927783791932</x:v>
      </x:c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</x:row>
    <x:row r="155" ht="25" customHeight="1">
      <x:c r="A155" s="36" t="str">
        <x:v>ドイツ</x:v>
      </x:c>
      <x:c r="B155" s="34" t="n">
        <x:f>'GDPと為替'!F13</x:f>
        <x:v>60331.3717225622</x:v>
      </x:c>
      <x:c r="C155" s="34" t="n">
        <x:f>'価格データ'!K43</x:f>
        <x:v>41684.031</x:v>
      </x:c>
      <x:c r="D155" s="34" t="n">
        <x:f>'GDPと為替'!E13</x:f>
        <x:v>60496.4350820414</x:v>
      </x:c>
      <x:c r="E155" s="34" t="n">
        <x:f>'価格データ'!L43</x:f>
        <x:v>0.6909180051746009</x:v>
      </x:c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</x:row>
    <x:row r="156" ht="25" customHeight="1">
      <x:c r="A156" s="36" t="str">
        <x:v>ブラジル</x:v>
      </x:c>
      <x:c r="B156" s="34" t="n">
        <x:f>'GDPと為替'!F14</x:f>
        <x:v>12047.328246940044</x:v>
      </x:c>
      <x:c r="C156" s="34" t="n">
        <x:f>'価格データ'!K47</x:f>
        <x:v>43068.58798735511</x:v>
      </x:c>
      <x:c r="D156" s="34" t="n">
        <x:f>'GDPと為替'!E14</x:f>
        <x:v>10713.2856869511</x:v>
      </x:c>
      <x:c r="E156" s="34" t="n">
        <x:f>'価格データ'!L47</x:f>
        <x:v>3.574949325240997</x:v>
      </x:c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</x:row>
    <x:row r="157" ht="25" customHeight="1">
      <x:c r="A157" s="36" t="str">
        <x:v>豪州</x:v>
      </x:c>
      <x:c r="B157" s="34" t="n">
        <x:f>'GDPと為替'!F15</x:f>
        <x:v>70261.6774435577</x:v>
      </x:c>
      <x:c r="C157" s="34" t="n">
        <x:f>'価格データ'!K51</x:f>
        <x:v>26140.728624535313</x:v>
      </x:c>
      <x:c r="D157" s="34" t="n">
        <x:f>'GDPと為替'!E15</x:f>
        <x:v>65129.7227990563</x:v>
      </x:c>
      <x:c r="E157" s="34" t="n">
        <x:f>'価格データ'!L51</x:f>
        <x:v>0.3720481715731107</x:v>
      </x:c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</x:row>
    <x:row r="158" ht="25" customHeight="1">
      <x:c r="A158" s="36"/>
      <x:c r="B158" s="34"/>
      <x:c r="C158" s="34"/>
      <x:c r="D158" s="34"/>
      <x:c r="E158" s="34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</x:row>
    <x:row r="159" ht="25" customHeight="1">
      <x:c r="A159" s="36"/>
      <x:c r="B159" s="34"/>
      <x:c r="C159" s="34"/>
      <x:c r="D159" s="34"/>
      <x:c r="E159" s="34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</x:row>
    <x:row r="160" ht="25" customHeight="1">
      <x:c r="A160" s="36" t="str">
        <x:v>市場</x:v>
      </x:c>
      <x:c r="B160" s="34" t="str">
        <x:v>Corolla Cross HEV GDP*</x:v>
      </x:c>
      <x:c r="C160" s="34" t="str">
        <x:v>Corolla Cross HEV 価格USD</x:v>
      </x:c>
      <x:c r="D160" s="34" t="str">
        <x:v>WB公表 GDP USD</x:v>
      </x:c>
      <x:c r="E160" s="34" t="str">
        <x:v>GDP比</x:v>
      </x:c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</x:row>
    <x:row r="161" ht="25" customHeight="1">
      <x:c r="A161" s="36" t="str">
        <x:v>ベトナム</x:v>
      </x:c>
      <x:c r="B161" s="34" t="n">
        <x:f>'GDPと為替'!F6</x:f>
        <x:v>4930.953633724859</x:v>
      </x:c>
      <x:c r="C161" s="34" t="n">
        <x:f>'価格データ'!K9</x:f>
        <x:v>33729.77188535777</x:v>
      </x:c>
      <x:c r="D161" s="34" t="n">
        <x:f>'GDPと為替'!E6</x:f>
        <x:v>5065.99091899299</x:v>
      </x:c>
      <x:c r="E161" s="34" t="n">
        <x:f>'価格データ'!L9</x:f>
        <x:v>6.840415544503546</x:v>
      </x:c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</x:row>
    <x:row r="162" ht="25" customHeight="1">
      <x:c r="A162" s="36" t="str">
        <x:v>タイ</x:v>
      </x:c>
      <x:c r="B162" s="34" t="n">
        <x:f>'GDPと為替'!F7</x:f>
        <x:v>7890.398030013614</x:v>
      </x:c>
      <x:c r="C162" s="34" t="n">
        <x:f>'価格データ'!K14</x:f>
        <x:v>29456.181943122952</x:v>
      </x:c>
      <x:c r="D162" s="34" t="n">
        <x:f>'GDPと為替'!E7</x:f>
        <x:v>8056.56359761558</x:v>
      </x:c>
      <x:c r="E162" s="34" t="n">
        <x:f>'価格データ'!L14</x:f>
        <x:v>3.7331680646625287</x:v>
      </x:c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</x:row>
    <x:row r="163" ht="25" customHeight="1">
      <x:c r="A163" s="36" t="str">
        <x:v>インドネシア</x:v>
      </x:c>
      <x:c r="B163" s="34" t="n">
        <x:f>'GDPと為替'!F8</x:f>
        <x:v>4673.09897608492</x:v>
      </x:c>
      <x:c r="C163" s="34" t="n">
        <x:f>'価格データ'!K19</x:f>
        <x:v>33989.50300425769</x:v>
      </x:c>
      <x:c r="D163" s="34" t="n">
        <x:f>'GDPと為替'!E8</x:f>
        <x:v>5059.62596411213</x:v>
      </x:c>
      <x:c r="E163" s="34" t="n">
        <x:f>'価格データ'!L19</x:f>
        <x:v>7.273439569374109</x:v>
      </x:c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</x:row>
    <x:row r="164" ht="25" customHeight="1">
      <x:c r="A164" s="36" t="str">
        <x:v>フィリピン</x:v>
      </x:c>
      <x:c r="B164" s="34" t="n">
        <x:f>'GDPと為替'!F9</x:f>
        <x:v>3822.7105601098206</x:v>
      </x:c>
      <x:c r="C164" s="34" t="n">
        <x:f>'価格データ'!K24</x:f>
        <x:v>24131.23532573336</x:v>
      </x:c>
      <x:c r="D164" s="34" t="n">
        <x:f>'GDPと為替'!E9</x:f>
        <x:v>4170.72347271451</x:v>
      </x:c>
      <x:c r="E164" s="34" t="n">
        <x:f>'価格データ'!L24</x:f>
        <x:v>6.312598075706812</x:v>
      </x:c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</x:row>
    <x:row r="165" ht="25" customHeight="1">
      <x:c r="A165" s="36" t="str">
        <x:v>マレーシア</x:v>
      </x:c>
      <x:c r="B165" s="34" t="n">
        <x:f>'GDPと為替'!F10</x:f>
        <x:v>13765.237531731245</x:v>
      </x:c>
      <x:c r="C165" s="34" t="n">
        <x:f>'価格データ'!K29</x:f>
        <x:v>34467.46317938915</x:v>
      </x:c>
      <x:c r="D165" s="34" t="n">
        <x:f>'GDPと為替'!E10</x:f>
        <x:v>13124.5554178269</x:v>
      </x:c>
      <x:c r="E165" s="34" t="n">
        <x:f>'価格データ'!L29</x:f>
        <x:v>2.5039497574913403</x:v>
      </x:c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</x:row>
    <x:row r="166" ht="25" customHeight="1">
      <x:c r="A166" s="36" t="str">
        <x:v>中国</x:v>
      </x:c>
      <x:c r="B166" s="34" t="n">
        <x:f>'GDPと為替'!F12</x:f>
        <x:v>14865.2606091394</x:v>
      </x:c>
      <x:c r="C166" s="34" t="n">
        <x:f>'価格データ'!K39</x:f>
        <x:v>20851.39370516452</x:v>
      </x:c>
      <x:c r="D166" s="34" t="n">
        <x:f>'GDPと為替'!E12</x:f>
        <x:v>13861.970224368</x:v>
      </x:c>
      <x:c r="E166" s="34" t="n">
        <x:f>'価格データ'!L39</x:f>
        <x:v>1.4026927783791932</x:v>
      </x:c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</x:row>
    <x:row r="167" ht="25" customHeight="1">
      <x:c r="A167" s="36" t="str">
        <x:v>ドイツ</x:v>
      </x:c>
      <x:c r="B167" s="34" t="n">
        <x:f>'GDPと為替'!F13</x:f>
        <x:v>60331.3717225622</x:v>
      </x:c>
      <x:c r="C167" s="34" t="n">
        <x:f>'価格データ'!K43</x:f>
        <x:v>41684.031</x:v>
      </x:c>
      <x:c r="D167" s="34" t="n">
        <x:f>'GDPと為替'!E13</x:f>
        <x:v>60496.4350820414</x:v>
      </x:c>
      <x:c r="E167" s="34" t="n">
        <x:f>'価格データ'!L43</x:f>
        <x:v>0.6909180051746009</x:v>
      </x:c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</x:row>
    <x:row r="168" ht="25" customHeight="1">
      <x:c r="A168" s="36" t="str">
        <x:v>ブラジル</x:v>
      </x:c>
      <x:c r="B168" s="34" t="n">
        <x:f>'GDPと為替'!F14</x:f>
        <x:v>12047.328246940044</x:v>
      </x:c>
      <x:c r="C168" s="34" t="n">
        <x:f>'価格データ'!K47</x:f>
        <x:v>43068.58798735511</x:v>
      </x:c>
      <x:c r="D168" s="34" t="n">
        <x:f>'GDPと為替'!E14</x:f>
        <x:v>10713.2856869511</x:v>
      </x:c>
      <x:c r="E168" s="34" t="n">
        <x:f>'価格データ'!L47</x:f>
        <x:v>3.574949325240997</x:v>
      </x:c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</x:row>
    <x:row r="169" ht="25" customHeight="1">
      <x:c r="A169" s="36" t="str">
        <x:v>豪州</x:v>
      </x:c>
      <x:c r="B169" s="34" t="n">
        <x:f>'GDPと為替'!F15</x:f>
        <x:v>70261.6774435577</x:v>
      </x:c>
      <x:c r="C169" s="34" t="n">
        <x:f>'価格データ'!K51</x:f>
        <x:v>26140.728624535313</x:v>
      </x:c>
      <x:c r="D169" s="34" t="n">
        <x:f>'GDPと為替'!E15</x:f>
        <x:v>65129.7227990563</x:v>
      </x:c>
      <x:c r="E169" s="34" t="n">
        <x:f>'価格データ'!L51</x:f>
        <x:v>0.3720481715731107</x:v>
      </x:c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</x:row>
    <x:row r="170" ht="25" customHeight="1">
      <x:c r="A170" s="36"/>
      <x:c r="B170" s="34"/>
      <x:c r="C170" s="34"/>
      <x:c r="D170" s="34"/>
      <x:c r="E170" s="34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</x:row>
    <x:row r="171" ht="25" customHeight="1">
      <x:c r="A171" s="36"/>
      <x:c r="B171" s="34"/>
      <x:c r="C171" s="34"/>
      <x:c r="D171" s="34"/>
      <x:c r="E171" s="34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</x:row>
    <x:row r="172" ht="25" customHeight="1">
      <x:c r="A172" s="36" t="str">
        <x:v>市場</x:v>
      </x:c>
      <x:c r="B172" s="34" t="str">
        <x:v>Corolla Cross HEV GDP*</x:v>
      </x:c>
      <x:c r="C172" s="34" t="str">
        <x:v>Corolla Cross HEV 価格USD</x:v>
      </x:c>
      <x:c r="D172" s="34" t="str">
        <x:v>WB公表 GDP USD</x:v>
      </x:c>
      <x:c r="E172" s="34" t="str">
        <x:v>GDP比</x:v>
      </x:c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</x:row>
    <x:row r="173" ht="25" customHeight="1">
      <x:c r="A173" s="36" t="str">
        <x:v>ベトナム</x:v>
      </x:c>
      <x:c r="B173" s="34" t="n">
        <x:f>'GDPと為替'!F6</x:f>
        <x:v>4930.953633724859</x:v>
      </x:c>
      <x:c r="C173" s="34" t="n">
        <x:f>'価格データ'!K9</x:f>
        <x:v>33729.77188535777</x:v>
      </x:c>
      <x:c r="D173" s="34" t="n">
        <x:f>'GDPと為替'!E6</x:f>
        <x:v>5065.99091899299</x:v>
      </x:c>
      <x:c r="E173" s="34" t="n">
        <x:f>'価格データ'!L9</x:f>
        <x:v>6.840415544503546</x:v>
      </x:c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</x:row>
    <x:row r="174" ht="25" customHeight="1">
      <x:c r="A174" s="36" t="str">
        <x:v>タイ</x:v>
      </x:c>
      <x:c r="B174" s="34" t="n">
        <x:f>'GDPと為替'!F7</x:f>
        <x:v>7890.398030013614</x:v>
      </x:c>
      <x:c r="C174" s="34" t="n">
        <x:f>'価格データ'!K14</x:f>
        <x:v>29456.181943122952</x:v>
      </x:c>
      <x:c r="D174" s="34" t="n">
        <x:f>'GDPと為替'!E7</x:f>
        <x:v>8056.56359761558</x:v>
      </x:c>
      <x:c r="E174" s="34" t="n">
        <x:f>'価格データ'!L14</x:f>
        <x:v>3.7331680646625287</x:v>
      </x:c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</x:row>
    <x:row r="175" ht="25" customHeight="1">
      <x:c r="A175" s="36" t="str">
        <x:v>インドネシア</x:v>
      </x:c>
      <x:c r="B175" s="34" t="n">
        <x:f>'GDPと為替'!F8</x:f>
        <x:v>4673.09897608492</x:v>
      </x:c>
      <x:c r="C175" s="34" t="n">
        <x:f>'価格データ'!K19</x:f>
        <x:v>33989.50300425769</x:v>
      </x:c>
      <x:c r="D175" s="34" t="n">
        <x:f>'GDPと為替'!E8</x:f>
        <x:v>5059.62596411213</x:v>
      </x:c>
      <x:c r="E175" s="34" t="n">
        <x:f>'価格データ'!L19</x:f>
        <x:v>7.273439569374109</x:v>
      </x:c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</x:row>
    <x:row r="176" ht="25" customHeight="1">
      <x:c r="A176" s="36" t="str">
        <x:v>フィリピン</x:v>
      </x:c>
      <x:c r="B176" s="34" t="n">
        <x:f>'GDPと為替'!F9</x:f>
        <x:v>3822.7105601098206</x:v>
      </x:c>
      <x:c r="C176" s="34" t="n">
        <x:f>'価格データ'!K24</x:f>
        <x:v>24131.23532573336</x:v>
      </x:c>
      <x:c r="D176" s="34" t="n">
        <x:f>'GDPと為替'!E9</x:f>
        <x:v>4170.72347271451</x:v>
      </x:c>
      <x:c r="E176" s="34" t="n">
        <x:f>'価格データ'!L24</x:f>
        <x:v>6.312598075706812</x:v>
      </x:c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</x:row>
    <x:row r="177" ht="25" customHeight="1">
      <x:c r="A177" s="36" t="str">
        <x:v>マレーシア</x:v>
      </x:c>
      <x:c r="B177" s="34" t="n">
        <x:f>'GDPと為替'!F10</x:f>
        <x:v>13765.237531731245</x:v>
      </x:c>
      <x:c r="C177" s="34" t="n">
        <x:f>'価格データ'!K29</x:f>
        <x:v>34467.46317938915</x:v>
      </x:c>
      <x:c r="D177" s="34" t="n">
        <x:f>'GDPと為替'!E10</x:f>
        <x:v>13124.5554178269</x:v>
      </x:c>
      <x:c r="E177" s="34" t="n">
        <x:f>'価格データ'!L29</x:f>
        <x:v>2.5039497574913403</x:v>
      </x:c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</x:row>
    <x:row r="178" ht="25" customHeight="1">
      <x:c r="A178" s="36"/>
      <x:c r="B178" s="34"/>
      <x:c r="C178" s="34"/>
      <x:c r="D178" s="34"/>
      <x:c r="E178" s="34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</x:row>
    <x:row r="179" ht="25" customHeight="1">
      <x:c r="A179" s="36"/>
      <x:c r="B179" s="34"/>
      <x:c r="C179" s="34"/>
      <x:c r="D179" s="34"/>
      <x:c r="E179" s="34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</x:row>
    <x:row r="180" ht="25" customHeight="1">
      <x:c r="A180" s="36"/>
      <x:c r="B180" s="34"/>
      <x:c r="C180" s="34"/>
      <x:c r="D180" s="34"/>
      <x:c r="E180" s="34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</x:row>
    <x:row r="181" ht="25" customHeight="1">
      <x:c r="A181" s="36"/>
      <x:c r="B181" s="34"/>
      <x:c r="C181" s="34"/>
      <x:c r="D181" s="34"/>
      <x:c r="E181" s="34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</x:row>
    <x:row r="182" ht="25" customHeight="1">
      <x:c r="A182" s="36"/>
      <x:c r="B182" s="34"/>
      <x:c r="C182" s="34"/>
      <x:c r="D182" s="34"/>
      <x:c r="E182" s="34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</x:row>
    <x:row r="183" ht="25" customHeight="1">
      <x:c r="A183" s="36"/>
      <x:c r="B183" s="34"/>
      <x:c r="C183" s="34"/>
      <x:c r="D183" s="34"/>
      <x:c r="E183" s="34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</x:row>
    <x:row r="184" ht="25" customHeight="1">
      <x:c r="A184" s="36"/>
      <x:c r="B184" s="34"/>
      <x:c r="C184" s="34"/>
      <x:c r="D184" s="34"/>
      <x:c r="E184" s="34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</x:row>
    <x:row r="185" ht="25" customHeight="1">
      <x:c r="A185" s="36"/>
      <x:c r="B185" s="34"/>
      <x:c r="C185" s="34"/>
      <x:c r="D185" s="34"/>
      <x:c r="E185" s="34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</x:row>
    <x:row r="186" ht="25" customHeight="1">
      <x:c r="A186" s="36"/>
      <x:c r="B186" s="34"/>
      <x:c r="C186" s="34"/>
      <x:c r="D186" s="34"/>
      <x:c r="E186" s="34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</x:row>
    <x:row r="187" ht="25" customHeight="1">
      <x:c r="A187" s="36"/>
      <x:c r="B187" s="34"/>
      <x:c r="C187" s="34"/>
      <x:c r="D187" s="34"/>
      <x:c r="E187" s="34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</x:row>
    <x:row r="188" ht="25" customHeight="1">
      <x:c r="A188" s="36"/>
      <x:c r="B188" s="34"/>
      <x:c r="C188" s="34"/>
      <x:c r="D188" s="34"/>
      <x:c r="E188" s="34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</x:row>
    <x:row r="189" ht="25" customHeight="1">
      <x:c r="A189" s="36"/>
      <x:c r="B189" s="34"/>
      <x:c r="C189" s="34"/>
      <x:c r="D189" s="34"/>
      <x:c r="E189" s="34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</x:row>
    <x:row r="190" ht="25" customHeight="1">
      <x:c r="A190" s="36"/>
      <x:c r="B190" s="34"/>
      <x:c r="C190" s="34"/>
      <x:c r="D190" s="34"/>
      <x:c r="E190" s="34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</x:row>
  </x:sheetData>
  <x:mergeCells>
    <x:mergeCell ref="A3:Q4"/>
    <x:mergeCell ref="A25:H27"/>
    <x:mergeCell ref="J25:Q27"/>
    <x:mergeCell ref="A50:H52"/>
    <x:mergeCell ref="J50:Q52"/>
    <x:mergeCell ref="F57:Q60"/>
    <x:mergeCell ref="F62:Q66"/>
  </x:mergeCells>
  <x:pageMargins left="0.7" right="0.7" top="0.75" bottom="0.75" header="0.3" footer="0.3"/>
  <x:drawing xmlns:r="http://schemas.openxmlformats.org/officeDocument/2006/relationships" r:id="Rdbd80a492f794a02"/>
</x:worksheet>
</file>

<file path=xl/worksheets/sheet3.xml><?xml version="1.0" encoding="utf-8"?>
<x:worksheet xmlns:x="http://schemas.openxmlformats.org/spreadsheetml/2006/main"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11" hidden="0" customWidth="1"/>
    <x:col min="2" max="2" width="17" hidden="0" customWidth="1"/>
    <x:col min="3" max="3" width="9" hidden="0" customWidth="1"/>
    <x:col min="4" max="4" width="16" hidden="0" customWidth="1"/>
    <x:col min="5" max="5" width="26" hidden="0" customWidth="1"/>
    <x:col min="6" max="6" width="8" hidden="0" customWidth="1"/>
    <x:col min="7" max="7" width="8" hidden="0" customWidth="1"/>
    <x:col min="8" max="8" width="32" hidden="0" customWidth="1"/>
    <x:col min="9" max="9" width="18" hidden="0" customWidth="1"/>
    <x:col min="10" max="10" width="17" hidden="0" customWidth="1"/>
    <x:col min="11" max="11" width="15" hidden="0" customWidth="1"/>
    <x:col min="12" max="12" width="14" hidden="0" customWidth="1"/>
    <x:col min="13" max="13" width="33" hidden="0" customWidth="1"/>
    <x:col min="14" max="14" width="22" hidden="0" customWidth="1"/>
    <x:col min="15" max="15" width="13" hidden="0" customWidth="1"/>
    <x:col min="16" max="16" width="13" hidden="0" customWidth="1"/>
    <x:col min="17" max="17" width="55" hidden="0" customWidth="1"/>
    <x:col min="18" max="18" width="50" hidden="0" customWidth="1"/>
    <x:col min="19" max="19" width="50" hidden="0" customWidth="1"/>
    <x:col min="20" max="20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5" customHeight="1">
      <x:c r="A2" s="3" t="str">
        <x:v>中国車・日本車の新車価格データ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5" customHeight="1">
      <x:c r="A3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B3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C3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D3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E3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F3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G3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H3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I3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J3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K3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L3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M3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N3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O3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P3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Q3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R3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S3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T3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</x:row>
    <x:row r="4" ht="25" customHeight="1">
      <x:c r="A4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B4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C4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D4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E4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F4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G4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H4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I4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J4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K4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L4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M4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N4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O4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P4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Q4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R4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S4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  <x:c r="T4" s="5" t="str">
        <x:v>調査日2026/10/07。標準色・オプションなしのHEV/BEV最安通常価格。前回の中国車3車種を再使用、日本車を追加。MSRPを優先し、公表from・正規店OTR・二次資料による補完は区別。価格は新車、残余価値は今回の対象外。</x:v>
      </x:c>
    </x:row>
    <x:row r="5" ht="44" customHeight="1">
      <x:c r="A5" s="9" t="str">
        <x:v>ID</x:v>
      </x:c>
      <x:c r="B5" s="9" t="str">
        <x:v>国</x:v>
      </x:c>
      <x:c r="C5" s="9" t="str">
        <x:v>通貨</x:v>
      </x:c>
      <x:c r="D5" s="9" t="str">
        <x:v>企業</x:v>
      </x:c>
      <x:c r="E5" s="9" t="str">
        <x:v>モデル系統</x:v>
      </x:c>
      <x:c r="F5" s="9" t="str">
        <x:v>動力</x:v>
      </x:c>
      <x:c r="G5" s="9" t="str">
        <x:v>企業国籍</x:v>
      </x:c>
      <x:c r="H5" s="9" t="str">
        <x:v>最安グレード・現地仕様</x:v>
      </x:c>
      <x:c r="I5" s="9" t="str">
        <x:v>通常価格（現地通貨）</x:v>
      </x:c>
      <x:c r="J5" s="9" t="str">
        <x:v>参考価格（主表除外）</x:v>
      </x:c>
      <x:c r="K5" s="9" t="str">
        <x:v>通常価格USD</x:v>
      </x:c>
      <x:c r="L5" s="9" t="str">
        <x:v>価格/GDP（年分）</x:v>
      </x:c>
      <x:c r="M5" s="9" t="str">
        <x:v>税・費用・価格基準</x:v>
      </x:c>
      <x:c r="N5" s="9" t="str">
        <x:v>出典の種類</x:v>
      </x:c>
      <x:c r="O5" s="9" t="str">
        <x:v>資料日</x:v>
      </x:c>
      <x:c r="P5" s="9" t="str">
        <x:v>確認日</x:v>
      </x:c>
      <x:c r="Q5" s="9" t="str">
        <x:v>条件・比較上の注記</x:v>
      </x:c>
      <x:c r="R5" s="9" t="str">
        <x:v>価格出典URL</x:v>
      </x:c>
      <x:c r="S5" s="9" t="str">
        <x:v>補足URL</x:v>
      </x:c>
      <x:c r="T5" s="9" t="str">
        <x:v>区分</x:v>
      </x:c>
    </x:row>
    <x:row r="6" ht="83" customHeight="1">
      <x:c r="A6" s="2" t="str">
        <x:v>DOL_VN</x:v>
      </x:c>
      <x:c r="B6" s="2" t="str">
        <x:v>ベトナム</x:v>
      </x:c>
      <x:c r="C6" s="2" t="str">
        <x:v>VND</x:v>
      </x:c>
      <x:c r="D6" s="2" t="str">
        <x:v>BYD</x:v>
      </x:c>
      <x:c r="E6" s="2" t="str">
        <x:v>Dolphin</x:v>
      </x:c>
      <x:c r="F6" s="2" t="str">
        <x:v>BEV</x:v>
      </x:c>
      <x:c r="G6" s="2" t="str">
        <x:v>中国</x:v>
      </x:c>
      <x:c r="H6" s="26" t="str">
        <x:v>単一仕様</x:v>
      </x:c>
      <x:c r="I6" s="27" t="n">
        <x:v>569000000</x:v>
      </x:c>
      <x:c r="J6" s="27"/>
      <x:c r="K6" s="28" t="n">
        <x:f>IF(I6="","",I6/'GDPと為替'!H6)</x:f>
        <x:v>22187.56092805615</x:v>
      </x:c>
      <x:c r="L6" s="29" t="n">
        <x:f>IF(I6="","",I6/'GDPと為替'!D6)</x:f>
        <x:v>4.4996490691589806</x:v>
      </x:c>
      <x:c r="M6" s="26" t="str">
        <x:v>通常価格 / 登録費等別</x:v>
      </x:c>
      <x:c r="N6" s="26" t="str">
        <x:v>正規販売店</x:v>
      </x:c>
      <x:c r="O6" s="30" t="d">
        <x:v>2026-09-21T00:00:00.000Z</x:v>
      </x:c>
      <x:c r="P6" s="30" t="d">
        <x:v>2026-10-07T00:00:00.000Z</x:v>
      </x:c>
      <x:c r="Q6" s="26" t="str">
        <x:v>タイ製。先着1,000台499百万VNDの特価は終了。中国・欧州と仕様差あり。</x:v>
      </x:c>
      <x:c r="R6" s="19" t="str">
        <x:v>https://bydgiaiphong.vn/tin-tuc/byd-dolphin-2026-danh-gia-chi-tiet-tu-thiet-ke-den-kha-nang-van-hanh.html</x:v>
      </x:c>
      <x:c r="S6" s="19" t="str">
        <x:v>https://www.bydvn.com.vn/du-toan-chi-phi</x:v>
      </x:c>
      <x:c r="T6" s="26" t="str">
        <x:v>主比較</x:v>
      </x:c>
    </x:row>
    <x:row r="7" ht="83" customHeight="1">
      <x:c r="A7" s="2" t="str">
        <x:v>ATT_VN</x:v>
      </x:c>
      <x:c r="B7" s="2" t="str">
        <x:v>ベトナム</x:v>
      </x:c>
      <x:c r="C7" s="2" t="str">
        <x:v>VND</x:v>
      </x:c>
      <x:c r="D7" s="2" t="str">
        <x:v>BYD</x:v>
      </x:c>
      <x:c r="E7" s="2" t="str">
        <x:v>Atto 3 / Yuan Plus</x:v>
      </x:c>
      <x:c r="F7" s="2" t="str">
        <x:v>BEV</x:v>
      </x:c>
      <x:c r="G7" s="2" t="str">
        <x:v>中国</x:v>
      </x:c>
      <x:c r="H7" s="26" t="str">
        <x:v>最低掲載価格</x:v>
      </x:c>
      <x:c r="I7" s="27" t="n">
        <x:v>766000000</x:v>
      </x:c>
      <x:c r="J7" s="27"/>
      <x:c r="K7" s="28" t="n">
        <x:f>IF(I7="","",I7/'GDPと為替'!H6)</x:f>
        <x:v>29869.37024761162</x:v>
      </x:c>
      <x:c r="L7" s="29" t="n">
        <x:f>IF(I7="","",I7/'GDPと為替'!D6)</x:f>
        <x:v>6.057524054438979</x:v>
      </x:c>
      <x:c r="M7" s="26" t="str">
        <x:v>通常from / 登録費等別</x:v>
      </x:c>
      <x:c r="N7" s="26" t="str">
        <x:v>正規販売店</x:v>
      </x:c>
      <x:c r="O7" s="30"/>
      <x:c r="P7" s="30" t="d">
        <x:v>2026-10-07T00:00:00.000Z</x:v>
      </x:c>
      <x:c r="Q7" s="26" t="str">
        <x:v>BITCARの掲載価格。最安グレード名は当該価格表に記載なし。</x:v>
      </x:c>
      <x:c r="R7" s="19" t="str">
        <x:v>https://www.bydvn.com.vn/du-toan-chi-phi</x:v>
      </x:c>
      <x:c r="S7" s="19" t="str"/>
      <x:c r="T7" s="26" t="str">
        <x:v>主比較</x:v>
      </x:c>
    </x:row>
    <x:row r="8" ht="83" customHeight="1">
      <x:c r="A8" s="2" t="str">
        <x:v>H6_VN</x:v>
      </x:c>
      <x:c r="B8" s="2" t="str">
        <x:v>ベトナム</x:v>
      </x:c>
      <x:c r="C8" s="2" t="str">
        <x:v>VND</x:v>
      </x:c>
      <x:c r="D8" s="2" t="str">
        <x:v>GWM / Haval</x:v>
      </x:c>
      <x:c r="E8" s="2" t="str">
        <x:v>Haval H6 HEV</x:v>
      </x:c>
      <x:c r="F8" s="2" t="str">
        <x:v>HEV</x:v>
      </x:c>
      <x:c r="G8" s="2" t="str">
        <x:v>中国</x:v>
      </x:c>
      <x:c r="H8" s="26" t="str">
        <x:v>HEV</x:v>
      </x:c>
      <x:c r="I8" s="31" t="n">
        <x:v>986000000</x:v>
      </x:c>
      <x:c r="J8" s="31"/>
      <x:c r="K8" s="28" t="n">
        <x:f>IF(I8="","",I8/'GDPと為替'!H6)</x:f>
        <x:v>38448.04055371418</x:v>
      </x:c>
      <x:c r="L8" s="29" t="n">
        <x:f>IF(I8="","",I8/'GDPと為替'!D6)</x:f>
        <x:v>7.797282921249129</x:v>
      </x:c>
      <x:c r="M8" s="26" t="str">
        <x:v>通常価格（現行メディア掲載）</x:v>
      </x:c>
      <x:c r="N8" s="26" t="str">
        <x:v>二次資料・一次未確認</x:v>
      </x:c>
      <x:c r="O8" s="30"/>
      <x:c r="P8" s="30" t="d">
        <x:v>2026-10-07T00:00:00.000Z</x:v>
      </x:c>
      <x:c r="Q8" s="26" t="str">
        <x:v>2026価格欄。旧発売1,096百万は採用せず。一次の現行価格表を未確認。 H6はCorolla Crossより大型、最低仕様も異なる。</x:v>
      </x:c>
      <x:c r="R8" s="19" t="str">
        <x:v>https://vnexpress.net/oto-xe-may/v-car/dong-xe/haval-h6-237</x:v>
      </x:c>
      <x:c r="S8" s="19" t="str"/>
      <x:c r="T8" s="26" t="str">
        <x:v>主比較</x:v>
      </x:c>
    </x:row>
    <x:row r="9" ht="83" customHeight="1">
      <x:c r="A9" s="2" t="str">
        <x:v>TOY_VN</x:v>
      </x:c>
      <x:c r="B9" s="2" t="str">
        <x:v>ベトナム</x:v>
      </x:c>
      <x:c r="C9" s="2" t="str">
        <x:v>VND</x:v>
      </x:c>
      <x:c r="D9" s="2" t="str">
        <x:v>Toyota</x:v>
      </x:c>
      <x:c r="E9" s="2" t="str">
        <x:v>Corolla Cross HEV</x:v>
      </x:c>
      <x:c r="F9" s="2" t="str">
        <x:v>HEV</x:v>
      </x:c>
      <x:c r="G9" s="2" t="str">
        <x:v>日本</x:v>
      </x:c>
      <x:c r="H9" s="26" t="str">
        <x:v>1.8 HEV / 標準色</x:v>
      </x:c>
      <x:c r="I9" s="27" t="n">
        <x:v>865000000</x:v>
      </x:c>
      <x:c r="J9" s="27"/>
      <x:c r="K9" s="28" t="n">
        <x:f>IF(I9="","",I9/'GDPと為替'!H6)</x:f>
        <x:v>33729.77188535777</x:v>
      </x:c>
      <x:c r="L9" s="29" t="n">
        <x:f>IF(I9="","",I9/'GDPと為替'!D6)</x:f>
        <x:v>6.840415544503546</x:v>
      </x:c>
      <x:c r="M9" s="26" t="str">
        <x:v>VAT込 / 登録費等別</x:v>
      </x:c>
      <x:c r="N9" s="26" t="str">
        <x:v>メーカー・輸入者</x:v>
      </x:c>
      <x:c r="O9" s="30"/>
      <x:c r="P9" s="30" t="d">
        <x:v>2026-10-07T00:00:00.000Z</x:v>
      </x:c>
      <x:c r="Q9" s="26" t="str">
        <x:v>2026年の現行価格表。旧905百万VNDや有料色は採用せず。</x:v>
      </x:c>
      <x:c r="R9" s="19" t="str">
        <x:v>https://www.toyota.com.vn/tin-tuc/thong-tin-bo-tro/gia-xe-toyota-45272</x:v>
      </x:c>
      <x:c r="S9" s="19" t="str"/>
      <x:c r="T9" s="26" t="str">
        <x:v>主比較</x:v>
      </x:c>
    </x:row>
    <x:row r="10" ht="83" customHeight="1">
      <x:c r="A10" s="2" t="str">
        <x:v>HON_VN</x:v>
      </x:c>
      <x:c r="B10" s="2" t="str">
        <x:v>ベトナム</x:v>
      </x:c>
      <x:c r="C10" s="2" t="str">
        <x:v>VND</x:v>
      </x:c>
      <x:c r="D10" s="2" t="str">
        <x:v>Honda</x:v>
      </x:c>
      <x:c r="E10" s="2" t="str">
        <x:v>HR-V e:HEV</x:v>
      </x:c>
      <x:c r="F10" s="2" t="str">
        <x:v>HEV</x:v>
      </x:c>
      <x:c r="G10" s="2" t="str">
        <x:v>日本</x:v>
      </x:c>
      <x:c r="H10" s="26" t="str">
        <x:v>e:HEV RS / 標準色</x:v>
      </x:c>
      <x:c r="I10" s="27" t="n">
        <x:v>835000000</x:v>
      </x:c>
      <x:c r="J10" s="27"/>
      <x:c r="K10" s="28" t="n">
        <x:f>IF(I10="","",I10/'GDPと為替'!H6)</x:f>
        <x:v>32559.953207252875</x:v>
      </x:c>
      <x:c r="L10" s="29" t="n">
        <x:f>IF(I10="","",I10/'GDPと為替'!D6)</x:f>
        <x:v>6.603175699029435</x:v>
      </x:c>
      <x:c r="M10" s="26" t="str">
        <x:v>VAT込 / 登録費等別</x:v>
      </x:c>
      <x:c r="N10" s="26" t="str">
        <x:v>メーカー・輸入者</x:v>
      </x:c>
      <x:c r="O10" s="30" t="d">
        <x:v>2026-02-26T00:00:00.000Z</x:v>
      </x:c>
      <x:c r="P10" s="30" t="d">
        <x:v>2026-10-07T00:00:00.000Z</x:v>
      </x:c>
      <x:c r="Q10" s="26" t="str">
        <x:v>2026/2/26改定。旧869百万VNDではない。有料色+8百万VND別。 小型SUV。H6と同等サイズではない。</x:v>
      </x:c>
      <x:c r="R10" s="19" t="str">
        <x:v>https://www.honda.com.vn/o-to/tin-tuc/honda-viet-nam-chinh-thuc-ap-dung-gia-ban-le-de-xuat-moi-cho-mau-xe-hr-v-ehev-rs</x:v>
      </x:c>
      <x:c r="S10" s="19" t="str"/>
      <x:c r="T10" s="26" t="str">
        <x:v>ASEAN補足</x:v>
      </x:c>
    </x:row>
    <x:row r="11" ht="83" customHeight="1">
      <x:c r="A11" s="2" t="str">
        <x:v>DOL_TH</x:v>
      </x:c>
      <x:c r="B11" s="2" t="str">
        <x:v>タイ</x:v>
      </x:c>
      <x:c r="C11" s="2" t="str">
        <x:v>THB</x:v>
      </x:c>
      <x:c r="D11" s="2" t="str">
        <x:v>BYD</x:v>
      </x:c>
      <x:c r="E11" s="2" t="str">
        <x:v>Dolphin</x:v>
      </x:c>
      <x:c r="F11" s="2" t="str">
        <x:v>BEV</x:v>
      </x:c>
      <x:c r="G11" s="2" t="str">
        <x:v>中国</x:v>
      </x:c>
      <x:c r="H11" s="26" t="str">
        <x:v>Standard Range</x:v>
      </x:c>
      <x:c r="I11" s="27" t="n">
        <x:v>599900</x:v>
      </x:c>
      <x:c r="J11" s="27" t="n">
        <x:v>509900</x:v>
      </x:c>
      <x:c r="K11" s="28" t="n">
        <x:f>IF(I11="","",I11/'GDPと為替'!H7)</x:f>
        <x:v>17867.30389047468</x:v>
      </x:c>
      <x:c r="L11" s="29" t="n">
        <x:f>IF(I11="","",I11/'GDPと為替'!D7)</x:f>
        <x:v>2.2644363215278576</x:v>
      </x:c>
      <x:c r="M11" s="26" t="str">
        <x:v>通常価格 / EV施策反映後</x:v>
      </x:c>
      <x:c r="N11" s="26" t="str">
        <x:v>メーカー・輸入者</x:v>
      </x:c>
      <x:c r="O11" s="30" t="d">
        <x:v>2026-09-17T00:00:00.000Z</x:v>
      </x:c>
      <x:c r="P11" s="30" t="d">
        <x:v>2026-10-07T00:00:00.000Z</x:v>
      </x:c>
      <x:c r="Q11" s="26" t="str">
        <x:v>9/16–9/30の告知にある割引前価格。10月の販売条件は要再確認。</x:v>
      </x:c>
      <x:c r="R11" s="19" t="str">
        <x:v>https://reverautomotive.com/news/byd-dolphin-sept-2026-campaign</x:v>
      </x:c>
      <x:c r="S11" s="19" t="str"/>
      <x:c r="T11" s="26" t="str">
        <x:v>主比較</x:v>
      </x:c>
    </x:row>
    <x:row r="12" ht="83" customHeight="1">
      <x:c r="A12" s="2" t="str">
        <x:v>ATT_TH</x:v>
      </x:c>
      <x:c r="B12" s="2" t="str">
        <x:v>タイ</x:v>
      </x:c>
      <x:c r="C12" s="2" t="str">
        <x:v>THB</x:v>
      </x:c>
      <x:c r="D12" s="2" t="str">
        <x:v>BYD</x:v>
      </x:c>
      <x:c r="E12" s="2" t="str">
        <x:v>Atto 3 / Yuan Plus</x:v>
      </x:c>
      <x:c r="F12" s="2" t="str">
        <x:v>BEV</x:v>
      </x:c>
      <x:c r="G12" s="2" t="str">
        <x:v>中国</x:v>
      </x:c>
      <x:c r="H12" s="26" t="str">
        <x:v>Premium</x:v>
      </x:c>
      <x:c r="I12" s="27" t="n">
        <x:v>799900</x:v>
      </x:c>
      <x:c r="J12" s="27" t="n">
        <x:v>669900</x:v>
      </x:c>
      <x:c r="K12" s="28" t="n">
        <x:f>IF(I12="","",I12/'GDPと為替'!H7)</x:f>
        <x:v>23824.064647425734</x:v>
      </x:c>
      <x:c r="L12" s="29" t="n">
        <x:f>IF(I12="","",I12/'GDPと為替'!D7)</x:f>
        <x:v>3.0193742516921707</x:v>
      </x:c>
      <x:c r="M12" s="26" t="str">
        <x:v>通常価格 / EV施策反映後</x:v>
      </x:c>
      <x:c r="N12" s="26" t="str">
        <x:v>メーカー・輸入者</x:v>
      </x:c>
      <x:c r="O12" s="30" t="d">
        <x:v>2026-09-03T00:00:00.000Z</x:v>
      </x:c>
      <x:c r="P12" s="30" t="d">
        <x:v>2026-10-07T00:00:00.000Z</x:v>
      </x:c>
      <x:c r="Q12" s="26" t="str">
        <x:v>9月告知の通常価格。EVOではない。10月の販売条件は要再確認。</x:v>
      </x:c>
      <x:c r="R12" s="19" t="str">
        <x:v>https://www.reverautomotive.com/news/byd-atto-3-sep-2026-campaign</x:v>
      </x:c>
      <x:c r="S12" s="19" t="str"/>
      <x:c r="T12" s="26" t="str">
        <x:v>主比較</x:v>
      </x:c>
    </x:row>
    <x:row r="13" ht="83" customHeight="1">
      <x:c r="A13" s="2" t="str">
        <x:v>H6_TH</x:v>
      </x:c>
      <x:c r="B13" s="2" t="str">
        <x:v>タイ</x:v>
      </x:c>
      <x:c r="C13" s="2" t="str">
        <x:v>THB</x:v>
      </x:c>
      <x:c r="D13" s="2" t="str">
        <x:v>GWM / Haval</x:v>
      </x:c>
      <x:c r="E13" s="2" t="str">
        <x:v>Haval H6 HEV</x:v>
      </x:c>
      <x:c r="F13" s="2" t="str">
        <x:v>HEV</x:v>
      </x:c>
      <x:c r="G13" s="2" t="str">
        <x:v>中国</x:v>
      </x:c>
      <x:c r="H13" s="26" t="str">
        <x:v>HEV Pro</x:v>
      </x:c>
      <x:c r="I13" s="27" t="n">
        <x:v>969000</x:v>
      </x:c>
      <x:c r="J13" s="27"/>
      <x:c r="K13" s="28" t="n">
        <x:f>IF(I13="","",I13/'GDPと為替'!H7)</x:f>
        <x:v>28860.505867427848</x:v>
      </x:c>
      <x:c r="L13" s="29" t="n">
        <x:f>IF(I13="","",I13/'GDPと為替'!D7)</x:f>
        <x:v>3.6576742716460973</x:v>
      </x:c>
      <x:c r="M13" s="26" t="str">
        <x:v>メーカーMSRP</x:v>
      </x:c>
      <x:c r="N13" s="26" t="str">
        <x:v>メーカー・輸入者</x:v>
      </x:c>
      <x:c r="O13" s="30"/>
      <x:c r="P13" s="30" t="d">
        <x:v>2026-10-07T00:00:00.000Z</x:v>
      </x:c>
      <x:c r="Q13" s="26" t="str">
        <x:v>PHEV1,089,000と区別。 H6はCorolla Crossより大型、最低仕様も異なる。</x:v>
      </x:c>
      <x:c r="R13" s="19" t="str">
        <x:v>https://www.gwm.co.th/en/models/haval-h6</x:v>
      </x:c>
      <x:c r="S13" s="19" t="str"/>
      <x:c r="T13" s="26" t="str">
        <x:v>主比較</x:v>
      </x:c>
    </x:row>
    <x:row r="14" ht="83" customHeight="1">
      <x:c r="A14" s="2" t="str">
        <x:v>TOY_TH</x:v>
      </x:c>
      <x:c r="B14" s="2" t="str">
        <x:v>タイ</x:v>
      </x:c>
      <x:c r="C14" s="2" t="str">
        <x:v>THB</x:v>
      </x:c>
      <x:c r="D14" s="2" t="str">
        <x:v>Toyota</x:v>
      </x:c>
      <x:c r="E14" s="2" t="str">
        <x:v>Corolla Cross HEV</x:v>
      </x:c>
      <x:c r="F14" s="2" t="str">
        <x:v>HEV</x:v>
      </x:c>
      <x:c r="G14" s="2" t="str">
        <x:v>日本</x:v>
      </x:c>
      <x:c r="H14" s="26" t="str">
        <x:v>HEV Smart</x:v>
      </x:c>
      <x:c r="I14" s="27" t="n">
        <x:v>989000</x:v>
      </x:c>
      <x:c r="J14" s="27"/>
      <x:c r="K14" s="28" t="n">
        <x:f>IF(I14="","",I14/'GDPと為替'!H7)</x:f>
        <x:v>29456.181943122952</x:v>
      </x:c>
      <x:c r="L14" s="29" t="n">
        <x:f>IF(I14="","",I14/'GDPと為替'!D7)</x:f>
        <x:v>3.7331680646625287</x:v>
      </x:c>
      <x:c r="M14" s="26" t="str">
        <x:v>メーカー通常価格</x:v>
      </x:c>
      <x:c r="N14" s="26" t="str">
        <x:v>メーカー・輸入者</x:v>
      </x:c>
      <x:c r="O14" s="30"/>
      <x:c r="P14" s="30" t="d">
        <x:v>2026-10-07T00:00:00.000Z</x:v>
      </x:c>
      <x:c r="Q14" s="26" t="str">
        <x:v>HEV最安。ローン・下取等の販促控除前。</x:v>
      </x:c>
      <x:c r="R14" s="19" t="str">
        <x:v>https://www.toyota.co.th/model/corollacross/grade</x:v>
      </x:c>
      <x:c r="S14" s="19" t="str"/>
      <x:c r="T14" s="26" t="str">
        <x:v>主比較</x:v>
      </x:c>
    </x:row>
    <x:row r="15" ht="83" customHeight="1">
      <x:c r="A15" s="2" t="str">
        <x:v>HON_TH</x:v>
      </x:c>
      <x:c r="B15" s="2" t="str">
        <x:v>タイ</x:v>
      </x:c>
      <x:c r="C15" s="2" t="str">
        <x:v>THB</x:v>
      </x:c>
      <x:c r="D15" s="2" t="str">
        <x:v>Honda</x:v>
      </x:c>
      <x:c r="E15" s="2" t="str">
        <x:v>HR-V e:HEV</x:v>
      </x:c>
      <x:c r="F15" s="2" t="str">
        <x:v>HEV</x:v>
      </x:c>
      <x:c r="G15" s="2" t="str">
        <x:v>日本</x:v>
      </x:c>
      <x:c r="H15" s="26" t="str">
        <x:v>e:HEV E</x:v>
      </x:c>
      <x:c r="I15" s="27" t="n">
        <x:v>959000</x:v>
      </x:c>
      <x:c r="J15" s="27"/>
      <x:c r="K15" s="28" t="n">
        <x:f>IF(I15="","",I15/'GDPと為替'!H7)</x:f>
        <x:v>28562.667829580296</x:v>
      </x:c>
      <x:c r="L15" s="29" t="n">
        <x:f>IF(I15="","",I15/'GDPと為替'!D7)</x:f>
        <x:v>3.6199273751378818</x:v>
      </x:c>
      <x:c r="M15" s="26" t="str">
        <x:v>メーカー通常価格</x:v>
      </x:c>
      <x:c r="N15" s="26" t="str">
        <x:v>メーカー・輸入者</x:v>
      </x:c>
      <x:c r="O15" s="30"/>
      <x:c r="P15" s="30" t="d">
        <x:v>2026-10-07T00:00:00.000Z</x:v>
      </x:c>
      <x:c r="Q15" s="26" t="str">
        <x:v>EL/RSやローン・下取等の割引価格を使わない。 小型SUV。H6と同等サイズではない。</x:v>
      </x:c>
      <x:c r="R15" s="19" t="str">
        <x:v>https://www.honda.co.th/en/hrvehev</x:v>
      </x:c>
      <x:c r="S15" s="19" t="str"/>
      <x:c r="T15" s="26" t="str">
        <x:v>ASEAN補足</x:v>
      </x:c>
    </x:row>
    <x:row r="16" ht="83" customHeight="1">
      <x:c r="A16" s="2" t="str">
        <x:v>DOL_ID</x:v>
      </x:c>
      <x:c r="B16" s="2" t="str">
        <x:v>インドネシア</x:v>
      </x:c>
      <x:c r="C16" s="2" t="str">
        <x:v>IDR</x:v>
      </x:c>
      <x:c r="D16" s="2" t="str">
        <x:v>BYD</x:v>
      </x:c>
      <x:c r="E16" s="2" t="str">
        <x:v>Dolphin</x:v>
      </x:c>
      <x:c r="F16" s="2" t="str">
        <x:v>BEV</x:v>
      </x:c>
      <x:c r="G16" s="2" t="str">
        <x:v>中国</x:v>
      </x:c>
      <x:c r="H16" s="26" t="str">
        <x:v>Dynamic Standard Range</x:v>
      </x:c>
      <x:c r="I16" s="27" t="n">
        <x:v>369000000</x:v>
      </x:c>
      <x:c r="J16" s="27"/>
      <x:c r="K16" s="28" t="n">
        <x:f>IF(I16="","",I16/'GDPと為替'!H8)</x:f>
        <x:v>20682.926465321714</x:v>
      </x:c>
      <x:c r="L16" s="29" t="n">
        <x:f>IF(I16="","",I16/'GDPと為替'!D8)</x:f>
        <x:v>4.425955146931146</x:v>
      </x:c>
      <x:c r="M16" s="26" t="str">
        <x:v>OTR Jakarta</x:v>
      </x:c>
      <x:c r="N16" s="26" t="str">
        <x:v>正規販売店</x:v>
      </x:c>
      <x:c r="O16" s="30"/>
      <x:c r="P16" s="30" t="d">
        <x:v>2026-10-07T00:00:00.000Z</x:v>
      </x:c>
      <x:c r="Q16" s="26" t="str">
        <x:v>正規店Harmony Salembaの通常掲載価格。</x:v>
      </x:c>
      <x:c r="R16" s="19" t="str">
        <x:v>https://bydsalemba.id/variant/dolphin/dynamic</x:v>
      </x:c>
      <x:c r="S16" s="19" t="str">
        <x:v>https://bydsalemba.id/</x:v>
      </x:c>
      <x:c r="T16" s="26" t="str">
        <x:v>主比較</x:v>
      </x:c>
    </x:row>
    <x:row r="17" ht="83" customHeight="1">
      <x:c r="A17" s="2" t="str">
        <x:v>ATT_ID</x:v>
      </x:c>
      <x:c r="B17" s="2" t="str">
        <x:v>インドネシア</x:v>
      </x:c>
      <x:c r="C17" s="2" t="str">
        <x:v>IDR</x:v>
      </x:c>
      <x:c r="D17" s="2" t="str">
        <x:v>BYD</x:v>
      </x:c>
      <x:c r="E17" s="2" t="str">
        <x:v>Atto 3 / Yuan Plus</x:v>
      </x:c>
      <x:c r="F17" s="2" t="str">
        <x:v>BEV</x:v>
      </x:c>
      <x:c r="G17" s="2" t="str">
        <x:v>中国</x:v>
      </x:c>
      <x:c r="H17" s="26" t="str">
        <x:v>Advanced Plus</x:v>
      </x:c>
      <x:c r="I17" s="27" t="n">
        <x:v>415000000</x:v>
      </x:c>
      <x:c r="J17" s="27"/>
      <x:c r="K17" s="28" t="n">
        <x:f>IF(I17="","",I17/'GDPと為替'!H8)</x:f>
        <x:v>23261.28586208269</x:v>
      </x:c>
      <x:c r="L17" s="29" t="n">
        <x:f>IF(I17="","",I17/'GDPと為替'!D8)</x:f>
        <x:v>4.977700232998442</x:v>
      </x:c>
      <x:c r="M17" s="26" t="str">
        <x:v>OTR Jakarta</x:v>
      </x:c>
      <x:c r="N17" s="26" t="str">
        <x:v>正規販売店</x:v>
      </x:c>
      <x:c r="O17" s="30"/>
      <x:c r="P17" s="30" t="d">
        <x:v>2026-10-07T00:00:00.000Z</x:v>
      </x:c>
      <x:c r="Q17" s="26" t="str">
        <x:v>現行価格表の最安。旧Advanced STD 390百万の他店掲載もあり、在庫・販売継続は未確定。</x:v>
      </x:c>
      <x:c r="R17" s="19" t="str">
        <x:v>https://bydsalemba.id/</x:v>
      </x:c>
      <x:c r="S17" s="19" t="str"/>
      <x:c r="T17" s="26" t="str">
        <x:v>主比較</x:v>
      </x:c>
    </x:row>
    <x:row r="18" ht="83" customHeight="1">
      <x:c r="A18" s="2" t="str">
        <x:v>H6_ID</x:v>
      </x:c>
      <x:c r="B18" s="2" t="str">
        <x:v>インドネシア</x:v>
      </x:c>
      <x:c r="C18" s="2" t="str">
        <x:v>IDR</x:v>
      </x:c>
      <x:c r="D18" s="2" t="str">
        <x:v>GWM / Haval</x:v>
      </x:c>
      <x:c r="E18" s="2" t="str">
        <x:v>Haval H6 HEV</x:v>
      </x:c>
      <x:c r="F18" s="2" t="str">
        <x:v>HEV</x:v>
      </x:c>
      <x:c r="G18" s="2" t="str">
        <x:v>中国</x:v>
      </x:c>
      <x:c r="H18" s="26" t="str">
        <x:v>HEV</x:v>
      </x:c>
      <x:c r="I18" s="27" t="n">
        <x:v>654800000</x:v>
      </x:c>
      <x:c r="J18" s="27"/>
      <x:c r="K18" s="28" t="n">
        <x:f>IF(I18="","",I18/'GDPと為替'!H8)</x:f>
        <x:v>36702.385499980104</x:v>
      </x:c>
      <x:c r="L18" s="29" t="n">
        <x:f>IF(I18="","",I18/'GDPと為替'!D8)</x:f>
        <x:v>7.853971355584049</x:v>
      </x:c>
      <x:c r="M18" s="26" t="str">
        <x:v>公式from / OTR内訳未確認</x:v>
      </x:c>
      <x:c r="N18" s="26" t="str">
        <x:v>メーカー・輸入者</x:v>
      </x:c>
      <x:c r="O18" s="30"/>
      <x:c r="P18" s="30" t="d">
        <x:v>2026-10-07T00:00:00.000Z</x:v>
      </x:c>
      <x:c r="Q18" s="26" t="str">
        <x:v>正規輸入者GWM Inchcapeの商品ページ。 H6はCorolla Crossより大型、最低仕様も異なる。</x:v>
      </x:c>
      <x:c r="R18" s="19" t="str">
        <x:v>https://gwminchcape.co.id/id/models/haval-h6-hev</x:v>
      </x:c>
      <x:c r="S18" s="19" t="str"/>
      <x:c r="T18" s="26" t="str">
        <x:v>主比較</x:v>
      </x:c>
    </x:row>
    <x:row r="19" ht="83" customHeight="1">
      <x:c r="A19" s="2" t="str">
        <x:v>TOY_ID</x:v>
      </x:c>
      <x:c r="B19" s="2" t="str">
        <x:v>インドネシア</x:v>
      </x:c>
      <x:c r="C19" s="2" t="str">
        <x:v>IDR</x:v>
      </x:c>
      <x:c r="D19" s="2" t="str">
        <x:v>Toyota</x:v>
      </x:c>
      <x:c r="E19" s="2" t="str">
        <x:v>Corolla Cross HEV</x:v>
      </x:c>
      <x:c r="F19" s="2" t="str">
        <x:v>HEV</x:v>
      </x:c>
      <x:c r="G19" s="2" t="str">
        <x:v>日本</x:v>
      </x:c>
      <x:c r="H19" s="26" t="str">
        <x:v>1.8 Hybrid A/T</x:v>
      </x:c>
      <x:c r="I19" s="27" t="n">
        <x:v>606400000</x:v>
      </x:c>
      <x:c r="J19" s="27"/>
      <x:c r="K19" s="28" t="n">
        <x:f>IF(I19="","",I19/'GDPと為替'!H8)</x:f>
        <x:v>33989.50300425769</x:v>
      </x:c>
      <x:c r="L19" s="29" t="n">
        <x:f>IF(I19="","",I19/'GDPと為替'!D8)</x:f>
        <x:v>7.273439569374109</x:v>
      </x:c>
      <x:c r="M19" s="26" t="str">
        <x:v>OTR Jabodetabek / 正規店from</x:v>
      </x:c>
      <x:c r="N19" s="26" t="str">
        <x:v>正規販売店</x:v>
      </x:c>
      <x:c r="O19" s="30"/>
      <x:c r="P19" s="30" t="d">
        <x:v>2026-10-07T00:00:00.000Z</x:v>
      </x:c>
      <x:c r="Q19" s="26" t="str">
        <x:v>現行ページ冒頭とFAQの606.4百万を採用。本文には旧603.5/606.6百万も残存し要照会。</x:v>
      </x:c>
      <x:c r="R19" s="19" t="str">
        <x:v>https://auto2000.co.id/mobil-baru-toyota/p/cross</x:v>
      </x:c>
      <x:c r="S19" s="19" t="str"/>
      <x:c r="T19" s="26" t="str">
        <x:v>主比較</x:v>
      </x:c>
    </x:row>
    <x:row r="20" ht="83" customHeight="1">
      <x:c r="A20" s="2" t="str">
        <x:v>HON_ID</x:v>
      </x:c>
      <x:c r="B20" s="2" t="str">
        <x:v>インドネシア</x:v>
      </x:c>
      <x:c r="C20" s="2" t="str">
        <x:v>IDR</x:v>
      </x:c>
      <x:c r="D20" s="2" t="str">
        <x:v>Honda</x:v>
      </x:c>
      <x:c r="E20" s="2" t="str">
        <x:v>HR-V e:HEV</x:v>
      </x:c>
      <x:c r="F20" s="2" t="str">
        <x:v>HEV</x:v>
      </x:c>
      <x:c r="G20" s="2" t="str">
        <x:v>日本</x:v>
      </x:c>
      <x:c r="H20" s="26" t="str">
        <x:v>e:HEV / 非RS</x:v>
      </x:c>
      <x:c r="I20" s="27" t="n">
        <x:v>450000000</x:v>
      </x:c>
      <x:c r="J20" s="27"/>
      <x:c r="K20" s="28" t="n">
        <x:f>IF(I20="","",I20/'GDPと為替'!H8)</x:f>
        <x:v>25223.081055270384</x:v>
      </x:c>
      <x:c r="L20" s="29" t="n">
        <x:f>IF(I20="","",I20/'GDPと為替'!D8)</x:f>
        <x:v>5.3975062767452995</x:v>
      </x:c>
      <x:c r="M20" s="26" t="str">
        <x:v>OTR Jakarta / 初回所有者</x:v>
      </x:c>
      <x:c r="N20" s="26" t="str">
        <x:v>メーカー・輸入者</x:v>
      </x:c>
      <x:c r="O20" s="30"/>
      <x:c r="P20" s="30" t="d">
        <x:v>2026-10-07T00:00:00.000Z</x:v>
      </x:c>
      <x:c r="Q20" s="26" t="str">
        <x:v>e:HEV RS 489百万IDRより安い非RSハイブリッド。 小型SUV。H6と同等サイズではない。</x:v>
      </x:c>
      <x:c r="R20" s="19" t="str">
        <x:v>https://www.honda-indonesia.com/hr-v</x:v>
      </x:c>
      <x:c r="S20" s="19" t="str"/>
      <x:c r="T20" s="26" t="str">
        <x:v>ASEAN補足</x:v>
      </x:c>
    </x:row>
    <x:row r="21" ht="83" customHeight="1">
      <x:c r="A21" s="2" t="str">
        <x:v>DOL_PH</x:v>
      </x:c>
      <x:c r="B21" s="2" t="str">
        <x:v>フィリピン</x:v>
      </x:c>
      <x:c r="C21" s="2" t="str">
        <x:v>PHP</x:v>
      </x:c>
      <x:c r="D21" s="2" t="str">
        <x:v>BYD</x:v>
      </x:c>
      <x:c r="E21" s="2" t="str">
        <x:v>Dolphin</x:v>
      </x:c>
      <x:c r="F21" s="2" t="str">
        <x:v>BEV</x:v>
      </x:c>
      <x:c r="G21" s="2" t="str">
        <x:v>中国</x:v>
      </x:c>
      <x:c r="H21" s="26" t="str">
        <x:v>単一掲載</x:v>
      </x:c>
      <x:c r="I21" s="27" t="n">
        <x:v>1438000</x:v>
      </x:c>
      <x:c r="J21" s="27"/>
      <x:c r="K21" s="28" t="n">
        <x:f>IF(I21="","",I21/'GDPと為替'!H9)</x:f>
        <x:v>22919.891940822043</x:v>
      </x:c>
      <x:c r="L21" s="29" t="n">
        <x:f>IF(I21="","",I21/'GDPと為替'!D9)</x:f>
        <x:v>5.995717326860235</x:v>
      </x:c>
      <x:c r="M21" s="26" t="str">
        <x:v>SRP / 地域物流費別</x:v>
      </x:c>
      <x:c r="N21" s="26" t="str">
        <x:v>メーカー・輸入者</x:v>
      </x:c>
      <x:c r="O21" s="30" t="d">
        <x:v>2026-07-28T00:00:00.000Z</x:v>
      </x:c>
      <x:c r="P21" s="30" t="d">
        <x:v>2026-10-07T00:00:00.000Z</x:v>
      </x:c>
      <x:c r="Q21" s="26" t="str"/>
      <x:c r="R21" s="19" t="str">
        <x:v>https://bydcarsphilippines.com/pricelist</x:v>
      </x:c>
      <x:c r="S21" s="19" t="str"/>
      <x:c r="T21" s="26" t="str">
        <x:v>主比較</x:v>
      </x:c>
    </x:row>
    <x:row r="22" ht="83" customHeight="1">
      <x:c r="A22" s="2" t="str">
        <x:v>ATT_PH</x:v>
      </x:c>
      <x:c r="B22" s="2" t="str">
        <x:v>フィリピン</x:v>
      </x:c>
      <x:c r="C22" s="2" t="str">
        <x:v>PHP</x:v>
      </x:c>
      <x:c r="D22" s="2" t="str">
        <x:v>BYD</x:v>
      </x:c>
      <x:c r="E22" s="2" t="str">
        <x:v>Atto 3 / Yuan Plus</x:v>
      </x:c>
      <x:c r="F22" s="2" t="str">
        <x:v>BEV</x:v>
      </x:c>
      <x:c r="G22" s="2" t="str">
        <x:v>中国</x:v>
      </x:c>
      <x:c r="H22" s="26" t="str">
        <x:v>Dynamic</x:v>
      </x:c>
      <x:c r="I22" s="27" t="n">
        <x:v>1638000</x:v>
      </x:c>
      <x:c r="J22" s="27"/>
      <x:c r="K22" s="28" t="n">
        <x:f>IF(I22="","",I22/'GDPと為替'!H9)</x:f>
        <x:v>26107.63769058867</x:v>
      </x:c>
      <x:c r="L22" s="29" t="n">
        <x:f>IF(I22="","",I22/'GDPと為替'!D9)</x:f>
        <x:v>6.829614034351227</x:v>
      </x:c>
      <x:c r="M22" s="26" t="str">
        <x:v>SRP / 地域物流費別</x:v>
      </x:c>
      <x:c r="N22" s="26" t="str">
        <x:v>メーカー・輸入者</x:v>
      </x:c>
      <x:c r="O22" s="30" t="d">
        <x:v>2026-07-28T00:00:00.000Z</x:v>
      </x:c>
      <x:c r="P22" s="30" t="d">
        <x:v>2026-10-07T00:00:00.000Z</x:v>
      </x:c>
      <x:c r="Q22" s="26" t="str"/>
      <x:c r="R22" s="19" t="str">
        <x:v>https://bydcarsphilippines.com/pricelist</x:v>
      </x:c>
      <x:c r="S22" s="19" t="str"/>
      <x:c r="T22" s="26" t="str">
        <x:v>主比較</x:v>
      </x:c>
    </x:row>
    <x:row r="23" ht="83" customHeight="1">
      <x:c r="A23" s="2" t="str">
        <x:v>H6_PH</x:v>
      </x:c>
      <x:c r="B23" s="2" t="str">
        <x:v>フィリピン</x:v>
      </x:c>
      <x:c r="C23" s="2" t="str">
        <x:v>PHP</x:v>
      </x:c>
      <x:c r="D23" s="2" t="str">
        <x:v>GWM / Haval</x:v>
      </x:c>
      <x:c r="E23" s="2" t="str">
        <x:v>Haval H6 HEV</x:v>
      </x:c>
      <x:c r="F23" s="2" t="str">
        <x:v>HEV</x:v>
      </x:c>
      <x:c r="G23" s="2" t="str">
        <x:v>中国</x:v>
      </x:c>
      <x:c r="H23" s="26" t="str">
        <x:v>未確認</x:v>
      </x:c>
      <x:c r="I23" s="31"/>
      <x:c r="J23" s="31"/>
      <x:c r="K23" s="28" t="str">
        <x:f>IF(I23="","",I23/'GDPと為替'!H9)</x:f>
      </x:c>
      <x:c r="L23" s="29" t="str">
        <x:f>IF(I23="","",I23/'GDPと為替'!D9)</x:f>
      </x:c>
      <x:c r="M23" s="26" t="str">
        <x:v>同系統の通常価格未確認</x:v>
      </x:c>
      <x:c r="N23" s="26" t="str">
        <x:v>未確認</x:v>
      </x:c>
      <x:c r="O23" s="30"/>
      <x:c r="P23" s="30" t="d">
        <x:v>2026-10-07T00:00:00.000Z</x:v>
      </x:c>
      <x:c r="Q23" s="26" t="str">
        <x:v>現行公式の主要掲載はH7 PHEV等。H6 HEVの現行通常価格を確認できず。 H6はCorolla Crossより大型、最低仕様も異なる。</x:v>
      </x:c>
      <x:c r="R23" s="19" t="str">
        <x:v>https://www.gwm.com.ph/</x:v>
      </x:c>
      <x:c r="S23" s="19" t="str"/>
      <x:c r="T23" s="26" t="str">
        <x:v>主比較除外</x:v>
      </x:c>
    </x:row>
    <x:row r="24" ht="83" customHeight="1">
      <x:c r="A24" s="2" t="str">
        <x:v>TOY_PH</x:v>
      </x:c>
      <x:c r="B24" s="2" t="str">
        <x:v>フィリピン</x:v>
      </x:c>
      <x:c r="C24" s="2" t="str">
        <x:v>PHP</x:v>
      </x:c>
      <x:c r="D24" s="2" t="str">
        <x:v>Toyota</x:v>
      </x:c>
      <x:c r="E24" s="2" t="str">
        <x:v>Corolla Cross HEV</x:v>
      </x:c>
      <x:c r="F24" s="2" t="str">
        <x:v>HEV</x:v>
      </x:c>
      <x:c r="G24" s="2" t="str">
        <x:v>日本</x:v>
      </x:c>
      <x:c r="H24" s="26" t="str">
        <x:v>1.8 G HEV CVT</x:v>
      </x:c>
      <x:c r="I24" s="27" t="n">
        <x:v>1514000</x:v>
      </x:c>
      <x:c r="J24" s="27"/>
      <x:c r="K24" s="28" t="n">
        <x:f>IF(I24="","",I24/'GDPと為替'!H9)</x:f>
        <x:v>24131.23532573336</x:v>
      </x:c>
      <x:c r="L24" s="29" t="n">
        <x:f>IF(I24="","",I24/'GDPと為替'!D9)</x:f>
        <x:v>6.312598075706812</x:v>
      </x:c>
      <x:c r="M24" s="26" t="str">
        <x:v>メーカーSRP</x:v>
      </x:c>
      <x:c r="N24" s="26" t="str">
        <x:v>メーカー・輸入者</x:v>
      </x:c>
      <x:c r="O24" s="30"/>
      <x:c r="P24" s="30" t="d">
        <x:v>2026-10-07T00:00:00.000Z</x:v>
      </x:c>
      <x:c r="Q24" s="26" t="str">
        <x:v>ICEを除いたHEV最安。V・GR-Sではない。</x:v>
      </x:c>
      <x:c r="R24" s="19" t="str">
        <x:v>https://toyota.com.ph/index.php/corolla-cross</x:v>
      </x:c>
      <x:c r="S24" s="19" t="str"/>
      <x:c r="T24" s="26" t="str">
        <x:v>主比較</x:v>
      </x:c>
    </x:row>
    <x:row r="25" ht="83" customHeight="1">
      <x:c r="A25" s="2" t="str">
        <x:v>HON_PH</x:v>
      </x:c>
      <x:c r="B25" s="2" t="str">
        <x:v>フィリピン</x:v>
      </x:c>
      <x:c r="C25" s="2" t="str">
        <x:v>PHP</x:v>
      </x:c>
      <x:c r="D25" s="2" t="str">
        <x:v>Honda</x:v>
      </x:c>
      <x:c r="E25" s="2" t="str">
        <x:v>HR-V e:HEV</x:v>
      </x:c>
      <x:c r="F25" s="2" t="str">
        <x:v>HEV</x:v>
      </x:c>
      <x:c r="G25" s="2" t="str">
        <x:v>日本</x:v>
      </x:c>
      <x:c r="H25" s="26" t="str">
        <x:v>RS e:HEV E-CVT</x:v>
      </x:c>
      <x:c r="I25" s="27" t="n">
        <x:v>1799000</x:v>
      </x:c>
      <x:c r="J25" s="27"/>
      <x:c r="K25" s="28" t="n">
        <x:f>IF(I25="","",I25/'GDPと為替'!H9)</x:f>
        <x:v>28673.7730191508</x:v>
      </x:c>
      <x:c r="L25" s="29" t="n">
        <x:f>IF(I25="","",I25/'GDPと為替'!D9)</x:f>
        <x:v>7.500900883881475</x:v>
      </x:c>
      <x:c r="M25" s="26" t="str">
        <x:v>メーカーSRP / 割引前</x:v>
      </x:c>
      <x:c r="N25" s="26" t="str">
        <x:v>メーカー・輸入者</x:v>
      </x:c>
      <x:c r="O25" s="30"/>
      <x:c r="P25" s="30" t="d">
        <x:v>2026-10-07T00:00:00.000Z</x:v>
      </x:c>
      <x:c r="Q25" s="26" t="str">
        <x:v>特価1,699,000 PHPではなく通常SRP。 小型SUV。H6と同等サイズではない。</x:v>
      </x:c>
      <x:c r="R25" s="19" t="str">
        <x:v>https://www.hondaphil.com/price-guide</x:v>
      </x:c>
      <x:c r="S25" s="19" t="str"/>
      <x:c r="T25" s="26" t="str">
        <x:v>ASEAN補足</x:v>
      </x:c>
    </x:row>
    <x:row r="26" ht="83" customHeight="1">
      <x:c r="A26" s="2" t="str">
        <x:v>DOL_MY</x:v>
      </x:c>
      <x:c r="B26" s="2" t="str">
        <x:v>マレーシア</x:v>
      </x:c>
      <x:c r="C26" s="2" t="str">
        <x:v>MYR</x:v>
      </x:c>
      <x:c r="D26" s="2" t="str">
        <x:v>BYD</x:v>
      </x:c>
      <x:c r="E26" s="2" t="str">
        <x:v>Dolphin</x:v>
      </x:c>
      <x:c r="F26" s="2" t="str">
        <x:v>BEV</x:v>
      </x:c>
      <x:c r="G26" s="2" t="str">
        <x:v>中国</x:v>
      </x:c>
      <x:c r="H26" s="26" t="str">
        <x:v>最低掲載価格</x:v>
      </x:c>
      <x:c r="I26" s="27" t="n">
        <x:v>100000</x:v>
      </x:c>
      <x:c r="J26" s="27"/>
      <x:c r="K26" s="28" t="n">
        <x:f>IF(I26="","",I26/'GDPと為替'!H10)</x:f>
        <x:v>24479.73237172525</x:v>
      </x:c>
      <x:c r="L26" s="29" t="n">
        <x:f>IF(I26="","",I26/'GDPと為替'!D10)</x:f>
        <x:v>1.7783734073091906</x:v>
      </x:c>
      <x:c r="M26" s="26" t="str">
        <x:v>公式Starting price / 費用内訳未確認</x:v>
      </x:c>
      <x:c r="N26" s="26" t="str">
        <x:v>メーカー・輸入者</x:v>
      </x:c>
      <x:c r="O26" s="30"/>
      <x:c r="P26" s="30" t="d">
        <x:v>2026-10-07T00:00:00.000Z</x:v>
      </x:c>
      <x:c r="Q26" s="26" t="str">
        <x:v>現行ページの100,000を採用。旧99,900は採用せず。</x:v>
      </x:c>
      <x:c r="R26" s="19" t="str">
        <x:v>https://byd.simemotors.my/models/byd-dolphin.html</x:v>
      </x:c>
      <x:c r="S26" s="19" t="str"/>
      <x:c r="T26" s="26" t="str">
        <x:v>主比較</x:v>
      </x:c>
    </x:row>
    <x:row r="27" ht="83" customHeight="1">
      <x:c r="A27" s="2" t="str">
        <x:v>ATT_MY</x:v>
      </x:c>
      <x:c r="B27" s="2" t="str">
        <x:v>マレーシア</x:v>
      </x:c>
      <x:c r="C27" s="2" t="str">
        <x:v>MYR</x:v>
      </x:c>
      <x:c r="D27" s="2" t="str">
        <x:v>BYD</x:v>
      </x:c>
      <x:c r="E27" s="2" t="str">
        <x:v>Atto 3 / Yuan Plus</x:v>
      </x:c>
      <x:c r="F27" s="2" t="str">
        <x:v>BEV</x:v>
      </x:c>
      <x:c r="G27" s="2" t="str">
        <x:v>中国</x:v>
      </x:c>
      <x:c r="H27" s="26" t="str">
        <x:v>Ultra（最低掲載）</x:v>
      </x:c>
      <x:c r="I27" s="27" t="n">
        <x:v>125800</x:v>
      </x:c>
      <x:c r="J27" s="27"/>
      <x:c r="K27" s="28" t="n">
        <x:f>IF(I27="","",I27/'GDPと為替'!H10)</x:f>
        <x:v>30795.503323630364</x:v>
      </x:c>
      <x:c r="L27" s="29" t="n">
        <x:f>IF(I27="","",I27/'GDPと為替'!D10)</x:f>
        <x:v>2.237193746394962</x:v>
      </x:c>
      <x:c r="M27" s="26" t="str">
        <x:v>公式Starting price / 費用内訳未確認</x:v>
      </x:c>
      <x:c r="N27" s="26" t="str">
        <x:v>メーカー・輸入者</x:v>
      </x:c>
      <x:c r="O27" s="30"/>
      <x:c r="P27" s="30" t="d">
        <x:v>2026-10-07T00:00:00.000Z</x:v>
      </x:c>
      <x:c r="Q27" s="26" t="str">
        <x:v>現行公式from。旧モデルの過去価格は除外。</x:v>
      </x:c>
      <x:c r="R27" s="19" t="str">
        <x:v>https://byd.simemotors.my/byd-atto-3</x:v>
      </x:c>
      <x:c r="S27" s="19" t="str"/>
      <x:c r="T27" s="26" t="str">
        <x:v>主比較</x:v>
      </x:c>
    </x:row>
    <x:row r="28" ht="83" customHeight="1">
      <x:c r="A28" s="2" t="str">
        <x:v>H6_MY</x:v>
      </x:c>
      <x:c r="B28" s="2" t="str">
        <x:v>マレーシア</x:v>
      </x:c>
      <x:c r="C28" s="2" t="str">
        <x:v>MYR</x:v>
      </x:c>
      <x:c r="D28" s="2" t="str">
        <x:v>GWM / Haval</x:v>
      </x:c>
      <x:c r="E28" s="2" t="str">
        <x:v>Haval H6 HEV</x:v>
      </x:c>
      <x:c r="F28" s="2" t="str">
        <x:v>HEV</x:v>
      </x:c>
      <x:c r="G28" s="2" t="str">
        <x:v>中国</x:v>
      </x:c>
      <x:c r="H28" s="26" t="str">
        <x:v>HEV</x:v>
      </x:c>
      <x:c r="I28" s="27" t="n">
        <x:v>139380</x:v>
      </x:c>
      <x:c r="J28" s="27" t="n">
        <x:v>139800</x:v>
      </x:c>
      <x:c r="K28" s="28" t="n">
        <x:f>IF(I28="","",I28/'GDPと為替'!H10)</x:f>
        <x:v>34119.85097971065</x:v>
      </x:c>
      <x:c r="L28" s="29" t="n">
        <x:f>IF(I28="","",I28/'GDPと為替'!D10)</x:f>
        <x:v>2.47869685510755</x:v>
      </x:c>
      <x:c r="M28" s="26" t="str">
        <x:v>公式from / 費用内訳未確認</x:v>
      </x:c>
      <x:c r="N28" s="26" t="str">
        <x:v>メーカー・輸入者</x:v>
      </x:c>
      <x:c r="O28" s="30"/>
      <x:c r="P28" s="30" t="d">
        <x:v>2026-10-07T00:00:00.000Z</x:v>
      </x:c>
      <x:c r="Q28" s="26" t="str">
        <x:v>現行公式fromを採用。旧発売OTR139,800と費用基準差があり、同一視しない。 H6はCorolla Crossより大型、最低仕様も異なる。</x:v>
      </x:c>
      <x:c r="R28" s="19" t="str">
        <x:v>https://www.gwm.com.my/en/deal/haval-h6-hev</x:v>
      </x:c>
      <x:c r="S28" s="19" t="str">
        <x:v>https://www.gwm.com.my/en/news-list/2024/43-release</x:v>
      </x:c>
      <x:c r="T28" s="26" t="str">
        <x:v>主比較</x:v>
      </x:c>
    </x:row>
    <x:row r="29" ht="83" customHeight="1">
      <x:c r="A29" s="2" t="str">
        <x:v>TOY_MY</x:v>
      </x:c>
      <x:c r="B29" s="2" t="str">
        <x:v>マレーシア</x:v>
      </x:c>
      <x:c r="C29" s="2" t="str">
        <x:v>MYR</x:v>
      </x:c>
      <x:c r="D29" s="2" t="str">
        <x:v>Toyota</x:v>
      </x:c>
      <x:c r="E29" s="2" t="str">
        <x:v>Corolla Cross HEV</x:v>
      </x:c>
      <x:c r="F29" s="2" t="str">
        <x:v>HEV</x:v>
      </x:c>
      <x:c r="G29" s="2" t="str">
        <x:v>日本</x:v>
      </x:c>
      <x:c r="H29" s="26" t="str">
        <x:v>1.8 HEV</x:v>
      </x:c>
      <x:c r="I29" s="27" t="n">
        <x:v>140800</x:v>
      </x:c>
      <x:c r="J29" s="27"/>
      <x:c r="K29" s="28" t="n">
        <x:f>IF(I29="","",I29/'GDPと為替'!H10)</x:f>
        <x:v>34467.46317938915</x:v>
      </x:c>
      <x:c r="L29" s="29" t="n">
        <x:f>IF(I29="","",I29/'GDPと為替'!D10)</x:f>
        <x:v>2.5039497574913403</x:v>
      </x:c>
      <x:c r="M29" s="26" t="str">
        <x:v>OTR / 西マレーシア / 保険別</x:v>
      </x:c>
      <x:c r="N29" s="26" t="str">
        <x:v>メーカー・輸入者</x:v>
      </x:c>
      <x:c r="O29" s="30"/>
      <x:c r="P29" s="30" t="d">
        <x:v>2026-10-07T00:00:00.000Z</x:v>
      </x:c>
      <x:c r="Q29" s="26" t="str">
        <x:v>非HEVの1.8V 133,800 MYRは除外。</x:v>
      </x:c>
      <x:c r="R29" s="19" t="str">
        <x:v>https://www.toyota.com.my/en/online-showroom/explore-config.html</x:v>
      </x:c>
      <x:c r="S29" s="19" t="str"/>
      <x:c r="T29" s="26" t="str">
        <x:v>主比較</x:v>
      </x:c>
    </x:row>
    <x:row r="30" ht="83" customHeight="1">
      <x:c r="A30" s="2" t="str">
        <x:v>HON_MY</x:v>
      </x:c>
      <x:c r="B30" s="2" t="str">
        <x:v>マレーシア</x:v>
      </x:c>
      <x:c r="C30" s="2" t="str">
        <x:v>MYR</x:v>
      </x:c>
      <x:c r="D30" s="2" t="str">
        <x:v>Honda</x:v>
      </x:c>
      <x:c r="E30" s="2" t="str">
        <x:v>HR-V e:HEV</x:v>
      </x:c>
      <x:c r="F30" s="2" t="str">
        <x:v>HEV</x:v>
      </x:c>
      <x:c r="G30" s="2" t="str">
        <x:v>日本</x:v>
      </x:c>
      <x:c r="H30" s="26" t="str">
        <x:v>e:HEV RS</x:v>
      </x:c>
      <x:c r="I30" s="27" t="n">
        <x:v>143900</x:v>
      </x:c>
      <x:c r="J30" s="27"/>
      <x:c r="K30" s="28" t="n">
        <x:f>IF(I30="","",I30/'GDPと為替'!H10)</x:f>
        <x:v>35226.33488291263</x:v>
      </x:c>
      <x:c r="L30" s="29" t="n">
        <x:f>IF(I30="","",I30/'GDPと為替'!D10)</x:f>
        <x:v>2.5590793331179253</x:v>
      </x:c>
      <x:c r="M30" s="26" t="str">
        <x:v>OTR / 西マレーシア / 保険別</x:v>
      </x:c>
      <x:c r="N30" s="26" t="str">
        <x:v>メーカー・輸入者</x:v>
      </x:c>
      <x:c r="O30" s="30"/>
      <x:c r="P30" s="30" t="d">
        <x:v>2026-10-07T00:00:00.000Z</x:v>
      </x:c>
      <x:c r="Q30" s="26" t="str">
        <x:v>本体143,530+道路税120+登録150+番号50+所有権手数料50。合計公開小売143,900 MYR。 小型SUV。H6と同等サイズではない。</x:v>
      </x:c>
      <x:c r="R30" s="19" t="str">
        <x:v>https://www.honda.com.my/model/hrv/pricing</x:v>
      </x:c>
      <x:c r="S30" s="19" t="str"/>
      <x:c r="T30" s="26" t="str">
        <x:v>ASEAN補足</x:v>
      </x:c>
    </x:row>
    <x:row r="31" ht="83" customHeight="1">
      <x:c r="A31" s="2" t="str">
        <x:v>DOL_SG</x:v>
      </x:c>
      <x:c r="B31" s="2" t="str">
        <x:v>シンガポール</x:v>
      </x:c>
      <x:c r="C31" s="2" t="str">
        <x:v>SGD</x:v>
      </x:c>
      <x:c r="D31" s="2" t="str">
        <x:v>BYD</x:v>
      </x:c>
      <x:c r="E31" s="2" t="str">
        <x:v>Dolphin</x:v>
      </x:c>
      <x:c r="F31" s="2" t="str">
        <x:v>BEV</x:v>
      </x:c>
      <x:c r="G31" s="2" t="str">
        <x:v>中国</x:v>
      </x:c>
      <x:c r="H31" s="26" t="str">
        <x:v>Premium / COE A</x:v>
      </x:c>
      <x:c r="I31" s="27" t="n">
        <x:v>256888</x:v>
      </x:c>
      <x:c r="J31" s="27" t="n">
        <x:v>181888</x:v>
      </x:c>
      <x:c r="K31" s="28" t="n">
        <x:f>IF(I31="","",I31/'GDPと為替'!H11)</x:f>
        <x:v>201144.44635908838</x:v>
      </x:c>
      <x:c r="L31" s="29" t="n">
        <x:f>IF(I31="","",I31/'GDPと為替'!D11)</x:f>
        <x:v>1.9883843731175455</x:v>
      </x:c>
      <x:c r="M31" s="26" t="str">
        <x:v>List Price / COE市場・適用補助後</x:v>
      </x:c>
      <x:c r="N31" s="26" t="str">
        <x:v>メーカー・輸入者</x:v>
      </x:c>
      <x:c r="O31" s="30" t="d">
        <x:v>2026-09-24T00:00:00.000Z</x:v>
      </x:c>
      <x:c r="P31" s="30" t="d">
        <x:v>2026-10-07T00:00:00.000Z</x:v>
      </x:c>
      <x:c r="Q31" s="26" t="str">
        <x:v>Sime E-Auto公式価格表p1。9/24–10/7正午有効。条件付パッケージのfromは除外。</x:v>
      </x:c>
      <x:c r="R31" s="19" t="str">
        <x:v>https://media.i-sgcm.com/public/new-cars/pricelist/81/2026-09-24.pdf</x:v>
      </x:c>
      <x:c r="S31" s="19" t="str"/>
      <x:c r="T31" s="26" t="str">
        <x:v>主比較</x:v>
      </x:c>
    </x:row>
    <x:row r="32" ht="83" customHeight="1">
      <x:c r="A32" s="2" t="str">
        <x:v>ATT_SG</x:v>
      </x:c>
      <x:c r="B32" s="2" t="str">
        <x:v>シンガポール</x:v>
      </x:c>
      <x:c r="C32" s="2" t="str">
        <x:v>SGD</x:v>
      </x:c>
      <x:c r="D32" s="2" t="str">
        <x:v>BYD</x:v>
      </x:c>
      <x:c r="E32" s="2" t="str">
        <x:v>Atto 3 / Yuan Plus</x:v>
      </x:c>
      <x:c r="F32" s="2" t="str">
        <x:v>BEV</x:v>
      </x:c>
      <x:c r="G32" s="2" t="str">
        <x:v>中国</x:v>
      </x:c>
      <x:c r="H32" s="26" t="str">
        <x:v>Dynamic / COE A</x:v>
      </x:c>
      <x:c r="I32" s="27" t="n">
        <x:v>256888</x:v>
      </x:c>
      <x:c r="J32" s="27" t="n">
        <x:v>181888</x:v>
      </x:c>
      <x:c r="K32" s="28" t="n">
        <x:f>IF(I32="","",I32/'GDPと為替'!H11)</x:f>
        <x:v>201144.44635908838</x:v>
      </x:c>
      <x:c r="L32" s="29" t="n">
        <x:f>IF(I32="","",I32/'GDPと為替'!D11)</x:f>
        <x:v>1.9883843731175455</x:v>
      </x:c>
      <x:c r="M32" s="26" t="str">
        <x:v>List Price / COE市場・適用補助後</x:v>
      </x:c>
      <x:c r="N32" s="26" t="str">
        <x:v>メーカー・輸入者</x:v>
      </x:c>
      <x:c r="O32" s="30" t="d">
        <x:v>2026-09-24T00:00:00.000Z</x:v>
      </x:c>
      <x:c r="P32" s="30" t="d">
        <x:v>2026-10-07T00:00:00.000Z</x:v>
      </x:c>
      <x:c r="Q32" s="26" t="str">
        <x:v>価格表p1。ASEANの旧FWD Atto 3とEVOの仕様・世代差あり。</x:v>
      </x:c>
      <x:c r="R32" s="19" t="str">
        <x:v>https://media.i-sgcm.com/public/new-cars/pricelist/81/2026-09-24.pdf</x:v>
      </x:c>
      <x:c r="S32" s="19" t="str"/>
      <x:c r="T32" s="26" t="str">
        <x:v>主比較</x:v>
      </x:c>
    </x:row>
    <x:row r="33" ht="83" customHeight="1">
      <x:c r="A33" s="2" t="str">
        <x:v>H6_SG</x:v>
      </x:c>
      <x:c r="B33" s="2" t="str">
        <x:v>シンガポール</x:v>
      </x:c>
      <x:c r="C33" s="2" t="str">
        <x:v>SGD</x:v>
      </x:c>
      <x:c r="D33" s="2" t="str">
        <x:v>GWM / Haval</x:v>
      </x:c>
      <x:c r="E33" s="2" t="str">
        <x:v>Haval H6 HEV</x:v>
      </x:c>
      <x:c r="F33" s="2" t="str">
        <x:v>HEV</x:v>
      </x:c>
      <x:c r="G33" s="2" t="str">
        <x:v>中国</x:v>
      </x:c>
      <x:c r="H33" s="26" t="str">
        <x:v>未確認</x:v>
      </x:c>
      <x:c r="I33" s="31"/>
      <x:c r="J33" s="31"/>
      <x:c r="K33" s="28" t="str">
        <x:f>IF(I33="","",I33/'GDPと為替'!H11)</x:f>
      </x:c>
      <x:c r="L33" s="29" t="str">
        <x:f>IF(I33="","",I33/'GDPと為替'!D11)</x:f>
      </x:c>
      <x:c r="M33" s="26" t="str">
        <x:v>同系統の通常価格未確認</x:v>
      </x:c>
      <x:c r="N33" s="26" t="str">
        <x:v>未確認</x:v>
      </x:c>
      <x:c r="O33" s="30"/>
      <x:c r="P33" s="30" t="d">
        <x:v>2026-10-07T00:00:00.000Z</x:v>
      </x:c>
      <x:c r="Q33" s="26" t="str">
        <x:v>H6 HEVの正規輸入者・現行通常価格を確認できず。ORAの価格で代用しない。 H6はCorolla Crossより大型、最低仕様も異なる。</x:v>
      </x:c>
      <x:c r="R33" s="19" t="str">
        <x:v>https://www.gwm-global.com/</x:v>
      </x:c>
      <x:c r="S33" s="19" t="str"/>
      <x:c r="T33" s="26" t="str">
        <x:v>主比較除外</x:v>
      </x:c>
    </x:row>
    <x:row r="34" ht="83" customHeight="1">
      <x:c r="A34" s="2" t="str">
        <x:v>TOY_SG</x:v>
      </x:c>
      <x:c r="B34" s="2" t="str">
        <x:v>シンガポール</x:v>
      </x:c>
      <x:c r="C34" s="2" t="str">
        <x:v>SGD</x:v>
      </x:c>
      <x:c r="D34" s="2" t="str">
        <x:v>Toyota</x:v>
      </x:c>
      <x:c r="E34" s="2" t="str">
        <x:v>Corolla Cross HEV</x:v>
      </x:c>
      <x:c r="F34" s="2" t="str">
        <x:v>HEV</x:v>
      </x:c>
      <x:c r="G34" s="2" t="str">
        <x:v>日本</x:v>
      </x:c>
      <x:c r="H34" s="26" t="str">
        <x:v>2.0 Premium / COE B</x:v>
      </x:c>
      <x:c r="I34" s="31"/>
      <x:c r="J34" s="31" t="n">
        <x:v>256888</x:v>
      </x:c>
      <x:c r="K34" s="28" t="str">
        <x:f>IF(I34="","",I34/'GDPと為替'!H11)</x:f>
      </x:c>
      <x:c r="L34" s="29" t="str">
        <x:f>IF(I34="","",I34/'GDPと為替'!D11)</x:f>
      </x:c>
      <x:c r="M34" s="26" t="str">
        <x:v>通常List Priceを確定できず主比較除外</x:v>
      </x:c>
      <x:c r="N34" s="26" t="str">
        <x:v>参考価格のみ</x:v>
      </x:c>
      <x:c r="O34" s="30" t="d">
        <x:v>2026-09-25T00:00:00.000Z</x:v>
      </x:c>
      <x:c r="P34" s="30" t="d">
        <x:v>2026-10-07T00:00:00.000Z</x:v>
      </x:c>
      <x:c r="Q34" s="26" t="str">
        <x:v>二次ページ256,888 SGDは融資・下取の条件付パッケージ。割引前Listを確実に採録できず参考欄のみ。BYDの通常Listと混ぜない。</x:v>
      </x:c>
      <x:c r="R34" s="19" t="str">
        <x:v>https://media.i-sgcm.com/public/new-cars/pricelist/44/2026-09-25.pdf</x:v>
      </x:c>
      <x:c r="S34" s="19" t="str">
        <x:v>https://www.sgcarmart.com/new-cars/info/21664/toyota-corolla-cross-hybrid/pricing</x:v>
      </x:c>
      <x:c r="T34" s="26" t="str">
        <x:v>主比較除外</x:v>
      </x:c>
    </x:row>
    <x:row r="35" ht="83" customHeight="1">
      <x:c r="A35" s="2" t="str">
        <x:v>HON_SG</x:v>
      </x:c>
      <x:c r="B35" s="2" t="str">
        <x:v>シンガポール</x:v>
      </x:c>
      <x:c r="C35" s="2" t="str">
        <x:v>SGD</x:v>
      </x:c>
      <x:c r="D35" s="2" t="str">
        <x:v>Honda</x:v>
      </x:c>
      <x:c r="E35" s="2" t="str">
        <x:v>HR-V e:HEV</x:v>
      </x:c>
      <x:c r="F35" s="2" t="str">
        <x:v>HEV</x:v>
      </x:c>
      <x:c r="G35" s="2" t="str">
        <x:v>日本</x:v>
      </x:c>
      <x:c r="H35" s="26" t="str">
        <x:v>e:HEV</x:v>
      </x:c>
      <x:c r="I35" s="31"/>
      <x:c r="J35" s="31"/>
      <x:c r="K35" s="28" t="str">
        <x:f>IF(I35="","",I35/'GDPと為替'!H11)</x:f>
      </x:c>
      <x:c r="L35" s="29" t="str">
        <x:f>IF(I35="","",I35/'GDPと為替'!D11)</x:f>
      </x:c>
      <x:c r="M35" s="26" t="str">
        <x:v>正規輸入の通常価格を未確認</x:v>
      </x:c>
      <x:c r="N35" s="26" t="str">
        <x:v>未確認</x:v>
      </x:c>
      <x:c r="O35" s="30"/>
      <x:c r="P35" s="30" t="d">
        <x:v>2026-10-07T00:00:00.000Z</x:v>
      </x:c>
      <x:c r="Q35" s="26" t="str">
        <x:v>並行輸入の価格を代入しない。参考用ASEAN調査。ASEAN外4市場は本補足の調査対象外。 小型SUV。H6と同等サイズではない。</x:v>
      </x:c>
      <x:c r="R35" s="19" t="str">
        <x:v>https://www.honda.com.sg/</x:v>
      </x:c>
      <x:c r="S35" s="19" t="str"/>
      <x:c r="T35" s="26" t="str">
        <x:v>主比較除外</x:v>
      </x:c>
    </x:row>
    <x:row r="36" ht="83" customHeight="1">
      <x:c r="A36" s="2" t="str">
        <x:v>DOL_CN</x:v>
      </x:c>
      <x:c r="B36" s="2" t="str">
        <x:v>中国</x:v>
      </x:c>
      <x:c r="C36" s="2" t="str">
        <x:v>CNY</x:v>
      </x:c>
      <x:c r="D36" s="2" t="str">
        <x:v>BYD</x:v>
      </x:c>
      <x:c r="E36" s="2" t="str">
        <x:v>Dolphin</x:v>
      </x:c>
      <x:c r="F36" s="2" t="str">
        <x:v>BEV</x:v>
      </x:c>
      <x:c r="G36" s="2" t="str">
        <x:v>中国</x:v>
      </x:c>
      <x:c r="H36" s="26" t="str">
        <x:v>2025款 / 最低掲載</x:v>
      </x:c>
      <x:c r="I36" s="27" t="n">
        <x:v>99800</x:v>
      </x:c>
      <x:c r="J36" s="27"/>
      <x:c r="K36" s="28" t="n">
        <x:f>IF(I36="","",I36/'GDPと為替'!H12)</x:f>
        <x:v>14885.329697964371</x:v>
      </x:c>
      <x:c r="L36" s="29" t="n">
        <x:f>IF(I36="","",I36/'GDPと為替'!D12)</x:f>
        <x:v>1.0013500663965913</x:v>
      </x:c>
      <x:c r="M36" s="26" t="str">
        <x:v>メーカー指導価格 / 登録・購入税別</x:v>
      </x:c>
      <x:c r="N36" s="26" t="str">
        <x:v>メーカー・輸入者</x:v>
      </x:c>
      <x:c r="O36" s="30"/>
      <x:c r="P36" s="30" t="d">
        <x:v>2026-10-07T00:00:00.000Z</x:v>
      </x:c>
      <x:c r="Q36" s="26" t="str">
        <x:v>公式ページの2025款価格。輸出仕様と電池・装備が完全一致する比較ではない。</x:v>
      </x:c>
      <x:c r="R36" s="19" t="str">
        <x:v>https://www.byd.com/cn/ocean-home/models/haitun/2025haitun</x:v>
      </x:c>
      <x:c r="S36" s="19" t="str"/>
      <x:c r="T36" s="26" t="str">
        <x:v>主比較</x:v>
      </x:c>
    </x:row>
    <x:row r="37" ht="83" customHeight="1">
      <x:c r="A37" s="2" t="str">
        <x:v>ATT_CN</x:v>
      </x:c>
      <x:c r="B37" s="2" t="str">
        <x:v>中国</x:v>
      </x:c>
      <x:c r="C37" s="2" t="str">
        <x:v>CNY</x:v>
      </x:c>
      <x:c r="D37" s="2" t="str">
        <x:v>BYD</x:v>
      </x:c>
      <x:c r="E37" s="2" t="str">
        <x:v>Atto 3 / Yuan Plus</x:v>
      </x:c>
      <x:c r="F37" s="2" t="str">
        <x:v>BEV</x:v>
      </x:c>
      <x:c r="G37" s="2" t="str">
        <x:v>中国</x:v>
      </x:c>
      <x:c r="H37" s="26" t="str">
        <x:v>第三代 / 最低仕様</x:v>
      </x:c>
      <x:c r="I37" s="31" t="n">
        <x:v>119900</x:v>
      </x:c>
      <x:c r="J37" s="31"/>
      <x:c r="K37" s="28" t="n">
        <x:f>IF(I37="","",I37/'GDPと為替'!H12)</x:f>
        <x:v>17883.276861582446</x:v>
      </x:c>
      <x:c r="L37" s="29" t="n">
        <x:f>IF(I37="","",I37/'GDPと為替'!D12)</x:f>
        <x:v>1.2030247791678488</x:v>
      </x:c>
      <x:c r="M37" s="26" t="str">
        <x:v>メーカー指導価格（新華社報道）</x:v>
      </x:c>
      <x:c r="N37" s="26" t="str">
        <x:v>二次資料・一次未確認</x:v>
      </x:c>
      <x:c r="O37" s="30" t="d">
        <x:v>2026-05-25T00:00:00.000Z</x:v>
      </x:c>
      <x:c r="P37" s="30" t="d">
        <x:v>2026-10-07T00:00:00.000Z</x:v>
      </x:c>
      <x:c r="Q37" s="26" t="str">
        <x:v>5/21発売の第三代。旧第二代115,800は採用せず。輸出旧Atto 3と世代差。</x:v>
      </x:c>
      <x:c r="R37" s="19" t="str">
        <x:v>https://www.xinhuanet.com/auto/20260525/63682501133a454eb7118a80df3f9482/c.html</x:v>
      </x:c>
      <x:c r="S37" s="19" t="str"/>
      <x:c r="T37" s="26" t="str">
        <x:v>主比較</x:v>
      </x:c>
    </x:row>
    <x:row r="38" ht="83" customHeight="1">
      <x:c r="A38" s="2" t="str">
        <x:v>H6_CN</x:v>
      </x:c>
      <x:c r="B38" s="2" t="str">
        <x:v>中国</x:v>
      </x:c>
      <x:c r="C38" s="2" t="str">
        <x:v>CNY</x:v>
      </x:c>
      <x:c r="D38" s="2" t="str">
        <x:v>GWM / Haval</x:v>
      </x:c>
      <x:c r="E38" s="2" t="str">
        <x:v>Haval H6 HEV</x:v>
      </x:c>
      <x:c r="F38" s="2" t="str">
        <x:v>HEV</x:v>
      </x:c>
      <x:c r="G38" s="2" t="str">
        <x:v>中国</x:v>
      </x:c>
      <x:c r="H38" s="26" t="str">
        <x:v>未確認</x:v>
      </x:c>
      <x:c r="I38" s="31"/>
      <x:c r="J38" s="31"/>
      <x:c r="K38" s="28" t="str">
        <x:f>IF(I38="","",I38/'GDPと為替'!H12)</x:f>
      </x:c>
      <x:c r="L38" s="29" t="str">
        <x:f>IF(I38="","",I38/'GDPと為替'!D12)</x:f>
      </x:c>
      <x:c r="M38" s="26" t="str">
        <x:v>同系統の通常価格未確認</x:v>
      </x:c>
      <x:c r="N38" s="26" t="str">
        <x:v>未確認</x:v>
      </x:c>
      <x:c r="O38" s="30"/>
      <x:c r="P38" s="30" t="d">
        <x:v>2026-10-07T00:00:00.000Z</x:v>
      </x:c>
      <x:c r="Q38" s="26" t="str">
        <x:v>現行中国H6のICE等を輸出HEVの同仕様価格として代用しない。 H6はCorolla Crossより大型、最低仕様も異なる。</x:v>
      </x:c>
      <x:c r="R38" s="19" t="str">
        <x:v>https://www.haval.com.cn/</x:v>
      </x:c>
      <x:c r="S38" s="19" t="str"/>
      <x:c r="T38" s="26" t="str">
        <x:v>主比較除外</x:v>
      </x:c>
    </x:row>
    <x:row r="39" ht="83" customHeight="1">
      <x:c r="A39" s="2" t="str">
        <x:v>TOY_CN</x:v>
      </x:c>
      <x:c r="B39" s="2" t="str">
        <x:v>中国</x:v>
      </x:c>
      <x:c r="C39" s="2" t="str">
        <x:v>CNY</x:v>
      </x:c>
      <x:c r="D39" s="2" t="str">
        <x:v>Toyota</x:v>
      </x:c>
      <x:c r="E39" s="2" t="str">
        <x:v>Corolla Cross HEV</x:v>
      </x:c>
      <x:c r="F39" s="2" t="str">
        <x:v>HEV</x:v>
      </x:c>
      <x:c r="G39" s="2" t="str">
        <x:v>日本</x:v>
      </x:c>
      <x:c r="H39" s="26" t="str">
        <x:v>2026款 2.0 双擎 先锋版</x:v>
      </x:c>
      <x:c r="I39" s="31" t="n">
        <x:v>139800</x:v>
      </x:c>
      <x:c r="J39" s="31"/>
      <x:c r="K39" s="28" t="n">
        <x:f>IF(I39="","",I39/'GDPと為替'!H12)</x:f>
        <x:v>20851.39370516452</x:v>
      </x:c>
      <x:c r="L39" s="29" t="n">
        <x:f>IF(I39="","",I39/'GDPと為替'!D12)</x:f>
        <x:v>1.4026927783791932</x:v>
      </x:c>
      <x:c r="M39" s="26" t="str">
        <x:v>メーカー指導価格 / 二次掲載</x:v>
      </x:c>
      <x:c r="N39" s="26" t="str">
        <x:v>二次資料・一次未確認</x:v>
      </x:c>
      <x:c r="O39" s="30"/>
      <x:c r="P39" s="30" t="d">
        <x:v>2026-10-07T00:00:00.000Z</x:v>
      </x:c>
      <x:c r="Q39" s="26" t="str">
        <x:v>中国名は卡罗拉锐放（Corolla Cross）。日本企業トヨタの中国合弁。一汽豊田。販売特価102,800は除外。ASEANの1.8Lとエンジン差。</x:v>
      </x:c>
      <x:c r="R39" s="19" t="str">
        <x:v>https://db.auto.sina.cn/4718/price_53_25/</x:v>
      </x:c>
      <x:c r="S39" s="19" t="str">
        <x:v>https://price.pcauto.com.cn/m137563/</x:v>
      </x:c>
      <x:c r="T39" s="26" t="str">
        <x:v>主比較</x:v>
      </x:c>
    </x:row>
    <x:row r="40" ht="83" customHeight="1">
      <x:c r="A40" s="2" t="str">
        <x:v>DOL_DE</x:v>
      </x:c>
      <x:c r="B40" s="2" t="str">
        <x:v>ドイツ</x:v>
      </x:c>
      <x:c r="C40" s="2" t="str">
        <x:v>EUR</x:v>
      </x:c>
      <x:c r="D40" s="2" t="str">
        <x:v>BYD</x:v>
      </x:c>
      <x:c r="E40" s="2" t="str">
        <x:v>Dolphin</x:v>
      </x:c>
      <x:c r="F40" s="2" t="str">
        <x:v>BEV</x:v>
      </x:c>
      <x:c r="G40" s="2" t="str">
        <x:v>中国</x:v>
      </x:c>
      <x:c r="H40" s="26" t="str">
        <x:v>Comfort</x:v>
      </x:c>
      <x:c r="I40" s="27" t="n">
        <x:v>33990</x:v>
      </x:c>
      <x:c r="J40" s="27"/>
      <x:c r="K40" s="28" t="n">
        <x:f>IF(I40="","",I40/'GDPと為替'!H13)</x:f>
        <x:v>38303.331</x:v>
      </x:c>
      <x:c r="L40" s="29" t="n">
        <x:f>IF(I40="","",I40/'GDPと為替'!D13)</x:f>
        <x:v>0.63488248164057</x:v>
      </x:c>
      <x:c r="M40" s="26" t="str">
        <x:v>VAT込 / 配送・登録別 / 割引前</x:v>
      </x:c>
      <x:c r="N40" s="26" t="str">
        <x:v>メーカー・輸入者</x:v>
      </x:c>
      <x:c r="O40" s="30"/>
      <x:c r="P40" s="30" t="d">
        <x:v>2026-10-07T00:00:00.000Z</x:v>
      </x:c>
      <x:c r="Q40" s="26" t="str">
        <x:v>10/2026の公式金融条件に記載する割引前価格。政府補助最大6,000やE-Bonus控除前。</x:v>
      </x:c>
      <x:c r="R40" s="19" t="str">
        <x:v>https://www.byd.com/de/angebot-2026/dolphin</x:v>
      </x:c>
      <x:c r="S40" s="19" t="str"/>
      <x:c r="T40" s="26" t="str">
        <x:v>主比較</x:v>
      </x:c>
    </x:row>
    <x:row r="41" ht="83" customHeight="1">
      <x:c r="A41" s="2" t="str">
        <x:v>ATT_DE</x:v>
      </x:c>
      <x:c r="B41" s="2" t="str">
        <x:v>ドイツ</x:v>
      </x:c>
      <x:c r="C41" s="2" t="str">
        <x:v>EUR</x:v>
      </x:c>
      <x:c r="D41" s="2" t="str">
        <x:v>BYD</x:v>
      </x:c>
      <x:c r="E41" s="2" t="str">
        <x:v>Atto 3 / Yuan Plus</x:v>
      </x:c>
      <x:c r="F41" s="2" t="str">
        <x:v>BEV</x:v>
      </x:c>
      <x:c r="G41" s="2" t="str">
        <x:v>中国</x:v>
      </x:c>
      <x:c r="H41" s="26" t="str">
        <x:v>Design</x:v>
      </x:c>
      <x:c r="I41" s="27" t="n">
        <x:v>44990</x:v>
      </x:c>
      <x:c r="J41" s="27"/>
      <x:c r="K41" s="28" t="n">
        <x:f>IF(I41="","",I41/'GDPと為替'!H13)</x:f>
        <x:v>50699.231</x:v>
      </x:c>
      <x:c r="L41" s="29" t="n">
        <x:f>IF(I41="","",I41/'GDPと為替'!D13)</x:f>
        <x:v>0.8403460679320166</x:v>
      </x:c>
      <x:c r="M41" s="26" t="str">
        <x:v>VAT込 / 配送・登録別 / UPE</x:v>
      </x:c>
      <x:c r="N41" s="26" t="str">
        <x:v>メーカー・輸入者</x:v>
      </x:c>
      <x:c r="O41" s="30" t="d">
        <x:v>2026-02-10T00:00:00.000Z</x:v>
      </x:c>
      <x:c r="P41" s="30" t="d">
        <x:v>2026-10-07T00:00:00.000Z</x:v>
      </x:c>
      <x:c r="Q41" s="26" t="str">
        <x:v>EVOはRWD・74.8kWh。旧Atto 3 FWDと車名ファミリーのみ共通。</x:v>
      </x:c>
      <x:c r="R41" s="19" t="str">
        <x:v>https://www.byd.com/de/presse/byd-atto-3-evo-2026</x:v>
      </x:c>
      <x:c r="S41" s="19" t="str"/>
      <x:c r="T41" s="26" t="str">
        <x:v>主比較</x:v>
      </x:c>
    </x:row>
    <x:row r="42" ht="83" customHeight="1">
      <x:c r="A42" s="2" t="str">
        <x:v>H6_DE</x:v>
      </x:c>
      <x:c r="B42" s="2" t="str">
        <x:v>ドイツ</x:v>
      </x:c>
      <x:c r="C42" s="2" t="str">
        <x:v>EUR</x:v>
      </x:c>
      <x:c r="D42" s="2" t="str">
        <x:v>GWM / Haval</x:v>
      </x:c>
      <x:c r="E42" s="2" t="str">
        <x:v>Haval H6 HEV</x:v>
      </x:c>
      <x:c r="F42" s="2" t="str">
        <x:v>HEV</x:v>
      </x:c>
      <x:c r="G42" s="2" t="str">
        <x:v>中国</x:v>
      </x:c>
      <x:c r="H42" s="26" t="str">
        <x:v>Premium HEV</x:v>
      </x:c>
      <x:c r="I42" s="27" t="n">
        <x:v>31990</x:v>
      </x:c>
      <x:c r="J42" s="27" t="n">
        <x:v>28990</x:v>
      </x:c>
      <x:c r="K42" s="28" t="n">
        <x:f>IF(I42="","",I42/'GDPと為替'!H13)</x:f>
        <x:v>36049.531</x:v>
      </x:c>
      <x:c r="L42" s="29" t="n">
        <x:f>IF(I42="","",I42/'GDPと為替'!D13)</x:f>
        <x:v>0.5975254659512161</x:v>
      </x:c>
      <x:c r="M42" s="26" t="str">
        <x:v>VAT込 / UPE・割引前</x:v>
      </x:c>
      <x:c r="N42" s="26" t="str">
        <x:v>メーカー・輸入者</x:v>
      </x:c>
      <x:c r="O42" s="30"/>
      <x:c r="P42" s="30" t="d">
        <x:v>2026-10-07T00:00:00.000Z</x:v>
      </x:c>
      <x:c r="Q42" s="26" t="str">
        <x:v>2026/1発売。中国製BEVのEU追加関税と同じ制度をHEVに適用しない。 H6はCorolla Crossより大型、最低仕様も異なる。</x:v>
      </x:c>
      <x:c r="R42" s="19" t="str">
        <x:v>https://presse.gwm-motor.de/2380/weltweiter-bestseller-haval-h6-bildet-den-auftakt-zu-neuer-suv-produktlinie-von-gwm-in-deutschland/</x:v>
      </x:c>
      <x:c r="S42" s="19" t="str"/>
      <x:c r="T42" s="26" t="str">
        <x:v>主比較</x:v>
      </x:c>
    </x:row>
    <x:row r="43" ht="83" customHeight="1">
      <x:c r="A43" s="2" t="str">
        <x:v>TOY_DE</x:v>
      </x:c>
      <x:c r="B43" s="2" t="str">
        <x:v>ドイツ</x:v>
      </x:c>
      <x:c r="C43" s="2" t="str">
        <x:v>EUR</x:v>
      </x:c>
      <x:c r="D43" s="2" t="str">
        <x:v>Toyota</x:v>
      </x:c>
      <x:c r="E43" s="2" t="str">
        <x:v>Corolla Cross HEV</x:v>
      </x:c>
      <x:c r="F43" s="2" t="str">
        <x:v>HEV</x:v>
      </x:c>
      <x:c r="G43" s="2" t="str">
        <x:v>日本</x:v>
      </x:c>
      <x:c r="H43" s="26" t="str">
        <x:v>Active / 1.8 Hybrid</x:v>
      </x:c>
      <x:c r="I43" s="27" t="n">
        <x:v>36990</x:v>
      </x:c>
      <x:c r="J43" s="27"/>
      <x:c r="K43" s="28" t="n">
        <x:f>IF(I43="","",I43/'GDPと為替'!H13)</x:f>
        <x:v>41684.031</x:v>
      </x:c>
      <x:c r="L43" s="29" t="n">
        <x:f>IF(I43="","",I43/'GDPと為替'!D13)</x:f>
        <x:v>0.6909180051746009</x:v>
      </x:c>
      <x:c r="M43" s="26" t="str">
        <x:v>VAT込 UPE / 配送・登録費別</x:v>
      </x:c>
      <x:c r="N43" s="26" t="str">
        <x:v>メーカー・輸入者</x:v>
      </x:c>
      <x:c r="O43" s="30"/>
      <x:c r="P43" s="30" t="d">
        <x:v>2026-10-07T00:00:00.000Z</x:v>
      </x:c>
      <x:c r="Q43" s="26" t="str">
        <x:v>改良モデルの通常メーカー希望価格。公式販売ページの割引後33,551.70 EURは採用しない。</x:v>
      </x:c>
      <x:c r="R43" s="19" t="str">
        <x:v>https://www.toyota-media.de/blog/toyota-modelle/artikel/toyota-corolla-cross-modellpflege-fur-das-kompakte-suv/text</x:v>
      </x:c>
      <x:c r="S43" s="19" t="str"/>
      <x:c r="T43" s="26" t="str">
        <x:v>主比較</x:v>
      </x:c>
    </x:row>
    <x:row r="44" ht="83" customHeight="1">
      <x:c r="A44" s="2" t="str">
        <x:v>DOL_BR</x:v>
      </x:c>
      <x:c r="B44" s="2" t="str">
        <x:v>ブラジル</x:v>
      </x:c>
      <x:c r="C44" s="2" t="str">
        <x:v>BRL</x:v>
      </x:c>
      <x:c r="D44" s="2" t="str">
        <x:v>BYD</x:v>
      </x:c>
      <x:c r="E44" s="2" t="str">
        <x:v>Dolphin</x:v>
      </x:c>
      <x:c r="F44" s="2" t="str">
        <x:v>BEV</x:v>
      </x:c>
      <x:c r="G44" s="2" t="str">
        <x:v>中国</x:v>
      </x:c>
      <x:c r="H44" s="26" t="str">
        <x:v>GS 2026/2027</x:v>
      </x:c>
      <x:c r="I44" s="27" t="n">
        <x:v>149990</x:v>
      </x:c>
      <x:c r="J44" s="27"/>
      <x:c r="K44" s="28" t="n">
        <x:f>IF(I44="","",I44/'GDPと為替'!H14)</x:f>
        <x:v>30187.660695468916</x:v>
      </x:c>
      <x:c r="L44" s="29" t="n">
        <x:f>IF(I44="","",I44/'GDPと為替'!D14)</x:f>
        <x:v>2.5057556394826728</x:v>
      </x:c>
      <x:c r="M44" s="26" t="str">
        <x:v>Preço sugerido / 割引前</x:v>
      </x:c>
      <x:c r="N44" s="26" t="str">
        <x:v>メーカー・輸入者</x:v>
      </x:c>
      <x:c r="O44" s="30"/>
      <x:c r="P44" s="30" t="d">
        <x:v>2026-10-07T00:00:00.000Z</x:v>
      </x:c>
      <x:c r="Q44" s="26" t="str">
        <x:v>公式の2026/2027条件にある希望小売価格。Dolphin MiniやPlusとは区別。</x:v>
      </x:c>
      <x:c r="R44" s="19" t="str">
        <x:v>https://www.byd.com/br/historico-condicoes</x:v>
      </x:c>
      <x:c r="S44" s="19" t="str"/>
      <x:c r="T44" s="26" t="str">
        <x:v>主比較</x:v>
      </x:c>
    </x:row>
    <x:row r="45" ht="83" customHeight="1">
      <x:c r="A45" s="2" t="str">
        <x:v>ATT_BR</x:v>
      </x:c>
      <x:c r="B45" s="2" t="str">
        <x:v>ブラジル</x:v>
      </x:c>
      <x:c r="C45" s="2" t="str">
        <x:v>BRL</x:v>
      </x:c>
      <x:c r="D45" s="2" t="str">
        <x:v>BYD</x:v>
      </x:c>
      <x:c r="E45" s="2" t="str">
        <x:v>Atto 3 / Yuan Plus</x:v>
      </x:c>
      <x:c r="F45" s="2" t="str">
        <x:v>BEV</x:v>
      </x:c>
      <x:c r="G45" s="2" t="str">
        <x:v>中国</x:v>
      </x:c>
      <x:c r="H45" s="26" t="str">
        <x:v>AWD</x:v>
      </x:c>
      <x:c r="I45" s="27" t="n">
        <x:v>269990</x:v>
      </x:c>
      <x:c r="J45" s="27"/>
      <x:c r="K45" s="28" t="n">
        <x:f>IF(I45="","",I45/'GDPと為替'!H14)</x:f>
        <x:v>54339.39936775553</x:v>
      </x:c>
      <x:c r="L45" s="29" t="n">
        <x:f>IF(I45="","",I45/'GDPと為替'!D14)</x:f>
        <x:v>4.510493800279531</x:v>
      </x:c>
      <x:c r="M45" s="26" t="str">
        <x:v>メーカー発表価格</x:v>
      </x:c>
      <x:c r="N45" s="26" t="str">
        <x:v>メーカー・輸入者</x:v>
      </x:c>
      <x:c r="O45" s="30"/>
      <x:c r="P45" s="30" t="d">
        <x:v>2026-10-07T00:00:00.000Z</x:v>
      </x:c>
      <x:c r="Q45" s="26" t="str">
        <x:v>現行2027 AWD。旧235,800やYuan Pro（Atto 2）は採用せず。ASEAN旧FWDと仕様差。</x:v>
      </x:c>
      <x:c r="R45" s="19" t="str">
        <x:v>https://www.byd.com/br/byd-lan%C3%A7a-dolphin-special-edition-e-yuan-plus-2027-tra%C3%A7%C3%A3o-integral</x:v>
      </x:c>
      <x:c r="S45" s="19" t="str"/>
      <x:c r="T45" s="26" t="str">
        <x:v>主比較</x:v>
      </x:c>
    </x:row>
    <x:row r="46" ht="83" customHeight="1">
      <x:c r="A46" s="2" t="str">
        <x:v>H6_BR</x:v>
      </x:c>
      <x:c r="B46" s="2" t="str">
        <x:v>ブラジル</x:v>
      </x:c>
      <x:c r="C46" s="2" t="str">
        <x:v>BRL</x:v>
      </x:c>
      <x:c r="D46" s="2" t="str">
        <x:v>GWM / Haval</x:v>
      </x:c>
      <x:c r="E46" s="2" t="str">
        <x:v>Haval H6 HEV</x:v>
      </x:c>
      <x:c r="F46" s="2" t="str">
        <x:v>HEV</x:v>
      </x:c>
      <x:c r="G46" s="2" t="str">
        <x:v>中国</x:v>
      </x:c>
      <x:c r="H46" s="26" t="str">
        <x:v>HEV One</x:v>
      </x:c>
      <x:c r="I46" s="27" t="n">
        <x:v>199900</x:v>
      </x:c>
      <x:c r="J46" s="27"/>
      <x:c r="K46" s="28" t="n">
        <x:f>IF(I46="","",I46/'GDPと為替'!H14)</x:f>
        <x:v>40232.77133825079</x:v>
      </x:c>
      <x:c r="L46" s="29" t="n">
        <x:f>IF(I46="","",I46/'GDPと為替'!D14)</x:f>
        <x:v>3.339559652860766</x:v>
      </x:c>
      <x:c r="M46" s="26" t="str">
        <x:v>メーカー発表価格</x:v>
      </x:c>
      <x:c r="N46" s="26" t="str">
        <x:v>メーカー・輸入者</x:v>
      </x:c>
      <x:c r="O46" s="30" t="d">
        <x:v>2026-06-09T00:00:00.000Z</x:v>
      </x:c>
      <x:c r="P46" s="30" t="d">
        <x:v>2026-10-07T00:00:00.000Z</x:v>
      </x:c>
      <x:c r="Q46" s="26" t="str">
        <x:v>ブラジル現地生産、ガソリン・エタノールFlex。HEV2 225,000より安いOneを採用。 H6はCorolla Crossより大型、最低仕様も異なる。</x:v>
      </x:c>
      <x:c r="R46" s="19" t="str">
        <x:v>https://www.gwmmotors.com.br/pt/media-center/news/2026/gwm-haval-h6-se-torna-o-primeiro-hibrido-plug-in-flex-fabricado-no-brasil-e-fortalece-o-pioneirismo-da-marca-em-eletrificacao</x:v>
      </x:c>
      <x:c r="S46" s="19" t="str"/>
      <x:c r="T46" s="26" t="str">
        <x:v>主比較</x:v>
      </x:c>
    </x:row>
    <x:row r="47" ht="83" customHeight="1">
      <x:c r="A47" s="2" t="str">
        <x:v>TOY_BR</x:v>
      </x:c>
      <x:c r="B47" s="2" t="str">
        <x:v>ブラジル</x:v>
      </x:c>
      <x:c r="C47" s="2" t="str">
        <x:v>BRL</x:v>
      </x:c>
      <x:c r="D47" s="2" t="str">
        <x:v>Toyota</x:v>
      </x:c>
      <x:c r="E47" s="2" t="str">
        <x:v>Corolla Cross HEV</x:v>
      </x:c>
      <x:c r="F47" s="2" t="str">
        <x:v>HEV</x:v>
      </x:c>
      <x:c r="G47" s="2" t="str">
        <x:v>日本</x:v>
      </x:c>
      <x:c r="H47" s="26" t="str">
        <x:v>2027 XRV Hybrid / 1.8 Flex</x:v>
      </x:c>
      <x:c r="I47" s="31" t="n">
        <x:v>213990</x:v>
      </x:c>
      <x:c r="J47" s="31"/>
      <x:c r="K47" s="28" t="n">
        <x:f>IF(I47="","",I47/'GDPと為替'!H14)</x:f>
        <x:v>43068.58798735511</x:v>
      </x:c>
      <x:c r="L47" s="29" t="n">
        <x:f>IF(I47="","",I47/'GDPと為替'!D14)</x:f>
        <x:v>3.574949325240997</x:v>
      </x:c>
      <x:c r="M47" s="26" t="str">
        <x:v>発表済みメーカー希望価格 / 発売前</x:v>
      </x:c>
      <x:c r="N47" s="26" t="str">
        <x:v>二次資料・一次未確認</x:v>
      </x:c>
      <x:c r="O47" s="30" t="d">
        <x:v>2026-10-02T00:00:00.000Z</x:v>
      </x:c>
      <x:c r="P47" s="30" t="d">
        <x:v>2026-10-07T00:00:00.000Z</x:v>
      </x:c>
      <x:c r="Q47" s="26" t="str">
        <x:v>10/2発表、10月後半から納車予定の新HEV最安。調査日10/7時点は発表価格で実販売前。発表前のXRXのみの価格は使わない。</x:v>
      </x:c>
      <x:c r="R47" s="19" t="str">
        <x:v>https://www.autodata.com.br/noticias/2026/10/02/toyota-amplia-portfolio-do-corolla-cross-com-versao-xrv-hybrid/136886/</x:v>
      </x:c>
      <x:c r="S47" s="19" t="str">
        <x:v>https://autoentusiastas.com.br/2026/10/toyota-corolla-cross-ganha-a-opcao-a-xrv-hybrid-preco-r-213-990/</x:v>
      </x:c>
      <x:c r="T47" s="26" t="str">
        <x:v>発表済・発売前</x:v>
      </x:c>
    </x:row>
    <x:row r="48" ht="83" customHeight="1">
      <x:c r="A48" s="2" t="str">
        <x:v>DOL_AU</x:v>
      </x:c>
      <x:c r="B48" s="2" t="str">
        <x:v>豪州</x:v>
      </x:c>
      <x:c r="C48" s="2" t="str">
        <x:v>AUD</x:v>
      </x:c>
      <x:c r="D48" s="2" t="str">
        <x:v>BYD</x:v>
      </x:c>
      <x:c r="E48" s="2" t="str">
        <x:v>Dolphin</x:v>
      </x:c>
      <x:c r="F48" s="2" t="str">
        <x:v>BEV</x:v>
      </x:c>
      <x:c r="G48" s="2" t="str">
        <x:v>中国</x:v>
      </x:c>
      <x:c r="H48" s="26" t="str">
        <x:v>Essential</x:v>
      </x:c>
      <x:c r="I48" s="27" t="n">
        <x:v>29990</x:v>
      </x:c>
      <x:c r="J48" s="27"/>
      <x:c r="K48" s="28" t="n">
        <x:f>IF(I48="","",I48/'GDPと為替'!H15)</x:f>
        <x:v>20939.114622057</x:v>
      </x:c>
      <x:c r="L48" s="29" t="n">
        <x:f>IF(I48="","",I48/'GDPと為替'!D15)</x:f>
        <x:v>0.29801615025314077</x:v>
      </x:c>
      <x:c r="M48" s="26" t="str">
        <x:v>車両本体価格 / on-road別</x:v>
      </x:c>
      <x:c r="N48" s="26" t="str">
        <x:v>メーカー・輸入者</x:v>
      </x:c>
      <x:c r="O48" s="30"/>
      <x:c r="P48" s="30" t="d">
        <x:v>2026-10-07T00:00:00.000Z</x:v>
      </x:c>
      <x:c r="Q48" s="26" t="str">
        <x:v>メーカーサイトからリンクする販売Configurator。所在地入力前のベース価格。</x:v>
      </x:c>
      <x:c r="R48" s="19" t="str">
        <x:v>https://evdealergroup-byd.com.au/configurator/byd-dolphin</x:v>
      </x:c>
      <x:c r="S48" s="19" t="str"/>
      <x:c r="T48" s="26" t="str">
        <x:v>主比較</x:v>
      </x:c>
    </x:row>
    <x:row r="49" ht="83" customHeight="1">
      <x:c r="A49" s="2" t="str">
        <x:v>ATT_AU</x:v>
      </x:c>
      <x:c r="B49" s="2" t="str">
        <x:v>豪州</x:v>
      </x:c>
      <x:c r="C49" s="2" t="str">
        <x:v>AUD</x:v>
      </x:c>
      <x:c r="D49" s="2" t="str">
        <x:v>BYD</x:v>
      </x:c>
      <x:c r="E49" s="2" t="str">
        <x:v>Atto 3 / Yuan Plus</x:v>
      </x:c>
      <x:c r="F49" s="2" t="str">
        <x:v>BEV</x:v>
      </x:c>
      <x:c r="G49" s="2" t="str">
        <x:v>中国</x:v>
      </x:c>
      <x:c r="H49" s="26" t="str">
        <x:v>Essential</x:v>
      </x:c>
      <x:c r="I49" s="27" t="n">
        <x:v>39990</x:v>
      </x:c>
      <x:c r="J49" s="27"/>
      <x:c r="K49" s="28" t="n">
        <x:f>IF(I49="","",I49/'GDPと為替'!H15)</x:f>
        <x:v>27921.146840148696</x:v>
      </x:c>
      <x:c r="L49" s="29" t="n">
        <x:f>IF(I49="","",I49/'GDPと為替'!D15)</x:f>
        <x:v>0.397387990951087</x:v>
      </x:c>
      <x:c r="M49" s="26" t="str">
        <x:v>車両本体価格 / on-road別</x:v>
      </x:c>
      <x:c r="N49" s="26" t="str">
        <x:v>メーカー・輸入者</x:v>
      </x:c>
      <x:c r="O49" s="30"/>
      <x:c r="P49" s="30" t="d">
        <x:v>2026-10-07T00:00:00.000Z</x:v>
      </x:c>
      <x:c r="Q49" s="26" t="str">
        <x:v>同Configuratorには旧EssentialとEVO併売。EVO Dynamic 41,990より安い旧Essentialを採用。</x:v>
      </x:c>
      <x:c r="R49" s="19" t="str">
        <x:v>https://evdealergroup-byd.com.au/configurator/byd-atto-3-evo</x:v>
      </x:c>
      <x:c r="S49" s="19" t="str"/>
      <x:c r="T49" s="26" t="str">
        <x:v>主比較</x:v>
      </x:c>
    </x:row>
    <x:row r="50" ht="83" customHeight="1">
      <x:c r="A50" s="2" t="str">
        <x:v>H6_AU</x:v>
      </x:c>
      <x:c r="B50" s="2" t="str">
        <x:v>豪州</x:v>
      </x:c>
      <x:c r="C50" s="2" t="str">
        <x:v>AUD</x:v>
      </x:c>
      <x:c r="D50" s="2" t="str">
        <x:v>GWM / Haval</x:v>
      </x:c>
      <x:c r="E50" s="2" t="str">
        <x:v>Haval H6 HEV</x:v>
      </x:c>
      <x:c r="F50" s="2" t="str">
        <x:v>HEV</x:v>
      </x:c>
      <x:c r="G50" s="2" t="str">
        <x:v>中国</x:v>
      </x:c>
      <x:c r="H50" s="26" t="str">
        <x:v>Lux Hybrid</x:v>
      </x:c>
      <x:c r="I50" s="31" t="n">
        <x:v>39490</x:v>
      </x:c>
      <x:c r="J50" s="31"/>
      <x:c r="K50" s="28" t="n">
        <x:f>IF(I50="","",I50/'GDPと為替'!H15)</x:f>
        <x:v>27572.04522924411</x:v>
      </x:c>
      <x:c r="L50" s="29" t="n">
        <x:f>IF(I50="","",I50/'GDPと為替'!D15)</x:f>
        <x:v>0.39241939891618965</x:v>
      </x:c>
      <x:c r="M50" s="26" t="str">
        <x:v>RRP / on-road別（ブローカー掲載）</x:v>
      </x:c>
      <x:c r="N50" s="26" t="str">
        <x:v>二次資料・一次未確認</x:v>
      </x:c>
      <x:c r="O50" s="30"/>
      <x:c r="P50" s="30" t="d">
        <x:v>2026-10-07T00:00:00.000Z</x:v>
      </x:c>
      <x:c r="Q50" s="26" t="str">
        <x:v>9/2026時点RRPと明記するブローカー資料。メーカーの希望価格を一次確認できず、要補完。 H6はCorolla Crossより大型、最低仕様も異なる。</x:v>
      </x:c>
      <x:c r="R50" s="19" t="str">
        <x:v>https://rodar.com.au/new-car-broker/gwm-haval-h6-2026</x:v>
      </x:c>
      <x:c r="S50" s="19" t="str"/>
      <x:c r="T50" s="26" t="str">
        <x:v>主比較</x:v>
      </x:c>
    </x:row>
    <x:row r="51" ht="83" customHeight="1">
      <x:c r="A51" s="2" t="str">
        <x:v>TOY_AU</x:v>
      </x:c>
      <x:c r="B51" s="2" t="str">
        <x:v>豪州</x:v>
      </x:c>
      <x:c r="C51" s="2" t="str">
        <x:v>AUD</x:v>
      </x:c>
      <x:c r="D51" s="2" t="str">
        <x:v>Toyota</x:v>
      </x:c>
      <x:c r="E51" s="2" t="str">
        <x:v>Corolla Cross HEV</x:v>
      </x:c>
      <x:c r="F51" s="2" t="str">
        <x:v>HEV</x:v>
      </x:c>
      <x:c r="G51" s="2" t="str">
        <x:v>日本</x:v>
      </x:c>
      <x:c r="H51" s="26" t="str">
        <x:v>GX 2WD Hybrid</x:v>
      </x:c>
      <x:c r="I51" s="27" t="n">
        <x:v>37440</x:v>
      </x:c>
      <x:c r="J51" s="27"/>
      <x:c r="K51" s="28" t="n">
        <x:f>IF(I51="","",I51/'GDPと為替'!H15)</x:f>
        <x:v>26140.728624535313</x:v>
      </x:c>
      <x:c r="L51" s="29" t="n">
        <x:f>IF(I51="","",I51/'GDPと為替'!D15)</x:f>
        <x:v>0.3720481715731107</x:v>
      </x:c>
      <x:c r="M51" s="26" t="str">
        <x:v>メーカーRRP / on-road別</x:v>
      </x:c>
      <x:c r="N51" s="26" t="str">
        <x:v>メーカー・輸入者</x:v>
      </x:c>
      <x:c r="O51" s="30"/>
      <x:c r="P51" s="30" t="d">
        <x:v>2026-10-07T00:00:00.000Z</x:v>
      </x:c>
      <x:c r="Q51" s="26" t="str">
        <x:v>2025年改良モデル発表価格。2026年9月の現行ブローカーRRPとも一致。</x:v>
      </x:c>
      <x:c r="R51" s="19" t="str">
        <x:v>https://pressroom.toyota.com.au/PressRelease?pr-code=d50a4e5a-1da2-4922-87e0-e3e4c3c1bc12</x:v>
      </x:c>
      <x:c r="S51" s="19" t="str">
        <x:v>https://rodar.com.au/new-car-broker/toyota-corolla-cross-2026</x:v>
      </x:c>
      <x:c r="T51" s="26" t="str">
        <x:v>主比較</x:v>
      </x:c>
    </x:row>
  </x:sheetData>
  <x:mergeCells>
    <x:mergeCell ref="A3:T4"/>
  </x:mergeCells>
  <x:pageMargins left="0.7" right="0.7" top="0.75" bottom="0.75" header="0.3" footer="0.3"/>
  <x:tableParts count="1">
    <x:tablePart xmlns:r="http://schemas.openxmlformats.org/officeDocument/2006/relationships" r:id="R8ff7dd4b5ce6490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7" hidden="0" customWidth="1"/>
    <x:col min="2" max="2" width="17" hidden="0" customWidth="1"/>
    <x:col min="3" max="3" width="8" hidden="0" customWidth="1"/>
    <x:col min="4" max="4" width="20" hidden="0" customWidth="1"/>
    <x:col min="5" max="5" width="18" hidden="0" customWidth="1"/>
    <x:col min="6" max="6" width="20" hidden="0" customWidth="1"/>
    <x:col min="7" max="7" width="17" hidden="0" customWidth="1"/>
    <x:col min="8" max="8" width="17" hidden="0" customWidth="1"/>
    <x:col min="9" max="9" width="12" hidden="0" customWidth="1"/>
    <x:col min="10" max="10" width="35" hidden="0" customWidth="1"/>
    <x:col min="11" max="11" width="35" hidden="0" customWidth="1"/>
    <x:col min="12" max="12" width="35" hidden="0" customWidth="1"/>
    <x:col min="13" max="13" width="3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経済指標と共通為替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5" t="str">
        <x:v>GDPは世界銀行の2025年公表値。価格のUSD換算・GDPの共通為替換算には、前回Excelと同じ2026/10/06の為替を使用。GDPは家計年収ではない。</x:v>
      </x:c>
      <x:c r="B3" s="5" t="str">
        <x:v>GDPは世界銀行の2025年公表値。価格のUSD換算・GDPの共通為替換算には、前回Excelと同じ2026/10/06の為替を使用。GDPは家計年収ではない。</x:v>
      </x:c>
      <x:c r="C3" s="5" t="str">
        <x:v>GDPは世界銀行の2025年公表値。価格のUSD換算・GDPの共通為替換算には、前回Excelと同じ2026/10/06の為替を使用。GDPは家計年収ではない。</x:v>
      </x:c>
      <x:c r="D3" s="5" t="str">
        <x:v>GDPは世界銀行の2025年公表値。価格のUSD換算・GDPの共通為替換算には、前回Excelと同じ2026/10/06の為替を使用。GDPは家計年収ではない。</x:v>
      </x:c>
      <x:c r="E3" s="5" t="str">
        <x:v>GDPは世界銀行の2025年公表値。価格のUSD換算・GDPの共通為替換算には、前回Excelと同じ2026/10/06の為替を使用。GDPは家計年収ではない。</x:v>
      </x:c>
      <x:c r="F3" s="5" t="str">
        <x:v>GDPは世界銀行の2025年公表値。価格のUSD換算・GDPの共通為替換算には、前回Excelと同じ2026/10/06の為替を使用。GDPは家計年収ではない。</x:v>
      </x:c>
      <x:c r="G3" s="5" t="str">
        <x:v>GDPは世界銀行の2025年公表値。価格のUSD換算・GDPの共通為替換算には、前回Excelと同じ2026/10/06の為替を使用。GDPは家計年収ではない。</x:v>
      </x:c>
      <x:c r="H3" s="5" t="str">
        <x:v>GDPは世界銀行の2025年公表値。価格のUSD換算・GDPの共通為替換算には、前回Excelと同じ2026/10/06の為替を使用。GDPは家計年収ではない。</x:v>
      </x:c>
      <x:c r="I3" s="5" t="str">
        <x:v>GDPは世界銀行の2025年公表値。価格のUSD換算・GDPの共通為替換算には、前回Excelと同じ2026/10/06の為替を使用。GDPは家計年収ではない。</x:v>
      </x:c>
      <x:c r="J3" s="5" t="str">
        <x:v>GDPは世界銀行の2025年公表値。価格のUSD換算・GDPの共通為替換算には、前回Excelと同じ2026/10/06の為替を使用。GDPは家計年収ではない。</x:v>
      </x:c>
      <x:c r="K3" s="5" t="str">
        <x:v>GDPは世界銀行の2025年公表値。価格のUSD換算・GDPの共通為替換算には、前回Excelと同じ2026/10/06の為替を使用。GDPは家計年収ではない。</x:v>
      </x:c>
      <x:c r="L3" s="5" t="str">
        <x:v>GDPは世界銀行の2025年公表値。価格のUSD換算・GDPの共通為替換算には、前回Excelと同じ2026/10/06の為替を使用。GDPは家計年収ではない。</x:v>
      </x:c>
      <x:c r="M3" s="5" t="str">
        <x:v>GDPは世界銀行の2025年公表値。価格のUSD換算・GDPの共通為替換算には、前回Excelと同じ2026/10/06の為替を使用。GDPは家計年収ではない。</x:v>
      </x:c>
    </x:row>
    <x:row r="4" ht="25" customHeight="1">
      <x:c r="A4" s="5" t="str">
        <x:v>GDPは世界銀行の2025年公表値。価格のUSD換算・GDPの共通為替換算には、前回Excelと同じ2026/10/06の為替を使用。GDPは家計年収ではない。</x:v>
      </x:c>
      <x:c r="B4" s="5" t="str">
        <x:v>GDPは世界銀行の2025年公表値。価格のUSD換算・GDPの共通為替換算には、前回Excelと同じ2026/10/06の為替を使用。GDPは家計年収ではない。</x:v>
      </x:c>
      <x:c r="C4" s="5" t="str">
        <x:v>GDPは世界銀行の2025年公表値。価格のUSD換算・GDPの共通為替換算には、前回Excelと同じ2026/10/06の為替を使用。GDPは家計年収ではない。</x:v>
      </x:c>
      <x:c r="D4" s="5" t="str">
        <x:v>GDPは世界銀行の2025年公表値。価格のUSD換算・GDPの共通為替換算には、前回Excelと同じ2026/10/06の為替を使用。GDPは家計年収ではない。</x:v>
      </x:c>
      <x:c r="E4" s="5" t="str">
        <x:v>GDPは世界銀行の2025年公表値。価格のUSD換算・GDPの共通為替換算には、前回Excelと同じ2026/10/06の為替を使用。GDPは家計年収ではない。</x:v>
      </x:c>
      <x:c r="F4" s="5" t="str">
        <x:v>GDPは世界銀行の2025年公表値。価格のUSD換算・GDPの共通為替換算には、前回Excelと同じ2026/10/06の為替を使用。GDPは家計年収ではない。</x:v>
      </x:c>
      <x:c r="G4" s="5" t="str">
        <x:v>GDPは世界銀行の2025年公表値。価格のUSD換算・GDPの共通為替換算には、前回Excelと同じ2026/10/06の為替を使用。GDPは家計年収ではない。</x:v>
      </x:c>
      <x:c r="H4" s="5" t="str">
        <x:v>GDPは世界銀行の2025年公表値。価格のUSD換算・GDPの共通為替換算には、前回Excelと同じ2026/10/06の為替を使用。GDPは家計年収ではない。</x:v>
      </x:c>
      <x:c r="I4" s="5" t="str">
        <x:v>GDPは世界銀行の2025年公表値。価格のUSD換算・GDPの共通為替換算には、前回Excelと同じ2026/10/06の為替を使用。GDPは家計年収ではない。</x:v>
      </x:c>
      <x:c r="J4" s="5" t="str">
        <x:v>GDPは世界銀行の2025年公表値。価格のUSD換算・GDPの共通為替換算には、前回Excelと同じ2026/10/06の為替を使用。GDPは家計年収ではない。</x:v>
      </x:c>
      <x:c r="K4" s="5" t="str">
        <x:v>GDPは世界銀行の2025年公表値。価格のUSD換算・GDPの共通為替換算には、前回Excelと同じ2026/10/06の為替を使用。GDPは家計年収ではない。</x:v>
      </x:c>
      <x:c r="L4" s="5" t="str">
        <x:v>GDPは世界銀行の2025年公表値。価格のUSD換算・GDPの共通為替換算には、前回Excelと同じ2026/10/06の為替を使用。GDPは家計年収ではない。</x:v>
      </x:c>
      <x:c r="M4" s="5" t="str">
        <x:v>GDPは世界銀行の2025年公表値。価格のUSD換算・GDPの共通為替換算には、前回Excelと同じ2026/10/06の為替を使用。GDPは家計年収ではない。</x:v>
      </x:c>
    </x:row>
    <x:row r="5" ht="44" customHeight="1">
      <x:c r="A5" s="9" t="str">
        <x:v>市場ID</x:v>
      </x:c>
      <x:c r="B5" s="9" t="str">
        <x:v>国</x:v>
      </x:c>
      <x:c r="C5" s="9" t="str">
        <x:v>通貨</x:v>
      </x:c>
      <x:c r="D5" s="9" t="str">
        <x:v>GDP/人 2025（現地通貨）</x:v>
      </x:c>
      <x:c r="E5" s="9" t="str">
        <x:v>GDP/人 2025（WB公表USD）</x:v>
      </x:c>
      <x:c r="F5" s="9" t="str">
        <x:v>GDP/人（共通為替USD）</x:v>
      </x:c>
      <x:c r="G5" s="9" t="str">
        <x:v>1 EUR = 現地通貨</x:v>
      </x:c>
      <x:c r="H5" s="9" t="str">
        <x:v>1 USD = 現地通貨</x:v>
      </x:c>
      <x:c r="I5" s="9" t="str">
        <x:v>為替日</x:v>
      </x:c>
      <x:c r="J5" s="9" t="str">
        <x:v>GDP LCU 出典</x:v>
      </x:c>
      <x:c r="K5" s="9" t="str">
        <x:v>GDP USD 出典</x:v>
      </x:c>
      <x:c r="L5" s="9" t="str">
        <x:v>為替出典</x:v>
      </x:c>
      <x:c r="M5" s="9" t="str">
        <x:v>換算・データ注記</x:v>
      </x:c>
    </x:row>
    <x:row r="6" ht="80" customHeight="1">
      <x:c r="A6" s="2" t="str">
        <x:v>VN</x:v>
      </x:c>
      <x:c r="B6" s="2" t="str">
        <x:v>ベトナム</x:v>
      </x:c>
      <x:c r="C6" s="2" t="str">
        <x:v>VND</x:v>
      </x:c>
      <x:c r="D6" s="15" t="n">
        <x:v>126454305.936874</x:v>
      </x:c>
      <x:c r="E6" s="15" t="n">
        <x:v>5065.99091899299</x:v>
      </x:c>
      <x:c r="F6" s="12" t="n">
        <x:f>D6/H6</x:f>
        <x:v>4930.953633724859</x:v>
      </x:c>
      <x:c r="G6" s="16" t="n">
        <x:v>28899.3505</x:v>
      </x:c>
      <x:c r="H6" s="13" t="n">
        <x:f>G6/$B$18</x:f>
        <x:v>25645</x:v>
      </x:c>
      <x:c r="I6" s="14" t="d">
        <x:v>2026-10-06T00:00:00.000Z</x:v>
      </x:c>
      <x:c r="J6" s="19" t="str">
        <x:v>https://api.worldbank.org/v2/country/VNM;THA;IDN;PHL;MYS;SGP;CHN;DEU;BRA;AUS/indicator/NY.GDP.PCAP.CN?date=2025&amp;format=json&amp;per_page=100</x:v>
      </x:c>
      <x:c r="K6" s="19" t="str">
        <x:v>https://api.worldbank.org/v2/country/VNM;THA;IDN;PHL;MYS;SGP;CHN;DEU;BRA;AUS/indicator/NY.GDP.PCAP.CD?date=2025&amp;format=json&amp;per_page=100</x:v>
      </x:c>
      <x:c r="L6" s="19" t="str">
        <x:v>https://tapchinganhang.gov.vn/</x:v>
      </x:c>
      <x:c r="M6" s="19" t="str">
        <x:v>VNDはUSD中央レート25,645を前回ファイルから再使用。市場レートではない。</x:v>
      </x:c>
    </x:row>
    <x:row r="7" ht="80" customHeight="1">
      <x:c r="A7" s="2" t="str">
        <x:v>TH</x:v>
      </x:c>
      <x:c r="B7" s="2" t="str">
        <x:v>タイ</x:v>
      </x:c>
      <x:c r="C7" s="2" t="str">
        <x:v>THB</x:v>
      </x:c>
      <x:c r="D7" s="15" t="n">
        <x:v>264922.441976746</x:v>
      </x:c>
      <x:c r="E7" s="15" t="n">
        <x:v>8056.56359761558</x:v>
      </x:c>
      <x:c r="F7" s="12" t="n">
        <x:f>D7/H7</x:f>
        <x:v>7890.398030013614</x:v>
      </x:c>
      <x:c r="G7" s="16" t="n">
        <x:v>37.836</x:v>
      </x:c>
      <x:c r="H7" s="13" t="n">
        <x:f>G7/$B$18</x:f>
        <x:v>33.575295057236666</x:v>
      </x:c>
      <x:c r="I7" s="14" t="d">
        <x:v>2026-10-06T00:00:00.000Z</x:v>
      </x:c>
      <x:c r="J7" s="19" t="str">
        <x:v>https://api.worldbank.org/v2/country/VNM;THA;IDN;PHL;MYS;SGP;CHN;DEU;BRA;AUS/indicator/NY.GDP.PCAP.CN?date=2025&amp;format=json&amp;per_page=100</x:v>
      </x:c>
      <x:c r="K7" s="19" t="str">
        <x:v>https://api.worldbank.org/v2/country/VNM;THA;IDN;PHL;MYS;SGP;CHN;DEU;BRA;AUS/indicator/NY.GDP.PCAP.CD?date=2025&amp;format=json&amp;per_page=100</x:v>
      </x:c>
      <x:c r="L7" s="19" t="str">
        <x:v>https://www.ecb.europa.eu/stats/policy_and_exchange_rates/euro_reference_exchange_rates/html/index.cs.html</x:v>
      </x:c>
      <x:c r="M7" s="19" t="str">
        <x:v>ECB EURクロスを前回ファイルから再使用。GDPのUSD換算値は2025年実績USDとは別。</x:v>
      </x:c>
    </x:row>
    <x:row r="8" ht="80" customHeight="1">
      <x:c r="A8" s="2" t="str">
        <x:v>ID</x:v>
      </x:c>
      <x:c r="B8" s="2" t="str">
        <x:v>インドネシア</x:v>
      </x:c>
      <x:c r="C8" s="2" t="str">
        <x:v>IDR</x:v>
      </x:c>
      <x:c r="D8" s="15" t="n">
        <x:v>83371834.496754</x:v>
      </x:c>
      <x:c r="E8" s="15" t="n">
        <x:v>5059.62596411213</x:v>
      </x:c>
      <x:c r="F8" s="12" t="n">
        <x:f>D8/H8</x:f>
        <x:v>4673.09897608492</x:v>
      </x:c>
      <x:c r="G8" s="16" t="n">
        <x:v>20104.8</x:v>
      </x:c>
      <x:c r="H8" s="13" t="n">
        <x:f>G8/$B$18</x:f>
        <x:v>17840.80220072766</x:v>
      </x:c>
      <x:c r="I8" s="14" t="d">
        <x:v>2026-10-06T00:00:00.000Z</x:v>
      </x:c>
      <x:c r="J8" s="19" t="str">
        <x:v>https://api.worldbank.org/v2/country/VNM;THA;IDN;PHL;MYS;SGP;CHN;DEU;BRA;AUS/indicator/NY.GDP.PCAP.CN?date=2025&amp;format=json&amp;per_page=100</x:v>
      </x:c>
      <x:c r="K8" s="19" t="str">
        <x:v>https://api.worldbank.org/v2/country/VNM;THA;IDN;PHL;MYS;SGP;CHN;DEU;BRA;AUS/indicator/NY.GDP.PCAP.CD?date=2025&amp;format=json&amp;per_page=100</x:v>
      </x:c>
      <x:c r="L8" s="19" t="str">
        <x:v>https://www.ecb.europa.eu/stats/policy_and_exchange_rates/euro_reference_exchange_rates/html/index.cs.html</x:v>
      </x:c>
      <x:c r="M8" s="19" t="str">
        <x:v>ECB EURクロスを前回ファイルから再使用。GDPのUSD換算値は2025年実績USDとは別。</x:v>
      </x:c>
    </x:row>
    <x:row r="9" ht="80" customHeight="1">
      <x:c r="A9" s="2" t="str">
        <x:v>PH</x:v>
      </x:c>
      <x:c r="B9" s="2" t="str">
        <x:v>フィリピン</x:v>
      </x:c>
      <x:c r="C9" s="2" t="str">
        <x:v>PHP</x:v>
      </x:c>
      <x:c r="D9" s="15" t="n">
        <x:v>239837.857858625</x:v>
      </x:c>
      <x:c r="E9" s="15" t="n">
        <x:v>4170.72347271451</x:v>
      </x:c>
      <x:c r="F9" s="12" t="n">
        <x:f>D9/H9</x:f>
        <x:v>3822.7105601098206</x:v>
      </x:c>
      <x:c r="G9" s="16" t="n">
        <x:v>70.702</x:v>
      </x:c>
      <x:c r="H9" s="13" t="n">
        <x:f>G9/$B$18</x:f>
        <x:v>62.740260892714524</x:v>
      </x:c>
      <x:c r="I9" s="14" t="d">
        <x:v>2026-10-06T00:00:00.000Z</x:v>
      </x:c>
      <x:c r="J9" s="19" t="str">
        <x:v>https://api.worldbank.org/v2/country/VNM;THA;IDN;PHL;MYS;SGP;CHN;DEU;BRA;AUS/indicator/NY.GDP.PCAP.CN?date=2025&amp;format=json&amp;per_page=100</x:v>
      </x:c>
      <x:c r="K9" s="19" t="str">
        <x:v>https://api.worldbank.org/v2/country/VNM;THA;IDN;PHL;MYS;SGP;CHN;DEU;BRA;AUS/indicator/NY.GDP.PCAP.CD?date=2025&amp;format=json&amp;per_page=100</x:v>
      </x:c>
      <x:c r="L9" s="19" t="str">
        <x:v>https://www.ecb.europa.eu/stats/policy_and_exchange_rates/euro_reference_exchange_rates/html/index.cs.html</x:v>
      </x:c>
      <x:c r="M9" s="19" t="str">
        <x:v>ECB EURクロスを前回ファイルから再使用。GDPのUSD換算値は2025年実績USDとは別。</x:v>
      </x:c>
    </x:row>
    <x:row r="10" ht="80" customHeight="1">
      <x:c r="A10" s="2" t="str">
        <x:v>MY</x:v>
      </x:c>
      <x:c r="B10" s="2" t="str">
        <x:v>マレーシア</x:v>
      </x:c>
      <x:c r="C10" s="2" t="str">
        <x:v>MYR</x:v>
      </x:c>
      <x:c r="D10" s="15" t="n">
        <x:v>56231.1602214674</x:v>
      </x:c>
      <x:c r="E10" s="15" t="n">
        <x:v>13124.5554178269</x:v>
      </x:c>
      <x:c r="F10" s="12" t="n">
        <x:f>D10/H10</x:f>
        <x:v>13765.237531731245</x:v>
      </x:c>
      <x:c r="G10" s="16" t="n">
        <x:v>4.6034</x:v>
      </x:c>
      <x:c r="H10" s="13" t="n">
        <x:f>G10/$B$18</x:f>
        <x:v>4.085011979767503</x:v>
      </x:c>
      <x:c r="I10" s="14" t="d">
        <x:v>2026-10-06T00:00:00.000Z</x:v>
      </x:c>
      <x:c r="J10" s="19" t="str">
        <x:v>https://api.worldbank.org/v2/country/VNM;THA;IDN;PHL;MYS;SGP;CHN;DEU;BRA;AUS/indicator/NY.GDP.PCAP.CN?date=2025&amp;format=json&amp;per_page=100</x:v>
      </x:c>
      <x:c r="K10" s="19" t="str">
        <x:v>https://api.worldbank.org/v2/country/VNM;THA;IDN;PHL;MYS;SGP;CHN;DEU;BRA;AUS/indicator/NY.GDP.PCAP.CD?date=2025&amp;format=json&amp;per_page=100</x:v>
      </x:c>
      <x:c r="L10" s="19" t="str">
        <x:v>https://www.ecb.europa.eu/stats/policy_and_exchange_rates/euro_reference_exchange_rates/html/index.cs.html</x:v>
      </x:c>
      <x:c r="M10" s="19" t="str">
        <x:v>ECB EURクロスを前回ファイルから再使用。GDPのUSD換算値は2025年実績USDとは別。</x:v>
      </x:c>
    </x:row>
    <x:row r="11" ht="80" customHeight="1">
      <x:c r="A11" s="2" t="str">
        <x:v>SG</x:v>
      </x:c>
      <x:c r="B11" s="2" t="str">
        <x:v>シンガポール</x:v>
      </x:c>
      <x:c r="C11" s="2" t="str">
        <x:v>SGD</x:v>
      </x:c>
      <x:c r="D11" s="15" t="n">
        <x:v>129194.336604663</x:v>
      </x:c>
      <x:c r="E11" s="15" t="n">
        <x:v>98813.9788172877</x:v>
      </x:c>
      <x:c r="F11" s="12" t="n">
        <x:f>D11/H11</x:f>
        <x:v>101159.74007767838</x:v>
      </x:c>
      <x:c r="G11" s="16" t="n">
        <x:v>1.4392</x:v>
      </x:c>
      <x:c r="H11" s="13" t="n">
        <x:f>G11/$B$18</x:f>
        <x:v>1.2771319549205786</x:v>
      </x:c>
      <x:c r="I11" s="14" t="d">
        <x:v>2026-10-06T00:00:00.000Z</x:v>
      </x:c>
      <x:c r="J11" s="19" t="str">
        <x:v>https://api.worldbank.org/v2/country/VNM;THA;IDN;PHL;MYS;SGP;CHN;DEU;BRA;AUS/indicator/NY.GDP.PCAP.CN?date=2025&amp;format=json&amp;per_page=100</x:v>
      </x:c>
      <x:c r="K11" s="19" t="str">
        <x:v>https://api.worldbank.org/v2/country/VNM;THA;IDN;PHL;MYS;SGP;CHN;DEU;BRA;AUS/indicator/NY.GDP.PCAP.CD?date=2025&amp;format=json&amp;per_page=100</x:v>
      </x:c>
      <x:c r="L11" s="19" t="str">
        <x:v>https://www.ecb.europa.eu/stats/policy_and_exchange_rates/euro_reference_exchange_rates/html/index.cs.html</x:v>
      </x:c>
      <x:c r="M11" s="19" t="str">
        <x:v>ECB EURクロスを前回ファイルから再使用。GDPのUSD換算値は2025年実績USDとは別。</x:v>
      </x:c>
    </x:row>
    <x:row r="12" ht="80" customHeight="1">
      <x:c r="A12" s="2" t="str">
        <x:v>CN</x:v>
      </x:c>
      <x:c r="B12" s="2" t="str">
        <x:v>中国</x:v>
      </x:c>
      <x:c r="C12" s="2" t="str">
        <x:v>CNY</x:v>
      </x:c>
      <x:c r="D12" s="15" t="n">
        <x:v>99665.4450317613</x:v>
      </x:c>
      <x:c r="E12" s="15" t="n">
        <x:v>13861.970224368</x:v>
      </x:c>
      <x:c r="F12" s="12" t="n">
        <x:f>D12/H12</x:f>
        <x:v>14865.2606091394</x:v>
      </x:c>
      <x:c r="G12" s="16" t="n">
        <x:v>7.5554</x:v>
      </x:c>
      <x:c r="H12" s="13" t="n">
        <x:f>G12/$B$18</x:f>
        <x:v>6.704587807258851</x:v>
      </x:c>
      <x:c r="I12" s="14" t="d">
        <x:v>2026-10-06T00:00:00.000Z</x:v>
      </x:c>
      <x:c r="J12" s="19" t="str">
        <x:v>https://api.worldbank.org/v2/country/VNM;THA;IDN;PHL;MYS;SGP;CHN;DEU;BRA;AUS/indicator/NY.GDP.PCAP.CN?date=2025&amp;format=json&amp;per_page=100</x:v>
      </x:c>
      <x:c r="K12" s="19" t="str">
        <x:v>https://api.worldbank.org/v2/country/VNM;THA;IDN;PHL;MYS;SGP;CHN;DEU;BRA;AUS/indicator/NY.GDP.PCAP.CD?date=2025&amp;format=json&amp;per_page=100</x:v>
      </x:c>
      <x:c r="L12" s="19" t="str">
        <x:v>https://www.ecb.europa.eu/stats/policy_and_exchange_rates/euro_reference_exchange_rates/html/index.cs.html</x:v>
      </x:c>
      <x:c r="M12" s="19" t="str">
        <x:v>ECB EURクロスを前回ファイルから再使用。GDPのUSD換算値は2025年実績USDとは別。</x:v>
      </x:c>
    </x:row>
    <x:row r="13" ht="80" customHeight="1">
      <x:c r="A13" s="2" t="str">
        <x:v>DE</x:v>
      </x:c>
      <x:c r="B13" s="2" t="str">
        <x:v>ドイツ</x:v>
      </x:c>
      <x:c r="C13" s="2" t="str">
        <x:v>EUR</x:v>
      </x:c>
      <x:c r="D13" s="15" t="n">
        <x:v>53537.4671422151</x:v>
      </x:c>
      <x:c r="E13" s="15" t="n">
        <x:v>60496.4350820414</x:v>
      </x:c>
      <x:c r="F13" s="12" t="n">
        <x:f>D13/H13</x:f>
        <x:v>60331.3717225622</x:v>
      </x:c>
      <x:c r="G13" s="16" t="n">
        <x:v>1</x:v>
      </x:c>
      <x:c r="H13" s="13" t="n">
        <x:f>G13/$B$18</x:f>
        <x:v>0.8873901854645487</x:v>
      </x:c>
      <x:c r="I13" s="14" t="d">
        <x:v>2026-10-06T00:00:00.000Z</x:v>
      </x:c>
      <x:c r="J13" s="19" t="str">
        <x:v>https://api.worldbank.org/v2/country/VNM;THA;IDN;PHL;MYS;SGP;CHN;DEU;BRA;AUS/indicator/NY.GDP.PCAP.CN?date=2025&amp;format=json&amp;per_page=100</x:v>
      </x:c>
      <x:c r="K13" s="19" t="str">
        <x:v>https://api.worldbank.org/v2/country/VNM;THA;IDN;PHL;MYS;SGP;CHN;DEU;BRA;AUS/indicator/NY.GDP.PCAP.CD?date=2025&amp;format=json&amp;per_page=100</x:v>
      </x:c>
      <x:c r="L13" s="19" t="str">
        <x:v>https://www.ecb.europa.eu/stats/policy_and_exchange_rates/euro_reference_exchange_rates/html/index.cs.html</x:v>
      </x:c>
      <x:c r="M13" s="19" t="str">
        <x:v>ECB EURクロスを前回ファイルから再使用。GDPのUSD換算値は2025年実績USDとは別。</x:v>
      </x:c>
    </x:row>
    <x:row r="14" ht="80" customHeight="1">
      <x:c r="A14" s="2" t="str">
        <x:v>BR</x:v>
      </x:c>
      <x:c r="B14" s="2" t="str">
        <x:v>ブラジル</x:v>
      </x:c>
      <x:c r="C14" s="2" t="str">
        <x:v>BRL</x:v>
      </x:c>
      <x:c r="D14" s="15" t="n">
        <x:v>59858.1911327021</x:v>
      </x:c>
      <x:c r="E14" s="15" t="n">
        <x:v>10713.2856869511</x:v>
      </x:c>
      <x:c r="F14" s="12" t="n">
        <x:f>D14/H14</x:f>
        <x:v>12047.328246940044</x:v>
      </x:c>
      <x:c r="G14" s="16" t="n">
        <x:v>5.5991</x:v>
      </x:c>
      <x:c r="H14" s="13" t="n">
        <x:f>G14/$B$18</x:f>
        <x:v>4.968586387434555</x:v>
      </x:c>
      <x:c r="I14" s="14" t="d">
        <x:v>2026-10-06T00:00:00.000Z</x:v>
      </x:c>
      <x:c r="J14" s="19" t="str">
        <x:v>https://api.worldbank.org/v2/country/VNM;THA;IDN;PHL;MYS;SGP;CHN;DEU;BRA;AUS/indicator/NY.GDP.PCAP.CN?date=2025&amp;format=json&amp;per_page=100</x:v>
      </x:c>
      <x:c r="K14" s="19" t="str">
        <x:v>https://api.worldbank.org/v2/country/VNM;THA;IDN;PHL;MYS;SGP;CHN;DEU;BRA;AUS/indicator/NY.GDP.PCAP.CD?date=2025&amp;format=json&amp;per_page=100</x:v>
      </x:c>
      <x:c r="L14" s="19" t="str">
        <x:v>https://www.ecb.europa.eu/stats/policy_and_exchange_rates/euro_reference_exchange_rates/html/index.cs.html</x:v>
      </x:c>
      <x:c r="M14" s="19" t="str">
        <x:v>ECB EURクロスを前回ファイルから再使用。GDPのUSD換算値は2025年実績USDとは別。</x:v>
      </x:c>
    </x:row>
    <x:row r="15" ht="80" customHeight="1">
      <x:c r="A15" s="2" t="str">
        <x:v>AU</x:v>
      </x:c>
      <x:c r="B15" s="2" t="str">
        <x:v>豪州</x:v>
      </x:c>
      <x:c r="C15" s="2" t="str">
        <x:v>AUD</x:v>
      </x:c>
      <x:c r="D15" s="15" t="n">
        <x:v>100632.13008599</x:v>
      </x:c>
      <x:c r="E15" s="15" t="n">
        <x:v>65129.7227990563</x:v>
      </x:c>
      <x:c r="F15" s="12" t="n">
        <x:f>D15/H15</x:f>
        <x:v>70261.6774435577</x:v>
      </x:c>
      <x:c r="G15" s="16" t="n">
        <x:v>1.614</x:v>
      </x:c>
      <x:c r="H15" s="13" t="n">
        <x:f>G15/$B$18</x:f>
        <x:v>1.4322477593397818</x:v>
      </x:c>
      <x:c r="I15" s="14" t="d">
        <x:v>2026-10-06T00:00:00.000Z</x:v>
      </x:c>
      <x:c r="J15" s="19" t="str">
        <x:v>https://api.worldbank.org/v2/country/VNM;THA;IDN;PHL;MYS;SGP;CHN;DEU;BRA;AUS/indicator/NY.GDP.PCAP.CN?date=2025&amp;format=json&amp;per_page=100</x:v>
      </x:c>
      <x:c r="K15" s="19" t="str">
        <x:v>https://api.worldbank.org/v2/country/VNM;THA;IDN;PHL;MYS;SGP;CHN;DEU;BRA;AUS/indicator/NY.GDP.PCAP.CD?date=2025&amp;format=json&amp;per_page=100</x:v>
      </x:c>
      <x:c r="L15" s="19" t="str">
        <x:v>https://www.ecb.europa.eu/stats/policy_and_exchange_rates/euro_reference_exchange_rates/html/index.cs.html</x:v>
      </x:c>
      <x:c r="M15" s="19" t="str">
        <x:v>ECB EURクロスを前回ファイルから再使用。GDPのUSD換算値は2025年実績USDとは別。</x:v>
      </x:c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25" customHeight="1">
      <x:c r="A18" s="10" t="str">
        <x:v>共通為替の基準</x:v>
      </x:c>
      <x:c r="B18" s="17" t="n">
        <x:v>1.1269</x:v>
      </x:c>
      <x:c r="C18" s="10" t="str">
        <x:v>1 EUR = USD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5" customHeight="1">
      <x:c r="A20" s="21" t="str">
        <x:v>読み方と再現方法</x:v>
      </x:c>
      <x:c r="B20" s="20"/>
      <x:c r="C20" s="20"/>
      <x:c r="D20" s="20"/>
      <x:c r="E20" s="20"/>
      <x:c r="F20" s="20"/>
      <x:c r="G20" s="20"/>
      <x:c r="H20" s="20"/>
      <x:c r="I20" s="2"/>
      <x:c r="J20" s="2"/>
      <x:c r="K20" s="2"/>
      <x:c r="L20" s="2"/>
      <x:c r="M20" s="2"/>
    </x:row>
    <x:row r="21" ht="25" customHeight="1">
      <x:c r="A21" s="5" t="str">
        <x:v>GDP比（年分） = 2026年車両価格（現地通貨） ÷ 2025年GDP/人（現地通貨）。為替に依存しない負担指標。給与、貯蓄可能額、購入までの年数を示す値ではない。</x:v>
      </x:c>
      <x:c r="B21" s="5" t="str">
        <x:v>GDP比（年分） = 2026年車両価格（現地通貨） ÷ 2025年GDP/人（現地通貨）。為替に依存しない負担指標。給与、貯蓄可能額、購入までの年数を示す値ではない。</x:v>
      </x:c>
      <x:c r="C21" s="5" t="str">
        <x:v>GDP比（年分） = 2026年車両価格（現地通貨） ÷ 2025年GDP/人（現地通貨）。為替に依存しない負担指標。給与、貯蓄可能額、購入までの年数を示す値ではない。</x:v>
      </x:c>
      <x:c r="D21" s="5" t="str">
        <x:v>GDP比（年分） = 2026年車両価格（現地通貨） ÷ 2025年GDP/人（現地通貨）。為替に依存しない負担指標。給与、貯蓄可能額、購入までの年数を示す値ではない。</x:v>
      </x:c>
      <x:c r="E21" s="5" t="str">
        <x:v>GDP比（年分） = 2026年車両価格（現地通貨） ÷ 2025年GDP/人（現地通貨）。為替に依存しない負担指標。給与、貯蓄可能額、購入までの年数を示す値ではない。</x:v>
      </x:c>
      <x:c r="F21" s="5" t="str">
        <x:v>GDP比（年分） = 2026年車両価格（現地通貨） ÷ 2025年GDP/人（現地通貨）。為替に依存しない負担指標。給与、貯蓄可能額、購入までの年数を示す値ではない。</x:v>
      </x:c>
      <x:c r="G21" s="5" t="str">
        <x:v>GDP比（年分） = 2026年車両価格（現地通貨） ÷ 2025年GDP/人（現地通貨）。為替に依存しない負担指標。給与、貯蓄可能額、購入までの年数を示す値ではない。</x:v>
      </x:c>
      <x:c r="H21" s="5" t="str">
        <x:v>GDP比（年分） = 2026年車両価格（現地通貨） ÷ 2025年GDP/人（現地通貨）。為替に依存しない負担指標。給与、貯蓄可能額、購入までの年数を示す値ではない。</x:v>
      </x:c>
      <x:c r="I21" s="2"/>
      <x:c r="J21" s="2"/>
      <x:c r="K21" s="2"/>
      <x:c r="L21" s="2"/>
      <x:c r="M21" s="2"/>
    </x:row>
    <x:row r="22" ht="25" customHeight="1">
      <x:c r="A22" s="5" t="str">
        <x:v>GDP比（年分） = 2026年車両価格（現地通貨） ÷ 2025年GDP/人（現地通貨）。為替に依存しない負担指標。給与、貯蓄可能額、購入までの年数を示す値ではない。</x:v>
      </x:c>
      <x:c r="B22" s="5" t="str">
        <x:v>GDP比（年分） = 2026年車両価格（現地通貨） ÷ 2025年GDP/人（現地通貨）。為替に依存しない負担指標。給与、貯蓄可能額、購入までの年数を示す値ではない。</x:v>
      </x:c>
      <x:c r="C22" s="5" t="str">
        <x:v>GDP比（年分） = 2026年車両価格（現地通貨） ÷ 2025年GDP/人（現地通貨）。為替に依存しない負担指標。給与、貯蓄可能額、購入までの年数を示す値ではない。</x:v>
      </x:c>
      <x:c r="D22" s="5" t="str">
        <x:v>GDP比（年分） = 2026年車両価格（現地通貨） ÷ 2025年GDP/人（現地通貨）。為替に依存しない負担指標。給与、貯蓄可能額、購入までの年数を示す値ではない。</x:v>
      </x:c>
      <x:c r="E22" s="5" t="str">
        <x:v>GDP比（年分） = 2026年車両価格（現地通貨） ÷ 2025年GDP/人（現地通貨）。為替に依存しない負担指標。給与、貯蓄可能額、購入までの年数を示す値ではない。</x:v>
      </x:c>
      <x:c r="F22" s="5" t="str">
        <x:v>GDP比（年分） = 2026年車両価格（現地通貨） ÷ 2025年GDP/人（現地通貨）。為替に依存しない負担指標。給与、貯蓄可能額、購入までの年数を示す値ではない。</x:v>
      </x:c>
      <x:c r="G22" s="5" t="str">
        <x:v>GDP比（年分） = 2026年車両価格（現地通貨） ÷ 2025年GDP/人（現地通貨）。為替に依存しない負担指標。給与、貯蓄可能額、購入までの年数を示す値ではない。</x:v>
      </x:c>
      <x:c r="H22" s="5" t="str">
        <x:v>GDP比（年分） = 2026年車両価格（現地通貨） ÷ 2025年GDP/人（現地通貨）。為替に依存しない負担指標。給与、貯蓄可能額、購入までの年数を示す値ではない。</x:v>
      </x:c>
      <x:c r="I22" s="2"/>
      <x:c r="J22" s="2"/>
      <x:c r="K22" s="2"/>
      <x:c r="L22" s="2"/>
      <x:c r="M22" s="2"/>
    </x:row>
    <x:row r="23" ht="25" customHeight="1">
      <x:c r="A23" s="5" t="str">
        <x:v>相関の主計算は、GDPの現地通貨値と価格を同じ為替でUSD換算して実施。WB公表USDとの相関も感度分析として併記。価格とGDPの年次差、インフレ、国ごとの税・仕様差は残る。</x:v>
      </x:c>
      <x:c r="B23" s="5" t="str">
        <x:v>相関の主計算は、GDPの現地通貨値と価格を同じ為替でUSD換算して実施。WB公表USDとの相関も感度分析として併記。価格とGDPの年次差、インフレ、国ごとの税・仕様差は残る。</x:v>
      </x:c>
      <x:c r="C23" s="5" t="str">
        <x:v>相関の主計算は、GDPの現地通貨値と価格を同じ為替でUSD換算して実施。WB公表USDとの相関も感度分析として併記。価格とGDPの年次差、インフレ、国ごとの税・仕様差は残る。</x:v>
      </x:c>
      <x:c r="D23" s="5" t="str">
        <x:v>相関の主計算は、GDPの現地通貨値と価格を同じ為替でUSD換算して実施。WB公表USDとの相関も感度分析として併記。価格とGDPの年次差、インフレ、国ごとの税・仕様差は残る。</x:v>
      </x:c>
      <x:c r="E23" s="5" t="str">
        <x:v>相関の主計算は、GDPの現地通貨値と価格を同じ為替でUSD換算して実施。WB公表USDとの相関も感度分析として併記。価格とGDPの年次差、インフレ、国ごとの税・仕様差は残る。</x:v>
      </x:c>
      <x:c r="F23" s="5" t="str">
        <x:v>相関の主計算は、GDPの現地通貨値と価格を同じ為替でUSD換算して実施。WB公表USDとの相関も感度分析として併記。価格とGDPの年次差、インフレ、国ごとの税・仕様差は残る。</x:v>
      </x:c>
      <x:c r="G23" s="5" t="str">
        <x:v>相関の主計算は、GDPの現地通貨値と価格を同じ為替でUSD換算して実施。WB公表USDとの相関も感度分析として併記。価格とGDPの年次差、インフレ、国ごとの税・仕様差は残る。</x:v>
      </x:c>
      <x:c r="H23" s="5" t="str">
        <x:v>相関の主計算は、GDPの現地通貨値と価格を同じ為替でUSD換算して実施。WB公表USDとの相関も感度分析として併記。価格とGDPの年次差、インフレ、国ごとの税・仕様差は残る。</x:v>
      </x:c>
      <x:c r="I23" s="2"/>
      <x:c r="J23" s="2"/>
      <x:c r="K23" s="2"/>
      <x:c r="L23" s="2"/>
      <x:c r="M23" s="2"/>
    </x:row>
    <x:row r="24" ht="25" customHeight="1">
      <x:c r="A24" s="5" t="str">
        <x:v>相関の主計算は、GDPの現地通貨値と価格を同じ為替でUSD換算して実施。WB公表USDとの相関も感度分析として併記。価格とGDPの年次差、インフレ、国ごとの税・仕様差は残る。</x:v>
      </x:c>
      <x:c r="B24" s="5" t="str">
        <x:v>相関の主計算は、GDPの現地通貨値と価格を同じ為替でUSD換算して実施。WB公表USDとの相関も感度分析として併記。価格とGDPの年次差、インフレ、国ごとの税・仕様差は残る。</x:v>
      </x:c>
      <x:c r="C24" s="5" t="str">
        <x:v>相関の主計算は、GDPの現地通貨値と価格を同じ為替でUSD換算して実施。WB公表USDとの相関も感度分析として併記。価格とGDPの年次差、インフレ、国ごとの税・仕様差は残る。</x:v>
      </x:c>
      <x:c r="D24" s="5" t="str">
        <x:v>相関の主計算は、GDPの現地通貨値と価格を同じ為替でUSD換算して実施。WB公表USDとの相関も感度分析として併記。価格とGDPの年次差、インフレ、国ごとの税・仕様差は残る。</x:v>
      </x:c>
      <x:c r="E24" s="5" t="str">
        <x:v>相関の主計算は、GDPの現地通貨値と価格を同じ為替でUSD換算して実施。WB公表USDとの相関も感度分析として併記。価格とGDPの年次差、インフレ、国ごとの税・仕様差は残る。</x:v>
      </x:c>
      <x:c r="F24" s="5" t="str">
        <x:v>相関の主計算は、GDPの現地通貨値と価格を同じ為替でUSD換算して実施。WB公表USDとの相関も感度分析として併記。価格とGDPの年次差、インフレ、国ごとの税・仕様差は残る。</x:v>
      </x:c>
      <x:c r="G24" s="5" t="str">
        <x:v>相関の主計算は、GDPの現地通貨値と価格を同じ為替でUSD換算して実施。WB公表USDとの相関も感度分析として併記。価格とGDPの年次差、インフレ、国ごとの税・仕様差は残る。</x:v>
      </x:c>
      <x:c r="H24" s="5" t="str">
        <x:v>相関の主計算は、GDPの現地通貨値と価格を同じ為替でUSD換算して実施。WB公表USDとの相関も感度分析として併記。価格とGDPの年次差、インフレ、国ごとの税・仕様差は残る。</x:v>
      </x:c>
      <x:c r="I24" s="2"/>
      <x:c r="J24" s="2"/>
      <x:c r="K24" s="2"/>
      <x:c r="L24" s="2"/>
      <x:c r="M24" s="2"/>
    </x:row>
    <x:row r="25" ht="25" customHeight="1">
      <x:c r="A25" s="5" t="str">
        <x:v>世界銀行WDI：NY.GDP.PCAP.CN（current LCU）とNY.GDP.PCAP.CD（current US$）。取得2026/10/07、API更新2026/07/13。10カ国とも2025年の値あり。PPP GDPは使っていない。</x:v>
      </x:c>
      <x:c r="B25" s="5" t="str">
        <x:v>世界銀行WDI：NY.GDP.PCAP.CN（current LCU）とNY.GDP.PCAP.CD（current US$）。取得2026/10/07、API更新2026/07/13。10カ国とも2025年の値あり。PPP GDPは使っていない。</x:v>
      </x:c>
      <x:c r="C25" s="5" t="str">
        <x:v>世界銀行WDI：NY.GDP.PCAP.CN（current LCU）とNY.GDP.PCAP.CD（current US$）。取得2026/10/07、API更新2026/07/13。10カ国とも2025年の値あり。PPP GDPは使っていない。</x:v>
      </x:c>
      <x:c r="D25" s="5" t="str">
        <x:v>世界銀行WDI：NY.GDP.PCAP.CN（current LCU）とNY.GDP.PCAP.CD（current US$）。取得2026/10/07、API更新2026/07/13。10カ国とも2025年の値あり。PPP GDPは使っていない。</x:v>
      </x:c>
      <x:c r="E25" s="5" t="str">
        <x:v>世界銀行WDI：NY.GDP.PCAP.CN（current LCU）とNY.GDP.PCAP.CD（current US$）。取得2026/10/07、API更新2026/07/13。10カ国とも2025年の値あり。PPP GDPは使っていない。</x:v>
      </x:c>
      <x:c r="F25" s="5" t="str">
        <x:v>世界銀行WDI：NY.GDP.PCAP.CN（current LCU）とNY.GDP.PCAP.CD（current US$）。取得2026/10/07、API更新2026/07/13。10カ国とも2025年の値あり。PPP GDPは使っていない。</x:v>
      </x:c>
      <x:c r="G25" s="5" t="str">
        <x:v>世界銀行WDI：NY.GDP.PCAP.CN（current LCU）とNY.GDP.PCAP.CD（current US$）。取得2026/10/07、API更新2026/07/13。10カ国とも2025年の値あり。PPP GDPは使っていない。</x:v>
      </x:c>
      <x:c r="H25" s="5" t="str">
        <x:v>世界銀行WDI：NY.GDP.PCAP.CN（current LCU）とNY.GDP.PCAP.CD（current US$）。取得2026/10/07、API更新2026/07/13。10カ国とも2025年の値あり。PPP GDPは使っていない。</x:v>
      </x:c>
      <x:c r="I25" s="2"/>
      <x:c r="J25" s="2"/>
      <x:c r="K25" s="2"/>
      <x:c r="L25" s="2"/>
      <x:c r="M25" s="2"/>
    </x:row>
    <x:row r="26" ht="25" customHeight="1">
      <x:c r="A26" s="5" t="str">
        <x:v>世界銀行WDI：NY.GDP.PCAP.CN（current LCU）とNY.GDP.PCAP.CD（current US$）。取得2026/10/07、API更新2026/07/13。10カ国とも2025年の値あり。PPP GDPは使っていない。</x:v>
      </x:c>
      <x:c r="B26" s="5" t="str">
        <x:v>世界銀行WDI：NY.GDP.PCAP.CN（current LCU）とNY.GDP.PCAP.CD（current US$）。取得2026/10/07、API更新2026/07/13。10カ国とも2025年の値あり。PPP GDPは使っていない。</x:v>
      </x:c>
      <x:c r="C26" s="5" t="str">
        <x:v>世界銀行WDI：NY.GDP.PCAP.CN（current LCU）とNY.GDP.PCAP.CD（current US$）。取得2026/10/07、API更新2026/07/13。10カ国とも2025年の値あり。PPP GDPは使っていない。</x:v>
      </x:c>
      <x:c r="D26" s="5" t="str">
        <x:v>世界銀行WDI：NY.GDP.PCAP.CN（current LCU）とNY.GDP.PCAP.CD（current US$）。取得2026/10/07、API更新2026/07/13。10カ国とも2025年の値あり。PPP GDPは使っていない。</x:v>
      </x:c>
      <x:c r="E26" s="5" t="str">
        <x:v>世界銀行WDI：NY.GDP.PCAP.CN（current LCU）とNY.GDP.PCAP.CD（current US$）。取得2026/10/07、API更新2026/07/13。10カ国とも2025年の値あり。PPP GDPは使っていない。</x:v>
      </x:c>
      <x:c r="F26" s="5" t="str">
        <x:v>世界銀行WDI：NY.GDP.PCAP.CN（current LCU）とNY.GDP.PCAP.CD（current US$）。取得2026/10/07、API更新2026/07/13。10カ国とも2025年の値あり。PPP GDPは使っていない。</x:v>
      </x:c>
      <x:c r="G26" s="5" t="str">
        <x:v>世界銀行WDI：NY.GDP.PCAP.CN（current LCU）とNY.GDP.PCAP.CD（current US$）。取得2026/10/07、API更新2026/07/13。10カ国とも2025年の値あり。PPP GDPは使っていない。</x:v>
      </x:c>
      <x:c r="H26" s="5" t="str">
        <x:v>世界銀行WDI：NY.GDP.PCAP.CN（current LCU）とNY.GDP.PCAP.CD（current US$）。取得2026/10/07、API更新2026/07/13。10カ国とも2025年の値あり。PPP GDPは使っていない。</x:v>
      </x:c>
      <x:c r="I26" s="2"/>
      <x:c r="J26" s="2"/>
      <x:c r="K26" s="2"/>
      <x:c r="L26" s="2"/>
      <x:c r="M26" s="2"/>
    </x:row>
    <x:row r="27" ht="25" customHeight="1">
      <x:c r="A27" s="5" t="str">
        <x:v>青字は出典付き入力。数式セルは黒字。価格・為替・GDPを編集すれば、価格換算、GDP比、相関、グラフが更新される。未確認価格は空欄のままにし、ゼロを代入しない。</x:v>
      </x:c>
      <x:c r="B27" s="5" t="str">
        <x:v>青字は出典付き入力。数式セルは黒字。価格・為替・GDPを編集すれば、価格換算、GDP比、相関、グラフが更新される。未確認価格は空欄のままにし、ゼロを代入しない。</x:v>
      </x:c>
      <x:c r="C27" s="5" t="str">
        <x:v>青字は出典付き入力。数式セルは黒字。価格・為替・GDPを編集すれば、価格換算、GDP比、相関、グラフが更新される。未確認価格は空欄のままにし、ゼロを代入しない。</x:v>
      </x:c>
      <x:c r="D27" s="5" t="str">
        <x:v>青字は出典付き入力。数式セルは黒字。価格・為替・GDPを編集すれば、価格換算、GDP比、相関、グラフが更新される。未確認価格は空欄のままにし、ゼロを代入しない。</x:v>
      </x:c>
      <x:c r="E27" s="5" t="str">
        <x:v>青字は出典付き入力。数式セルは黒字。価格・為替・GDPを編集すれば、価格換算、GDP比、相関、グラフが更新される。未確認価格は空欄のままにし、ゼロを代入しない。</x:v>
      </x:c>
      <x:c r="F27" s="5" t="str">
        <x:v>青字は出典付き入力。数式セルは黒字。価格・為替・GDPを編集すれば、価格換算、GDP比、相関、グラフが更新される。未確認価格は空欄のままにし、ゼロを代入しない。</x:v>
      </x:c>
      <x:c r="G27" s="5" t="str">
        <x:v>青字は出典付き入力。数式セルは黒字。価格・為替・GDPを編集すれば、価格換算、GDP比、相関、グラフが更新される。未確認価格は空欄のままにし、ゼロを代入しない。</x:v>
      </x:c>
      <x:c r="H27" s="5" t="str">
        <x:v>青字は出典付き入力。数式セルは黒字。価格・為替・GDPを編集すれば、価格換算、GDP比、相関、グラフが更新される。未確認価格は空欄のままにし、ゼロを代入しない。</x:v>
      </x:c>
      <x:c r="I27" s="2"/>
      <x:c r="J27" s="2"/>
      <x:c r="K27" s="2"/>
      <x:c r="L27" s="2"/>
      <x:c r="M27" s="2"/>
    </x:row>
    <x:row r="28" ht="25" customHeight="1">
      <x:c r="A28" s="5" t="str">
        <x:v>青字は出典付き入力。数式セルは黒字。価格・為替・GDPを編集すれば、価格換算、GDP比、相関、グラフが更新される。未確認価格は空欄のままにし、ゼロを代入しない。</x:v>
      </x:c>
      <x:c r="B28" s="5" t="str">
        <x:v>青字は出典付き入力。数式セルは黒字。価格・為替・GDPを編集すれば、価格換算、GDP比、相関、グラフが更新される。未確認価格は空欄のままにし、ゼロを代入しない。</x:v>
      </x:c>
      <x:c r="C28" s="5" t="str">
        <x:v>青字は出典付き入力。数式セルは黒字。価格・為替・GDPを編集すれば、価格換算、GDP比、相関、グラフが更新される。未確認価格は空欄のままにし、ゼロを代入しない。</x:v>
      </x:c>
      <x:c r="D28" s="5" t="str">
        <x:v>青字は出典付き入力。数式セルは黒字。価格・為替・GDPを編集すれば、価格換算、GDP比、相関、グラフが更新される。未確認価格は空欄のままにし、ゼロを代入しない。</x:v>
      </x:c>
      <x:c r="E28" s="5" t="str">
        <x:v>青字は出典付き入力。数式セルは黒字。価格・為替・GDPを編集すれば、価格換算、GDP比、相関、グラフが更新される。未確認価格は空欄のままにし、ゼロを代入しない。</x:v>
      </x:c>
      <x:c r="F28" s="5" t="str">
        <x:v>青字は出典付き入力。数式セルは黒字。価格・為替・GDPを編集すれば、価格換算、GDP比、相関、グラフが更新される。未確認価格は空欄のままにし、ゼロを代入しない。</x:v>
      </x:c>
      <x:c r="G28" s="5" t="str">
        <x:v>青字は出典付き入力。数式セルは黒字。価格・為替・GDPを編集すれば、価格換算、GDP比、相関、グラフが更新される。未確認価格は空欄のままにし、ゼロを代入しない。</x:v>
      </x:c>
      <x:c r="H28" s="5" t="str">
        <x:v>青字は出典付き入力。数式セルは黒字。価格・為替・GDPを編集すれば、価格換算、GDP比、相関、グラフが更新される。未確認価格は空欄のままにし、ゼロを代入しない。</x:v>
      </x:c>
      <x:c r="I28" s="2"/>
      <x:c r="J28" s="2"/>
      <x:c r="K28" s="2"/>
      <x:c r="L28" s="2"/>
      <x:c r="M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</x:sheetData>
  <x:mergeCells>
    <x:mergeCell ref="A3:M4"/>
    <x:mergeCell ref="A21:H22"/>
    <x:mergeCell ref="A23:H24"/>
    <x:mergeCell ref="A25:H26"/>
    <x:mergeCell ref="A27:H28"/>
  </x:mergeCells>
  <x:pageMargins left="0.7" right="0.7" top="0.75" bottom="0.75" header="0.3" footer="0.3"/>
</x:worksheet>
</file>