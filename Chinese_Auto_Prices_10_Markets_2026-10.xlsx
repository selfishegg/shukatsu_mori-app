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drawings/charts/chart5.xml" ContentType="application/vnd.openxmlformats-officedocument.drawingml.char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18904318d647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比較一覧" sheetId="1" r:id="Rf4acb93fda8445a6"/>
    <x:sheet xmlns:r="http://schemas.openxmlformats.org/officeDocument/2006/relationships" name="グラフ" sheetId="2" r:id="R6b937a1f55834fd8"/>
    <x:sheet xmlns:r="http://schemas.openxmlformats.org/officeDocument/2006/relationships" name="価格データ" sheetId="3" r:id="R50442b1ed65149f4"/>
    <x:sheet xmlns:r="http://schemas.openxmlformats.org/officeDocument/2006/relationships" name="仮説と読み方" sheetId="4" r:id="R0fbb172ac5b04858"/>
    <x:sheet xmlns:r="http://schemas.openxmlformats.org/officeDocument/2006/relationships" name="為替" sheetId="5" r:id="R2c06f33a19414ef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#,##0.0000"/>
    <x:numFmt numFmtId="201" formatCode="yyyy/mm/dd"/>
    <x:numFmt numFmtId="202" formatCode="#,##0"/>
    <x:numFmt numFmtId="203" formatCode="0.0"/>
    <x:numFmt numFmtId="204" formatCode="0.00"/>
    <x:numFmt numFmtId="205" formatCode="0"/>
    <x:numFmt numFmtId="206" formatCode="0.0%"/>
  </x:numFmts>
  <x:fonts count="10">
    <x:font>
      <x:sz val="11"/>
      <x:name val="Carlito"/>
    </x:font>
    <x:font>
      <x:sz val="10"/>
      <x:color rgb="FF183349"/>
      <x:name val="Noto Sans CJK JP"/>
    </x:font>
    <x:font>
      <x:b/>
      <x:sz val="14"/>
      <x:color rgb="FF183349"/>
      <x:name val="Noto Sans CJK JP"/>
    </x:font>
    <x:font>
      <x:sz val="10"/>
      <x:color rgb="FF183349"/>
      <x:name val="Noto Sans CJK JP"/>
    </x:font>
    <x:font>
      <x:b/>
      <x:sz val="10"/>
      <x:color rgb="FFFFFFFF"/>
      <x:name val="Noto Sans CJK JP"/>
    </x:font>
    <x:font>
      <x:sz val="10"/>
      <x:color rgb="FF3478A5"/>
      <x:name val="Noto Sans CJK JP"/>
    </x:font>
    <x:font>
      <x:sz val="9"/>
      <x:color rgb="FF5B6B77"/>
      <x:name val="Noto Sans CJK JP"/>
    </x:font>
    <x:font>
      <x:b/>
      <x:sz val="11"/>
      <x:color rgb="FF183349"/>
      <x:name val="Noto Sans CJK JP"/>
    </x:font>
    <x:font>
      <x:b/>
      <x:sz val="10"/>
      <x:color rgb="FF183349"/>
      <x:name val="Noto Sans CJK JP"/>
    </x:font>
    <x:font>
      <x:sz val="9"/>
      <x:color rgb="FF183349"/>
      <x:name val="Noto Sans CJK JP"/>
    </x:font>
  </x:fonts>
  <x:fills count="6">
    <x:fill>
      <x:patternFill patternType="none"/>
    </x:fill>
    <x:fill>
      <x:patternFill patternType="gray125"/>
    </x:fill>
    <x:fill>
      <x:patternFill patternType="solid">
        <x:fgColor rgb="FFEAF2F5"/>
      </x:patternFill>
    </x:fill>
    <x:fill>
      <x:patternFill patternType="solid">
        <x:fgColor rgb="FF183349"/>
      </x:patternFill>
    </x:fill>
    <x:fill>
      <x:patternFill patternType="solid">
        <x:fgColor rgb="FFFFF1DA"/>
      </x:patternFill>
    </x:fill>
    <x:fill>
      <x:patternFill patternType="solid">
        <x:fgColor rgb="FFF0F2F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202" fontId="5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2" fontId="5" fillId="4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 applyAlignment="1">
      <x:alignment vertical="center"/>
    </x:xf>
    <x:xf numFmtId="0" fontId="7" fillId="2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202" fontId="1" fillId="4" borderId="0" xfId="0" applyNumberFormat="1" applyFont="1" applyFill="1" applyBorder="1" applyAlignment="1">
      <x:alignment vertical="center"/>
    </x:xf>
    <x:xf numFmtId="203" fontId="1" fillId="4" borderId="0" xfId="0" applyNumberFormat="1" applyFont="1" applyFill="1" applyBorder="1" applyAlignment="1">
      <x:alignment vertical="center"/>
    </x:xf>
    <x:xf numFmtId="205" fontId="1" fillId="0" borderId="0" xfId="0" applyNumberFormat="1" applyFont="1" applyFill="1" applyBorder="1" applyAlignment="1">
      <x:alignment vertical="center"/>
    </x:xf>
    <x:xf numFmtId="206" fontId="1" fillId="0" borderId="0" xfId="0" applyNumberFormat="1" applyFont="1" applyFill="1" applyBorder="1" applyAlignment="1">
      <x:alignment vertical="center"/>
    </x:xf>
    <x:xf numFmtId="0" fontId="8" fillId="2" borderId="0" xfId="0" applyNumberFormat="1" applyFont="1" applyFill="1" applyBorder="1" applyAlignment="1">
      <x:alignment vertical="center"/>
    </x:xf>
    <x:xf numFmtId="0" fontId="8" fillId="2" borderId="0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 wrapText="1"/>
    </x:xf>
    <x:xf numFmtId="0" fontId="9" fillId="0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9bebc26cce43a5" /><Relationship Type="http://schemas.openxmlformats.org/officeDocument/2006/relationships/theme" Target="/xl/theme/theme1.xml" Id="R2cb637ee47e44c0a" /><Relationship Type="http://schemas.openxmlformats.org/officeDocument/2006/relationships/sharedStrings" Target="/xl/sharedStrings.xml" Id="R2d52313e480c49b6" /><Relationship Type="http://schemas.openxmlformats.org/officeDocument/2006/relationships/worksheet" Target="/xl/worksheets/sheet1.xml" Id="Rf4acb93fda8445a6" /><Relationship Type="http://schemas.openxmlformats.org/officeDocument/2006/relationships/worksheet" Target="/xl/worksheets/sheet2.xml" Id="R6b937a1f55834fd8" /><Relationship Type="http://schemas.openxmlformats.org/officeDocument/2006/relationships/worksheet" Target="/xl/worksheets/sheet3.xml" Id="R50442b1ed65149f4" /><Relationship Type="http://schemas.openxmlformats.org/officeDocument/2006/relationships/worksheet" Target="/xl/worksheets/sheet4.xml" Id="R0fbb172ac5b04858" /><Relationship Type="http://schemas.openxmlformats.org/officeDocument/2006/relationships/worksheet" Target="/xl/worksheets/sheet5.xml" Id="R2c06f33a19414ef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128d9c348544f0f" /><Relationship Type="http://schemas.openxmlformats.org/officeDocument/2006/relationships/chart" Target="/xl/drawings/charts/chart2.xml" Id="R8b54d3cc9b0c45c1" /><Relationship Type="http://schemas.openxmlformats.org/officeDocument/2006/relationships/chart" Target="/xl/drawings/charts/chart3.xml" Id="Rab2825d323d04290" /><Relationship Type="http://schemas.openxmlformats.org/officeDocument/2006/relationships/chart" Target="/xl/drawings/charts/chart4.xml" Id="R1b6070d9ab764a3d" /><Relationship Type="http://schemas.openxmlformats.org/officeDocument/2006/relationships/chart" Target="/xl/drawings/charts/chart5.xml" Id="Rba97fb34178c4d5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Noto Sans CJK JP"/>
                <a:ea typeface="Noto Sans CJK JP"/>
                <a:cs typeface="Noto Sans CJK JP"/>
              </a:rPr>
              <a:t>Dolphin：通常価格（千USD）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Noto Sans CJK JP"/>
              <a:ea typeface="Noto Sans CJK JP"/>
              <a:cs typeface="Noto Sans CJK JP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Dolphin 千USD</c:v>
          </c:tx>
          <c:spPr>
            <a:solidFill xmlns:a="http://schemas.openxmlformats.org/drawingml/2006/main">
              <a:srgbClr val="167E86"/>
            </a:solidFill>
          </c:spPr>
          <c:cat>
            <c:strRef>
              <c:f>'グラフ'!$A$75:$A$83</c:f>
              <c:strCache>
                <c:ptCount val="0"/>
              </c:strCache>
            </c:strRef>
          </c:cat>
          <c:val>
            <c:numRef>
              <c:f>'グラフ'!$B$75:$B$83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Noto Sans CJK JP"/>
                <a:ea typeface="Noto Sans CJK JP"/>
                <a:cs typeface="Noto Sans CJK JP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Noto Sans CJK JP"/>
                <a:ea typeface="Noto Sans CJK JP"/>
                <a:cs typeface="Noto Sans CJK JP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Noto Sans CJK JP"/>
                <a:ea typeface="Noto Sans CJK JP"/>
                <a:cs typeface="Noto Sans CJK JP"/>
              </a:rPr>
              <a:t>Seal：通常価格（千USD）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Noto Sans CJK JP"/>
              <a:ea typeface="Noto Sans CJK JP"/>
              <a:cs typeface="Noto Sans CJK JP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Seal 千USD</c:v>
          </c:tx>
          <c:spPr>
            <a:solidFill xmlns:a="http://schemas.openxmlformats.org/drawingml/2006/main">
              <a:srgbClr val="3478A5"/>
            </a:solidFill>
          </c:spPr>
          <c:cat>
            <c:strRef>
              <c:f>'グラフ'!$A$87:$A$94</c:f>
              <c:strCache>
                <c:ptCount val="0"/>
              </c:strCache>
            </c:strRef>
          </c:cat>
          <c:val>
            <c:numRef>
              <c:f>'グラフ'!$B$87:$B$94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Noto Sans CJK JP"/>
                <a:ea typeface="Noto Sans CJK JP"/>
                <a:cs typeface="Noto Sans CJK JP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Noto Sans CJK JP"/>
                <a:ea typeface="Noto Sans CJK JP"/>
                <a:cs typeface="Noto Sans CJK JP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Noto Sans CJK JP"/>
                <a:ea typeface="Noto Sans CJK JP"/>
                <a:cs typeface="Noto Sans CJK JP"/>
              </a:rPr>
              <a:t>Atto 3系統：通常価格（千USD）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Noto Sans CJK JP"/>
              <a:ea typeface="Noto Sans CJK JP"/>
              <a:cs typeface="Noto Sans CJK JP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Atto 3 / Yuan Plus 千USD</c:v>
          </c:tx>
          <c:spPr>
            <a:solidFill xmlns:a="http://schemas.openxmlformats.org/drawingml/2006/main">
              <a:srgbClr val="167E86"/>
            </a:solidFill>
          </c:spPr>
          <c:cat>
            <c:strRef>
              <c:f>'グラフ'!$A$99:$A$107</c:f>
              <c:strCache>
                <c:ptCount val="0"/>
              </c:strCache>
            </c:strRef>
          </c:cat>
          <c:val>
            <c:numRef>
              <c:f>'グラフ'!$B$99:$B$107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Noto Sans CJK JP"/>
                <a:ea typeface="Noto Sans CJK JP"/>
                <a:cs typeface="Noto Sans CJK JP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Noto Sans CJK JP"/>
                <a:ea typeface="Noto Sans CJK JP"/>
                <a:cs typeface="Noto Sans CJK JP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Noto Sans CJK JP"/>
                <a:ea typeface="Noto Sans CJK JP"/>
                <a:cs typeface="Noto Sans CJK JP"/>
              </a:rPr>
              <a:t>H6 HEV：通常価格（千USD）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Noto Sans CJK JP"/>
              <a:ea typeface="Noto Sans CJK JP"/>
              <a:cs typeface="Noto Sans CJK JP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Haval H6 HEV 千USD</c:v>
          </c:tx>
          <c:spPr>
            <a:solidFill xmlns:a="http://schemas.openxmlformats.org/drawingml/2006/main">
              <a:srgbClr val="3478A5"/>
            </a:solidFill>
          </c:spPr>
          <c:cat>
            <c:strRef>
              <c:f>'グラフ'!$A$112:$A$118</c:f>
              <c:strCache>
                <c:ptCount val="0"/>
              </c:strCache>
            </c:strRef>
          </c:cat>
          <c:val>
            <c:numRef>
              <c:f>'グラフ'!$B$112:$B$118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Noto Sans CJK JP"/>
                <a:ea typeface="Noto Sans CJK JP"/>
                <a:cs typeface="Noto Sans CJK JP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Noto Sans CJK JP"/>
                <a:ea typeface="Noto Sans CJK JP"/>
                <a:cs typeface="Noto Sans CJK JP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Noto Sans CJK JP"/>
                <a:ea typeface="Noto Sans CJK JP"/>
                <a:cs typeface="Noto Sans CJK JP"/>
              </a:rPr>
              <a:t>シンガポール：List Price（千USD）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Noto Sans CJK JP"/>
              <a:ea typeface="Noto Sans CJK JP"/>
              <a:cs typeface="Noto Sans CJK JP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List Price 千USD</c:v>
          </c:tx>
          <c:spPr>
            <a:solidFill xmlns:a="http://schemas.openxmlformats.org/drawingml/2006/main">
              <a:srgbClr val="B97130"/>
            </a:solidFill>
          </c:spPr>
          <c:cat>
            <c:strRef>
              <c:f>'グラフ'!$A$126:$A$129</c:f>
              <c:strCache>
                <c:ptCount val="0"/>
              </c:strCache>
            </c:strRef>
          </c:cat>
          <c:val>
            <c:numRef>
              <c:f>'グラフ'!$B$126:$B$129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Noto Sans CJK JP"/>
                <a:ea typeface="Noto Sans CJK JP"/>
                <a:cs typeface="Noto Sans CJK JP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Noto Sans CJK JP"/>
                <a:ea typeface="Noto Sans CJK JP"/>
                <a:cs typeface="Noto Sans CJK JP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4</xdr:row>
      <xdr:rowOff>0</xdr:rowOff>
    </xdr:from>
    <xdr:to>
      <xdr:col>8</xdr:col>
      <xdr:colOff>0</xdr:colOff>
      <xdr:row>23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128d9c348544f0f"/>
        </a:graphicData>
      </a:graphic>
    </xdr:graphicFrame>
    <xdr:clientData/>
  </xdr:twoCellAnchor>
  <xdr:twoCellAnchor>
    <xdr:from>
      <xdr:col>8</xdr:col>
      <xdr:colOff>0</xdr:colOff>
      <xdr:row>4</xdr:row>
      <xdr:rowOff>0</xdr:rowOff>
    </xdr:from>
    <xdr:to>
      <xdr:col>16</xdr:col>
      <xdr:colOff>0</xdr:colOff>
      <xdr:row>23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b54d3cc9b0c45c1"/>
        </a:graphicData>
      </a:graphic>
    </xdr:graphicFrame>
    <xdr:clientData/>
  </xdr:twoCellAnchor>
  <xdr:twoCellAnchor>
    <xdr:from>
      <xdr:col>0</xdr:col>
      <xdr:colOff>0</xdr:colOff>
      <xdr:row>26</xdr:row>
      <xdr:rowOff>0</xdr:rowOff>
    </xdr:from>
    <xdr:to>
      <xdr:col>8</xdr:col>
      <xdr:colOff>0</xdr:colOff>
      <xdr:row>45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b2825d323d04290"/>
        </a:graphicData>
      </a:graphic>
    </xdr:graphicFrame>
    <xdr:clientData/>
  </xdr:twoCellAnchor>
  <xdr:twoCellAnchor>
    <xdr:from>
      <xdr:col>8</xdr:col>
      <xdr:colOff>0</xdr:colOff>
      <xdr:row>26</xdr:row>
      <xdr:rowOff>0</xdr:rowOff>
    </xdr:from>
    <xdr:to>
      <xdr:col>16</xdr:col>
      <xdr:colOff>0</xdr:colOff>
      <xdr:row>45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b6070d9ab764a3d"/>
        </a:graphicData>
      </a:graphic>
    </xdr:graphicFrame>
    <xdr:clientData/>
  </xdr:twoCellAnchor>
  <xdr:twoCellAnchor>
    <xdr:from>
      <xdr:col>0</xdr:col>
      <xdr:colOff>0</xdr:colOff>
      <xdr:row>51</xdr:row>
      <xdr:rowOff>0</xdr:rowOff>
    </xdr:from>
    <xdr:to>
      <xdr:col>8</xdr:col>
      <xdr:colOff>0</xdr:colOff>
      <xdr:row>70</xdr:row>
      <xdr:rowOff>0</xdr:rowOff>
    </xdr:to>
    <xdr:graphicFrame macro="">
      <xdr:nvGraphicFramePr>
        <xdr:cNvPr id="5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a97fb34178c4d51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Prices" displayName="Prices" ref="A5:X75" headerRowCount="1" totalsRowCount="0" totalsRowShown="0">
  <x:tableColumns count="24">
    <x:tableColumn id="1" name="ID"/>
    <x:tableColumn id="2" name="市場"/>
    <x:tableColumn id="3" name="企業グループ"/>
    <x:tableColumn id="4" name="比較車種系統"/>
    <x:tableColumn id="5" name="現地車名"/>
    <x:tableColumn id="6" name="採用グレード"/>
    <x:tableColumn id="7" name="動力"/>
    <x:tableColumn id="8" name="電池 kWh"/>
    <x:tableColumn id="9" name="通貨"/>
    <x:tableColumn id="10" name="通常価格 / 現地"/>
    <x:tableColumn id="11" name="参考価格 / 現地"/>
    <x:tableColumn id="12" name="参考価格の条件"/>
    <x:tableColumn id="13" name="税・費用基準"/>
    <x:tableColumn id="14" name="情報主体"/>
    <x:tableColumn id="15" name="資料日"/>
    <x:tableColumn id="16" name="確認日"/>
    <x:tableColumn id="17" name="USD換算"/>
    <x:tableColumn id="18" name="円換算 万円"/>
    <x:tableColumn id="19" name="中国=100 指数"/>
    <x:tableColumn id="20" name="確認状況"/>
    <x:tableColumn id="21" name="比較上の注意"/>
    <x:tableColumn id="22" name="Column22"/>
    <x:tableColumn id="23" name="出典URL"/>
    <x:tableColumn id="24" name="補足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043c0797aa1647e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6a59a5322c8e4cf0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27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</x:cols>
  <x:sheetData>
    <x:row r="1" ht="24" customHeight="1">
      <x:c r="A1" s="4" t="str">
        <x:v>中国系自動車の国別エントリー価格</x:v>
      </x:c>
      <x:c r="B1" s="4" t="str">
        <x:v>中国系自動車の国別エントリー価格</x:v>
      </x:c>
      <x:c r="C1" s="4" t="str">
        <x:v>中国系自動車の国別エントリー価格</x:v>
      </x:c>
      <x:c r="D1" s="4" t="str">
        <x:v>中国系自動車の国別エントリー価格</x:v>
      </x:c>
      <x:c r="E1" s="4" t="str">
        <x:v>中国系自動車の国別エントリー価格</x:v>
      </x:c>
      <x:c r="F1" s="4" t="str">
        <x:v>中国系自動車の国別エントリー価格</x:v>
      </x:c>
      <x:c r="G1" s="4" t="str">
        <x:v>中国系自動車の国別エントリー価格</x:v>
      </x:c>
      <x:c r="H1" s="4" t="str">
        <x:v>中国系自動車の国別エントリー価格</x:v>
      </x:c>
      <x:c r="I1" s="4" t="str">
        <x:v>中国系自動車の国別エントリー価格</x:v>
      </x:c>
      <x:c r="J1" s="4" t="str">
        <x:v>中国系自動車の国別エントリー価格</x:v>
      </x:c>
      <x:c r="K1" s="4" t="str">
        <x:v>中国系自動車の国別エントリー価格</x:v>
      </x:c>
    </x:row>
    <x:row r="2" ht="24" customHeight="1">
      <x:c r="A2" s="7" t="str">
        <x:v>2026/10/07調査。BYD・SAIC/MG・Chery/Omoda・GWM/Haval。東南アジア6カ国＋中国＋ドイツ（欧州代表）＋ブラジル＋豪州。各市場で確認できた最安通常グレードを採用。</x:v>
      </x:c>
      <x:c r="B2" s="7" t="str">
        <x:v>2026/10/07調査。BYD・SAIC/MG・Chery/Omoda・GWM/Haval。東南アジア6カ国＋中国＋ドイツ（欧州代表）＋ブラジル＋豪州。各市場で確認できた最安通常グレードを採用。</x:v>
      </x:c>
      <x:c r="C2" s="7" t="str">
        <x:v>2026/10/07調査。BYD・SAIC/MG・Chery/Omoda・GWM/Haval。東南アジア6カ国＋中国＋ドイツ（欧州代表）＋ブラジル＋豪州。各市場で確認できた最安通常グレードを採用。</x:v>
      </x:c>
      <x:c r="D2" s="7" t="str">
        <x:v>2026/10/07調査。BYD・SAIC/MG・Chery/Omoda・GWM/Haval。東南アジア6カ国＋中国＋ドイツ（欧州代表）＋ブラジル＋豪州。各市場で確認できた最安通常グレードを採用。</x:v>
      </x:c>
      <x:c r="E2" s="7" t="str">
        <x:v>2026/10/07調査。BYD・SAIC/MG・Chery/Omoda・GWM/Haval。東南アジア6カ国＋中国＋ドイツ（欧州代表）＋ブラジル＋豪州。各市場で確認できた最安通常グレードを採用。</x:v>
      </x:c>
      <x:c r="F2" s="7" t="str">
        <x:v>2026/10/07調査。BYD・SAIC/MG・Chery/Omoda・GWM/Haval。東南アジア6カ国＋中国＋ドイツ（欧州代表）＋ブラジル＋豪州。各市場で確認できた最安通常グレードを採用。</x:v>
      </x:c>
      <x:c r="G2" s="7" t="str">
        <x:v>2026/10/07調査。BYD・SAIC/MG・Chery/Omoda・GWM/Haval。東南アジア6カ国＋中国＋ドイツ（欧州代表）＋ブラジル＋豪州。各市場で確認できた最安通常グレードを採用。</x:v>
      </x:c>
      <x:c r="H2" s="7" t="str">
        <x:v>2026/10/07調査。BYD・SAIC/MG・Chery/Omoda・GWM/Haval。東南アジア6カ国＋中国＋ドイツ（欧州代表）＋ブラジル＋豪州。各市場で確認できた最安通常グレードを採用。</x:v>
      </x:c>
      <x:c r="I2" s="7" t="str">
        <x:v>2026/10/07調査。BYD・SAIC/MG・Chery/Omoda・GWM/Haval。東南アジア6カ国＋中国＋ドイツ（欧州代表）＋ブラジル＋豪州。各市場で確認できた最安通常グレードを採用。</x:v>
      </x:c>
      <x:c r="J2" s="7" t="str">
        <x:v>2026/10/07調査。BYD・SAIC/MG・Chery/Omoda・GWM/Haval。東南アジア6カ国＋中国＋ドイツ（欧州代表）＋ブラジル＋豪州。各市場で確認できた最安通常グレードを採用。</x:v>
      </x:c>
      <x:c r="K2" s="7" t="str">
        <x:v>2026/10/07調査。BYD・SAIC/MG・Chery/Omoda・GWM/Haval。東南アジア6カ国＋中国＋ドイツ（欧州代表）＋ブラジル＋豪州。各市場で確認できた最安通常グレードを採用。</x:v>
      </x:c>
    </x:row>
    <x:row r="3" ht="24" customHeight="1">
      <x:c r="A3" s="7" t="str">
        <x:v>2026/10/07調査。BYD・SAIC/MG・Chery/Omoda・GWM/Haval。東南アジア6カ国＋中国＋ドイツ（欧州代表）＋ブラジル＋豪州。各市場で確認できた最安通常グレードを採用。</x:v>
      </x:c>
      <x:c r="B3" s="7" t="str">
        <x:v>2026/10/07調査。BYD・SAIC/MG・Chery/Omoda・GWM/Haval。東南アジア6カ国＋中国＋ドイツ（欧州代表）＋ブラジル＋豪州。各市場で確認できた最安通常グレードを採用。</x:v>
      </x:c>
      <x:c r="C3" s="7" t="str">
        <x:v>2026/10/07調査。BYD・SAIC/MG・Chery/Omoda・GWM/Haval。東南アジア6カ国＋中国＋ドイツ（欧州代表）＋ブラジル＋豪州。各市場で確認できた最安通常グレードを採用。</x:v>
      </x:c>
      <x:c r="D3" s="7" t="str">
        <x:v>2026/10/07調査。BYD・SAIC/MG・Chery/Omoda・GWM/Haval。東南アジア6カ国＋中国＋ドイツ（欧州代表）＋ブラジル＋豪州。各市場で確認できた最安通常グレードを採用。</x:v>
      </x:c>
      <x:c r="E3" s="7" t="str">
        <x:v>2026/10/07調査。BYD・SAIC/MG・Chery/Omoda・GWM/Haval。東南アジア6カ国＋中国＋ドイツ（欧州代表）＋ブラジル＋豪州。各市場で確認できた最安通常グレードを採用。</x:v>
      </x:c>
      <x:c r="F3" s="7" t="str">
        <x:v>2026/10/07調査。BYD・SAIC/MG・Chery/Omoda・GWM/Haval。東南アジア6カ国＋中国＋ドイツ（欧州代表）＋ブラジル＋豪州。各市場で確認できた最安通常グレードを採用。</x:v>
      </x:c>
      <x:c r="G3" s="7" t="str">
        <x:v>2026/10/07調査。BYD・SAIC/MG・Chery/Omoda・GWM/Haval。東南アジア6カ国＋中国＋ドイツ（欧州代表）＋ブラジル＋豪州。各市場で確認できた最安通常グレードを採用。</x:v>
      </x:c>
      <x:c r="H3" s="7" t="str">
        <x:v>2026/10/07調査。BYD・SAIC/MG・Chery/Omoda・GWM/Haval。東南アジア6カ国＋中国＋ドイツ（欧州代表）＋ブラジル＋豪州。各市場で確認できた最安通常グレードを採用。</x:v>
      </x:c>
      <x:c r="I3" s="7" t="str">
        <x:v>2026/10/07調査。BYD・SAIC/MG・Chery/Omoda・GWM/Haval。東南アジア6カ国＋中国＋ドイツ（欧州代表）＋ブラジル＋豪州。各市場で確認できた最安通常グレードを採用。</x:v>
      </x:c>
      <x:c r="J3" s="7" t="str">
        <x:v>2026/10/07調査。BYD・SAIC/MG・Chery/Omoda・GWM/Haval。東南アジア6カ国＋中国＋ドイツ（欧州代表）＋ブラジル＋豪州。各市場で確認できた最安通常グレードを採用。</x:v>
      </x:c>
      <x:c r="K3" s="7" t="str">
        <x:v>2026/10/07調査。BYD・SAIC/MG・Chery/Omoda・GWM/Haval。東南アジア6カ国＋中国＋ドイツ（欧州代表）＋ブラジル＋豪州。各市場で確認できた最安通常グレードを採用。</x:v>
      </x:c>
    </x:row>
    <x:row r="4" ht="24" customHeight="1">
      <x:c r="A4" s="25" t="str">
        <x:v>空欄は未確認・主比較対象外。橙色は二次資料による補完。登録費・補助・世代差は「価格データ」を参照。</x:v>
      </x:c>
      <x:c r="B4" s="25" t="str">
        <x:v>空欄は未確認・主比較対象外。橙色は二次資料による補完。登録費・補助・世代差は「価格データ」を参照。</x:v>
      </x:c>
      <x:c r="C4" s="25" t="str">
        <x:v>空欄は未確認・主比較対象外。橙色は二次資料による補完。登録費・補助・世代差は「価格データ」を参照。</x:v>
      </x:c>
      <x:c r="D4" s="25" t="str">
        <x:v>空欄は未確認・主比較対象外。橙色は二次資料による補完。登録費・補助・世代差は「価格データ」を参照。</x:v>
      </x:c>
      <x:c r="E4" s="25" t="str">
        <x:v>空欄は未確認・主比較対象外。橙色は二次資料による補完。登録費・補助・世代差は「価格データ」を参照。</x:v>
      </x:c>
      <x:c r="F4" s="25" t="str">
        <x:v>空欄は未確認・主比較対象外。橙色は二次資料による補完。登録費・補助・世代差は「価格データ」を参照。</x:v>
      </x:c>
      <x:c r="G4" s="25" t="str">
        <x:v>空欄は未確認・主比較対象外。橙色は二次資料による補完。登録費・補助・世代差は「価格データ」を参照。</x:v>
      </x:c>
      <x:c r="H4" s="25" t="str">
        <x:v>空欄は未確認・主比較対象外。橙色は二次資料による補完。登録費・補助・世代差は「価格データ」を参照。</x:v>
      </x:c>
      <x:c r="I4" s="25" t="str">
        <x:v>空欄は未確認・主比較対象外。橙色は二次資料による補完。登録費・補助・世代差は「価格データ」を参照。</x:v>
      </x:c>
      <x:c r="J4" s="25" t="str">
        <x:v>空欄は未確認・主比較対象外。橙色は二次資料による補完。登録費・補助・世代差は「価格データ」を参照。</x:v>
      </x:c>
      <x:c r="K4" s="25" t="str">
        <x:v>空欄は未確認・主比較対象外。橙色は二次資料による補完。登録費・補助・世代差は「価格データ」を参照。</x:v>
      </x:c>
    </x:row>
    <x:row r="5" ht="24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</x:row>
    <x:row r="6" ht="24" customHeight="1">
      <x:c r="A6" s="27" t="str">
        <x:v>通常掲載価格のUSD換算（補助金・費用基準は市場ごとに異なる）</x:v>
      </x:c>
      <x:c r="B6" s="27" t="str">
        <x:v>通常掲載価格のUSD換算（補助金・費用基準は市場ごとに異なる）</x:v>
      </x:c>
      <x:c r="C6" s="27" t="str">
        <x:v>通常掲載価格のUSD換算（補助金・費用基準は市場ごとに異なる）</x:v>
      </x:c>
      <x:c r="D6" s="27" t="str">
        <x:v>通常掲載価格のUSD換算（補助金・費用基準は市場ごとに異なる）</x:v>
      </x:c>
      <x:c r="E6" s="27" t="str">
        <x:v>通常掲載価格のUSD換算（補助金・費用基準は市場ごとに異なる）</x:v>
      </x:c>
      <x:c r="F6" s="27" t="str">
        <x:v>通常掲載価格のUSD換算（補助金・費用基準は市場ごとに異なる）</x:v>
      </x:c>
      <x:c r="G6" s="27" t="str">
        <x:v>通常掲載価格のUSD換算（補助金・費用基準は市場ごとに異なる）</x:v>
      </x:c>
      <x:c r="H6" s="27" t="str">
        <x:v>通常掲載価格のUSD換算（補助金・費用基準は市場ごとに異なる）</x:v>
      </x:c>
      <x:c r="I6" s="27" t="str">
        <x:v>通常掲載価格のUSD換算（補助金・費用基準は市場ごとに異なる）</x:v>
      </x:c>
      <x:c r="J6" s="27" t="str">
        <x:v>通常掲載価格のUSD換算（補助金・費用基準は市場ごとに異なる）</x:v>
      </x:c>
      <x:c r="K6" s="27" t="str">
        <x:v>通常掲載価格のUSD換算（補助金・費用基準は市場ごとに異なる）</x:v>
      </x:c>
    </x:row>
    <x:row r="7" ht="24" customHeight="1">
      <x:c r="A7" s="10" t="str">
        <x:v>車種系統</x:v>
      </x:c>
      <x:c r="B7" s="10" t="str">
        <x:v>ベトナム</x:v>
      </x:c>
      <x:c r="C7" s="10" t="str">
        <x:v>タイ</x:v>
      </x:c>
      <x:c r="D7" s="10" t="str">
        <x:v>インドネシア</x:v>
      </x:c>
      <x:c r="E7" s="10" t="str">
        <x:v>フィリピン</x:v>
      </x:c>
      <x:c r="F7" s="10" t="str">
        <x:v>マレーシア</x:v>
      </x:c>
      <x:c r="G7" s="10" t="str">
        <x:v>シンガポール</x:v>
      </x:c>
      <x:c r="H7" s="10" t="str">
        <x:v>中国</x:v>
      </x:c>
      <x:c r="I7" s="10" t="str">
        <x:v>ドイツ</x:v>
      </x:c>
      <x:c r="J7" s="10" t="str">
        <x:v>ブラジル</x:v>
      </x:c>
      <x:c r="K7" s="10" t="str">
        <x:v>豪州</x:v>
      </x:c>
    </x:row>
    <x:row r="8" ht="32" customHeight="1">
      <x:c r="A8" s="2" t="str">
        <x:v>Dolphin</x:v>
      </x:c>
      <x:c r="B8" s="16" t="n">
        <x:f>IF(INDEX('価格データ'!$J$6:$J$75,MATCH("DOL_VN",'価格データ'!$A$6:$A$75,0))="","",INDEX('価格データ'!$Q$6:$Q$75,MATCH("DOL_VN",'価格データ'!$A$6:$A$75,0)))</x:f>
        <x:v>22187.56092805615</x:v>
      </x:c>
      <x:c r="C8" s="16" t="n">
        <x:f>IF(INDEX('価格データ'!$J$6:$J$75,MATCH("DOL_TH",'価格データ'!$A$6:$A$75,0))="","",INDEX('価格データ'!$Q$6:$Q$75,MATCH("DOL_TH",'価格データ'!$A$6:$A$75,0)))</x:f>
        <x:v>17867.303890474683</x:v>
      </x:c>
      <x:c r="D8" s="16" t="n">
        <x:f>IF(INDEX('価格データ'!$J$6:$J$75,MATCH("DOL_ID",'価格データ'!$A$6:$A$75,0))="","",INDEX('価格データ'!$Q$6:$Q$75,MATCH("DOL_ID",'価格データ'!$A$6:$A$75,0)))</x:f>
        <x:v>20682.926465321714</x:v>
      </x:c>
      <x:c r="E8" s="16" t="n">
        <x:f>IF(INDEX('価格データ'!$J$6:$J$75,MATCH("DOL_PH",'価格データ'!$A$6:$A$75,0))="","",INDEX('価格データ'!$Q$6:$Q$75,MATCH("DOL_PH",'価格データ'!$A$6:$A$75,0)))</x:f>
        <x:v>22919.891940822043</x:v>
      </x:c>
      <x:c r="F8" s="16" t="n">
        <x:f>IF(INDEX('価格データ'!$J$6:$J$75,MATCH("DOL_MY",'価格データ'!$A$6:$A$75,0))="","",INDEX('価格データ'!$Q$6:$Q$75,MATCH("DOL_MY",'価格データ'!$A$6:$A$75,0)))</x:f>
        <x:v>24479.732371725248</x:v>
      </x:c>
      <x:c r="G8" s="16" t="n">
        <x:f>IF(INDEX('価格データ'!$J$6:$J$75,MATCH("DOL_SG",'価格データ'!$A$6:$A$75,0))="","",INDEX('価格データ'!$Q$6:$Q$75,MATCH("DOL_SG",'価格データ'!$A$6:$A$75,0)))</x:f>
        <x:v>201144.44635908838</x:v>
      </x:c>
      <x:c r="H8" s="16" t="n">
        <x:f>IF(INDEX('価格データ'!$J$6:$J$75,MATCH("DOL_CN",'価格データ'!$A$6:$A$75,0))="","",INDEX('価格データ'!$Q$6:$Q$75,MATCH("DOL_CN",'価格データ'!$A$6:$A$75,0)))</x:f>
        <x:v>14885.32969796437</x:v>
      </x:c>
      <x:c r="I8" s="16" t="n">
        <x:f>IF(INDEX('価格データ'!$J$6:$J$75,MATCH("DOL_DE",'価格データ'!$A$6:$A$75,0))="","",INDEX('価格データ'!$Q$6:$Q$75,MATCH("DOL_DE",'価格データ'!$A$6:$A$75,0)))</x:f>
        <x:v>38303.331</x:v>
      </x:c>
      <x:c r="J8" s="16" t="n">
        <x:f>IF(INDEX('価格データ'!$J$6:$J$75,MATCH("DOL_BR",'価格データ'!$A$6:$A$75,0))="","",INDEX('価格データ'!$Q$6:$Q$75,MATCH("DOL_BR",'価格データ'!$A$6:$A$75,0)))</x:f>
        <x:v>30187.660695468916</x:v>
      </x:c>
      <x:c r="K8" s="16" t="n">
        <x:f>IF(INDEX('価格データ'!$J$6:$J$75,MATCH("DOL_AU",'価格データ'!$A$6:$A$75,0))="","",INDEX('価格データ'!$Q$6:$Q$75,MATCH("DOL_AU",'価格データ'!$A$6:$A$75,0)))</x:f>
        <x:v>20939.114622057</x:v>
      </x:c>
    </x:row>
    <x:row r="9" ht="32" customHeight="1">
      <x:c r="A9" s="2" t="str">
        <x:v>Atto 3 / Yuan Plus</x:v>
      </x:c>
      <x:c r="B9" s="16" t="n">
        <x:f>IF(INDEX('価格データ'!$J$6:$J$75,MATCH("ATT_VN",'価格データ'!$A$6:$A$75,0))="","",INDEX('価格データ'!$Q$6:$Q$75,MATCH("ATT_VN",'価格データ'!$A$6:$A$75,0)))</x:f>
        <x:v>29869.37024761162</x:v>
      </x:c>
      <x:c r="C9" s="16" t="n">
        <x:f>IF(INDEX('価格データ'!$J$6:$J$75,MATCH("ATT_TH",'価格データ'!$A$6:$A$75,0))="","",INDEX('価格データ'!$Q$6:$Q$75,MATCH("ATT_TH",'価格データ'!$A$6:$A$75,0)))</x:f>
        <x:v>23824.064647425734</x:v>
      </x:c>
      <x:c r="D9" s="16" t="n">
        <x:f>IF(INDEX('価格データ'!$J$6:$J$75,MATCH("ATT_ID",'価格データ'!$A$6:$A$75,0))="","",INDEX('価格データ'!$Q$6:$Q$75,MATCH("ATT_ID",'価格データ'!$A$6:$A$75,0)))</x:f>
        <x:v>23261.28586208269</x:v>
      </x:c>
      <x:c r="E9" s="16" t="n">
        <x:f>IF(INDEX('価格データ'!$J$6:$J$75,MATCH("ATT_PH",'価格データ'!$A$6:$A$75,0))="","",INDEX('価格データ'!$Q$6:$Q$75,MATCH("ATT_PH",'価格データ'!$A$6:$A$75,0)))</x:f>
        <x:v>26107.63769058867</x:v>
      </x:c>
      <x:c r="F9" s="16" t="n">
        <x:f>IF(INDEX('価格データ'!$J$6:$J$75,MATCH("ATT_MY",'価格データ'!$A$6:$A$75,0))="","",INDEX('価格データ'!$Q$6:$Q$75,MATCH("ATT_MY",'価格データ'!$A$6:$A$75,0)))</x:f>
        <x:v>30795.50332363036</x:v>
      </x:c>
      <x:c r="G9" s="16" t="n">
        <x:f>IF(INDEX('価格データ'!$J$6:$J$75,MATCH("ATT_SG",'価格データ'!$A$6:$A$75,0))="","",INDEX('価格データ'!$Q$6:$Q$75,MATCH("ATT_SG",'価格データ'!$A$6:$A$75,0)))</x:f>
        <x:v>201144.44635908838</x:v>
      </x:c>
      <x:c r="H9" s="29" t="n">
        <x:f>IF(INDEX('価格データ'!$J$6:$J$75,MATCH("ATT_CN",'価格データ'!$A$6:$A$75,0))="","",INDEX('価格データ'!$Q$6:$Q$75,MATCH("ATT_CN",'価格データ'!$A$6:$A$75,0)))</x:f>
        <x:v>17883.276861582446</x:v>
      </x:c>
      <x:c r="I9" s="16" t="n">
        <x:f>IF(INDEX('価格データ'!$J$6:$J$75,MATCH("ATT_DE",'価格データ'!$A$6:$A$75,0))="","",INDEX('価格データ'!$Q$6:$Q$75,MATCH("ATT_DE",'価格データ'!$A$6:$A$75,0)))</x:f>
        <x:v>50699.231</x:v>
      </x:c>
      <x:c r="J9" s="16" t="n">
        <x:f>IF(INDEX('価格データ'!$J$6:$J$75,MATCH("ATT_BR",'価格データ'!$A$6:$A$75,0))="","",INDEX('価格データ'!$Q$6:$Q$75,MATCH("ATT_BR",'価格データ'!$A$6:$A$75,0)))</x:f>
        <x:v>54339.39936775554</x:v>
      </x:c>
      <x:c r="K9" s="16" t="n">
        <x:f>IF(INDEX('価格データ'!$J$6:$J$75,MATCH("ATT_AU",'価格データ'!$A$6:$A$75,0))="","",INDEX('価格データ'!$Q$6:$Q$75,MATCH("ATT_AU",'価格データ'!$A$6:$A$75,0)))</x:f>
        <x:v>27921.146840148696</x:v>
      </x:c>
    </x:row>
    <x:row r="10" ht="32" customHeight="1">
      <x:c r="A10" s="2" t="str">
        <x:v>Seal</x:v>
      </x:c>
      <x:c r="B10" s="16" t="n">
        <x:f>IF(INDEX('価格データ'!$J$6:$J$75,MATCH("SEA_VN",'価格データ'!$A$6:$A$75,0))="","",INDEX('価格データ'!$Q$6:$Q$75,MATCH("SEA_VN",'価格データ'!$A$6:$A$75,0)))</x:f>
        <x:v>43634.23669331254</x:v>
      </x:c>
      <x:c r="C10" s="16" t="n">
        <x:f>IF(INDEX('価格データ'!$J$6:$J$75,MATCH("SEA_TH",'価格データ'!$A$6:$A$75,0))="","",INDEX('価格データ'!$Q$6:$Q$75,MATCH("SEA_TH",'価格データ'!$A$6:$A$75,0)))</x:f>
        <x:v>39463.54001480072</x:v>
      </x:c>
      <x:c r="D10" s="16" t="n">
        <x:f>IF(INDEX('価格データ'!$J$6:$J$75,MATCH("SEA_ID",'価格データ'!$A$6:$A$75,0))="","",INDEX('価格データ'!$Q$6:$Q$75,MATCH("SEA_ID",'価格データ'!$A$6:$A$75,0)))</x:f>
        <x:v>35816.775098483944</x:v>
      </x:c>
      <x:c r="E10" s="16" t="n">
        <x:f>IF(INDEX('価格データ'!$J$6:$J$75,MATCH("SEA_PH",'価格データ'!$A$6:$A$75,0))="","",INDEX('価格データ'!$Q$6:$Q$75,MATCH("SEA_PH",'価格データ'!$A$6:$A$75,0)))</x:f>
        <x:v>33439.45291505191</x:v>
      </x:c>
      <x:c r="F10" s="16" t="n">
        <x:f>IF(INDEX('価格データ'!$J$6:$J$75,MATCH("SEA_MY",'価格データ'!$A$6:$A$75,0))="","",INDEX('価格データ'!$Q$6:$Q$75,MATCH("SEA_MY",'価格データ'!$A$6:$A$75,0)))</x:f>
        <x:v>42056.18021462398</x:v>
      </x:c>
      <x:c r="G10" s="16" t="n">
        <x:f>IF(INDEX('価格データ'!$J$6:$J$75,MATCH("SEA_SG",'価格データ'!$A$6:$A$75,0))="","",INDEX('価格データ'!$Q$6:$Q$75,MATCH("SEA_SG",'価格データ'!$A$6:$A$75,0)))</x:f>
        <x:v>212889.51306281268</x:v>
      </x:c>
      <x:c r="H10" s="29" t="str">
        <x:f>IF(INDEX('価格データ'!$J$6:$J$75,MATCH("SEA_CN",'価格データ'!$A$6:$A$75,0))="","",INDEX('価格データ'!$Q$6:$Q$75,MATCH("SEA_CN",'価格データ'!$A$6:$A$75,0)))</x:f>
      </x:c>
      <x:c r="I10" s="16" t="n">
        <x:f>IF(INDEX('価格データ'!$J$6:$J$75,MATCH("SEA_DE",'価格データ'!$A$6:$A$75,0))="","",INDEX('価格データ'!$Q$6:$Q$75,MATCH("SEA_DE",'価格データ'!$A$6:$A$75,0)))</x:f>
        <x:v>54079.931000000004</x:v>
      </x:c>
      <x:c r="J10" s="16" t="n">
        <x:f>IF(INDEX('価格データ'!$J$6:$J$75,MATCH("SEA_BR",'価格データ'!$A$6:$A$75,0))="","",INDEX('価格データ'!$Q$6:$Q$75,MATCH("SEA_BR",'価格データ'!$A$6:$A$75,0)))</x:f>
        <x:v>60377.33403582719</x:v>
      </x:c>
      <x:c r="K10" s="16" t="n">
        <x:f>IF(INDEX('価格データ'!$J$6:$J$75,MATCH("SEA_AU",'価格データ'!$A$6:$A$75,0))="","",INDEX('価格データ'!$Q$6:$Q$75,MATCH("SEA_AU",'価格データ'!$A$6:$A$75,0)))</x:f>
        <x:v>36997.78872366791</x:v>
      </x:c>
    </x:row>
    <x:row r="11" ht="32" customHeight="1">
      <x:c r="A11" s="2" t="str">
        <x:v>MG4 EV（RWD系）</x:v>
      </x:c>
      <x:c r="B11" s="16" t="n">
        <x:f>IF(INDEX('価格データ'!$J$6:$J$75,MATCH("MG4_VN",'価格データ'!$A$6:$A$75,0))="","",INDEX('価格データ'!$Q$6:$Q$75,MATCH("MG4_VN",'価格データ'!$A$6:$A$75,0)))</x:f>
        <x:v>32286.995515695067</x:v>
      </x:c>
      <x:c r="C11" s="16" t="n">
        <x:f>IF(INDEX('価格データ'!$J$6:$J$75,MATCH("MG4_TH",'価格データ'!$A$6:$A$75,0))="","",INDEX('価格データ'!$Q$6:$Q$75,MATCH("MG4_TH",'価格データ'!$A$6:$A$75,0)))</x:f>
        <x:v>19952.17015540755</x:v>
      </x:c>
      <x:c r="D11" s="16" t="str">
        <x:f>IF(INDEX('価格データ'!$J$6:$J$75,MATCH("MG4_ID",'価格データ'!$A$6:$A$75,0))="","",INDEX('価格データ'!$Q$6:$Q$75,MATCH("MG4_ID",'価格データ'!$A$6:$A$75,0)))</x:f>
      </x:c>
      <x:c r="E11" s="16" t="n">
        <x:f>IF(INDEX('価格データ'!$J$6:$J$75,MATCH("MG4_PH",'価格データ'!$A$6:$A$75,0))="","",INDEX('価格データ'!$Q$6:$Q$75,MATCH("MG4_PH",'価格データ'!$A$6:$A$75,0)))</x:f>
        <x:v>23412.207394416</x:v>
      </x:c>
      <x:c r="F11" s="16" t="n">
        <x:f>IF(INDEX('価格データ'!$J$6:$J$75,MATCH("MG4_MY",'価格データ'!$A$6:$A$75,0))="","",INDEX('価格データ'!$Q$6:$Q$75,MATCH("MG4_MY",'価格データ'!$A$6:$A$75,0)))</x:f>
        <x:v>24697.11239518617</x:v>
      </x:c>
      <x:c r="G11" s="16" t="str">
        <x:f>IF(INDEX('価格データ'!$J$6:$J$75,MATCH("MG4_SG",'価格データ'!$A$6:$A$75,0))="","",INDEX('価格データ'!$Q$6:$Q$75,MATCH("MG4_SG",'価格データ'!$A$6:$A$75,0)))</x:f>
      </x:c>
      <x:c r="H11" s="16" t="str">
        <x:f>IF(INDEX('価格データ'!$J$6:$J$75,MATCH("MG4_CN",'価格データ'!$A$6:$A$75,0))="","",INDEX('価格データ'!$Q$6:$Q$75,MATCH("MG4_CN",'価格データ'!$A$6:$A$75,0)))</x:f>
      </x:c>
      <x:c r="I11" s="16" t="n">
        <x:f>IF(INDEX('価格データ'!$J$6:$J$75,MATCH("MG4_DE",'価格データ'!$A$6:$A$75,0))="","",INDEX('価格データ'!$Q$6:$Q$75,MATCH("MG4_DE",'価格データ'!$A$6:$A$75,0)))</x:f>
        <x:v>48445.431000000004</x:v>
      </x:c>
      <x:c r="J11" s="16" t="n">
        <x:f>IF(INDEX('価格データ'!$J$6:$J$75,MATCH("MG4_BR",'価格データ'!$A$6:$A$75,0))="","",INDEX('価格データ'!$Q$6:$Q$75,MATCH("MG4_BR",'価格データ'!$A$6:$A$75,0)))</x:f>
        <x:v>37153.42465753425</x:v>
      </x:c>
      <x:c r="K11" s="16" t="str">
        <x:f>IF(INDEX('価格データ'!$J$6:$J$75,MATCH("MG4_AU",'価格データ'!$A$6:$A$75,0))="","",INDEX('価格データ'!$Q$6:$Q$75,MATCH("MG4_AU",'価格データ'!$A$6:$A$75,0)))</x:f>
      </x:c>
    </x:row>
    <x:row r="12" ht="32" customHeight="1">
      <x:c r="A12" s="2" t="str">
        <x:v>MG4 Urban（FWD系）</x:v>
      </x:c>
      <x:c r="B12" s="16" t="str">
        <x:f>IF(INDEX('価格データ'!$J$6:$J$75,MATCH("URB_VN",'価格データ'!$A$6:$A$75,0))="","",INDEX('価格データ'!$Q$6:$Q$75,MATCH("URB_VN",'価格データ'!$A$6:$A$75,0)))</x:f>
      </x:c>
      <x:c r="C12" s="16" t="n">
        <x:f>IF(INDEX('価格データ'!$J$6:$J$75,MATCH("URB_TH",'価格データ'!$A$6:$A$75,0))="","",INDEX('価格データ'!$Q$6:$Q$75,MATCH("URB_TH",'価格データ'!$A$6:$A$75,0)))</x:f>
        <x:v>17271.62781477958</x:v>
      </x:c>
      <x:c r="D12" s="16" t="str">
        <x:f>IF(INDEX('価格データ'!$J$6:$J$75,MATCH("URB_ID",'価格データ'!$A$6:$A$75,0))="","",INDEX('価格データ'!$Q$6:$Q$75,MATCH("URB_ID",'価格データ'!$A$6:$A$75,0)))</x:f>
      </x:c>
      <x:c r="E12" s="16" t="n">
        <x:f>IF(INDEX('価格データ'!$J$6:$J$75,MATCH("URB_PH",'価格データ'!$A$6:$A$75,0))="","",INDEX('価格データ'!$Q$6:$Q$75,MATCH("URB_PH",'価格データ'!$A$6:$A$75,0)))</x:f>
        <x:v>19108.750632231055</x:v>
      </x:c>
      <x:c r="F12" s="16" t="str">
        <x:f>IF(INDEX('価格データ'!$J$6:$J$75,MATCH("URB_MY",'価格データ'!$A$6:$A$75,0))="","",INDEX('価格データ'!$Q$6:$Q$75,MATCH("URB_MY",'価格データ'!$A$6:$A$75,0)))</x:f>
      </x:c>
      <x:c r="G12" s="16" t="n">
        <x:f>IF(INDEX('価格データ'!$J$6:$J$75,MATCH("URB_SG",'価格データ'!$A$6:$A$75,0))="","",INDEX('価格データ'!$Q$6:$Q$75,MATCH("URB_SG",'価格データ'!$A$6:$A$75,0)))</x:f>
        <x:v>161994.22401334075</x:v>
      </x:c>
      <x:c r="H12" s="16" t="n">
        <x:f>IF(INDEX('価格データ'!$J$6:$J$75,MATCH("URB_CN",'価格データ'!$A$6:$A$75,0))="","",INDEX('価格データ'!$Q$6:$Q$75,MATCH("URB_CN",'価格データ'!$A$6:$A$75,0)))</x:f>
        <x:v>10261.630092384255</x:v>
      </x:c>
      <x:c r="I12" s="16" t="n">
        <x:f>IF(INDEX('価格データ'!$J$6:$J$75,MATCH("URB_DE",'価格データ'!$A$6:$A$75,0))="","",INDEX('価格データ'!$Q$6:$Q$75,MATCH("URB_DE",'価格データ'!$A$6:$A$75,0)))</x:f>
        <x:v>28161.231</x:v>
      </x:c>
      <x:c r="J12" s="16" t="n">
        <x:f>IF(INDEX('価格データ'!$J$6:$J$75,MATCH("URB_BR",'価格データ'!$A$6:$A$75,0))="","",INDEX('価格データ'!$Q$6:$Q$75,MATCH("URB_BR",'価格データ'!$A$6:$A$75,0)))</x:f>
        <x:v>27168.69336143309</x:v>
      </x:c>
      <x:c r="K12" s="16" t="str">
        <x:f>IF(INDEX('価格データ'!$J$6:$J$75,MATCH("URB_AU",'価格データ'!$A$6:$A$75,0))="","",INDEX('価格データ'!$Q$6:$Q$75,MATCH("URB_AU",'価格データ'!$A$6:$A$75,0)))</x:f>
      </x:c>
    </x:row>
    <x:row r="13" ht="32" customHeight="1">
      <x:c r="A13" s="2" t="str">
        <x:v>Omoda C5 / Chery O5</x:v>
      </x:c>
      <x:c r="B13" s="16" t="n">
        <x:f>IF(INDEX('価格データ'!$J$6:$J$75,MATCH("C5_VN",'価格データ'!$A$6:$A$75,0))="","",INDEX('価格データ'!$Q$6:$Q$75,MATCH("C5_VN",'価格データ'!$A$6:$A$75,0)))</x:f>
        <x:v>21017.742249951258</x:v>
      </x:c>
      <x:c r="C13" s="16" t="str">
        <x:f>IF(INDEX('価格データ'!$J$6:$J$75,MATCH("C5_TH",'価格データ'!$A$6:$A$75,0))="","",INDEX('価格データ'!$Q$6:$Q$75,MATCH("C5_TH",'価格データ'!$A$6:$A$75,0)))</x:f>
      </x:c>
      <x:c r="D13" s="16" t="n">
        <x:f>IF(INDEX('価格データ'!$J$6:$J$75,MATCH("C5_ID",'価格データ'!$A$6:$A$75,0))="","",INDEX('価格データ'!$Q$6:$Q$75,MATCH("C5_ID",'価格データ'!$A$6:$A$75,0)))</x:f>
        <x:v>17930.808065735546</x:v>
      </x:c>
      <x:c r="E13" s="29" t="n">
        <x:f>IF(INDEX('価格データ'!$J$6:$J$75,MATCH("C5_PH",'価格データ'!$A$6:$A$75,0))="","",INDEX('価格データ'!$Q$6:$Q$75,MATCH("C5_PH",'価格データ'!$A$6:$A$75,0)))</x:f>
        <x:v>14312.978416452152</x:v>
      </x:c>
      <x:c r="F13" s="16" t="n">
        <x:f>IF(INDEX('価格データ'!$J$6:$J$75,MATCH("C5_MY",'価格データ'!$A$6:$A$75,0))="","",INDEX('価格データ'!$Q$6:$Q$75,MATCH("C5_MY",'価格データ'!$A$6:$A$75,0)))</x:f>
        <x:v>28592.327410175094</x:v>
      </x:c>
      <x:c r="G13" s="16" t="str">
        <x:f>IF(INDEX('価格データ'!$J$6:$J$75,MATCH("C5_SG",'価格データ'!$A$6:$A$75,0))="","",INDEX('価格データ'!$Q$6:$Q$75,MATCH("C5_SG",'価格データ'!$A$6:$A$75,0)))</x:f>
      </x:c>
      <x:c r="H13" s="16" t="str">
        <x:f>IF(INDEX('価格データ'!$J$6:$J$75,MATCH("C5_CN",'価格データ'!$A$6:$A$75,0))="","",INDEX('価格データ'!$Q$6:$Q$75,MATCH("C5_CN",'価格データ'!$A$6:$A$75,0)))</x:f>
      </x:c>
      <x:c r="I13" s="16" t="str">
        <x:f>IF(INDEX('価格データ'!$J$6:$J$75,MATCH("C5_DE",'価格データ'!$A$6:$A$75,0))="","",INDEX('価格データ'!$Q$6:$Q$75,MATCH("C5_DE",'価格データ'!$A$6:$A$75,0)))</x:f>
      </x:c>
      <x:c r="J13" s="16" t="str">
        <x:f>IF(INDEX('価格データ'!$J$6:$J$75,MATCH("C5_BR",'価格データ'!$A$6:$A$75,0))="","",INDEX('価格データ'!$Q$6:$Q$75,MATCH("C5_BR",'価格データ'!$A$6:$A$75,0)))</x:f>
      </x:c>
      <x:c r="K13" s="16" t="str">
        <x:f>IF(INDEX('価格データ'!$J$6:$J$75,MATCH("C5_AU",'価格データ'!$A$6:$A$75,0))="","",INDEX('価格データ'!$Q$6:$Q$75,MATCH("C5_AU",'価格データ'!$A$6:$A$75,0)))</x:f>
      </x:c>
    </x:row>
    <x:row r="14" ht="32" customHeight="1">
      <x:c r="A14" s="2" t="str">
        <x:v>Haval H6 HEV</x:v>
      </x:c>
      <x:c r="B14" s="29" t="n">
        <x:f>IF(INDEX('価格データ'!$J$6:$J$75,MATCH("H6_VN",'価格データ'!$A$6:$A$75,0))="","",INDEX('価格データ'!$Q$6:$Q$75,MATCH("H6_VN",'価格データ'!$A$6:$A$75,0)))</x:f>
        <x:v>38448.04055371417</x:v>
      </x:c>
      <x:c r="C14" s="16" t="n">
        <x:f>IF(INDEX('価格データ'!$J$6:$J$75,MATCH("H6_TH",'価格データ'!$A$6:$A$75,0))="","",INDEX('価格データ'!$Q$6:$Q$75,MATCH("H6_TH",'価格データ'!$A$6:$A$75,0)))</x:f>
        <x:v>28860.50586742785</x:v>
      </x:c>
      <x:c r="D14" s="16" t="n">
        <x:f>IF(INDEX('価格データ'!$J$6:$J$75,MATCH("H6_ID",'価格データ'!$A$6:$A$75,0))="","",INDEX('価格データ'!$Q$6:$Q$75,MATCH("H6_ID",'価格データ'!$A$6:$A$75,0)))</x:f>
        <x:v>36702.385499980104</x:v>
      </x:c>
      <x:c r="E14" s="16" t="str">
        <x:f>IF(INDEX('価格データ'!$J$6:$J$75,MATCH("H6_PH",'価格データ'!$A$6:$A$75,0))="","",INDEX('価格データ'!$Q$6:$Q$75,MATCH("H6_PH",'価格データ'!$A$6:$A$75,0)))</x:f>
      </x:c>
      <x:c r="F14" s="16" t="n">
        <x:f>IF(INDEX('価格データ'!$J$6:$J$75,MATCH("H6_MY",'価格データ'!$A$6:$A$75,0))="","",INDEX('価格データ'!$Q$6:$Q$75,MATCH("H6_MY",'価格データ'!$A$6:$A$75,0)))</x:f>
        <x:v>34119.85097971065</x:v>
      </x:c>
      <x:c r="G14" s="16" t="str">
        <x:f>IF(INDEX('価格データ'!$J$6:$J$75,MATCH("H6_SG",'価格データ'!$A$6:$A$75,0))="","",INDEX('価格データ'!$Q$6:$Q$75,MATCH("H6_SG",'価格データ'!$A$6:$A$75,0)))</x:f>
      </x:c>
      <x:c r="H14" s="16" t="str">
        <x:f>IF(INDEX('価格データ'!$J$6:$J$75,MATCH("H6_CN",'価格データ'!$A$6:$A$75,0))="","",INDEX('価格データ'!$Q$6:$Q$75,MATCH("H6_CN",'価格データ'!$A$6:$A$75,0)))</x:f>
      </x:c>
      <x:c r="I14" s="16" t="n">
        <x:f>IF(INDEX('価格データ'!$J$6:$J$75,MATCH("H6_DE",'価格データ'!$A$6:$A$75,0))="","",INDEX('価格データ'!$Q$6:$Q$75,MATCH("H6_DE",'価格データ'!$A$6:$A$75,0)))</x:f>
        <x:v>36049.531</x:v>
      </x:c>
      <x:c r="J14" s="16" t="n">
        <x:f>IF(INDEX('価格データ'!$J$6:$J$75,MATCH("H6_BR",'価格データ'!$A$6:$A$75,0))="","",INDEX('価格データ'!$Q$6:$Q$75,MATCH("H6_BR",'価格データ'!$A$6:$A$75,0)))</x:f>
        <x:v>40232.77133825079</x:v>
      </x:c>
      <x:c r="K14" s="29" t="n">
        <x:f>IF(INDEX('価格データ'!$J$6:$J$75,MATCH("H6_AU",'価格データ'!$A$6:$A$75,0))="","",INDEX('価格データ'!$Q$6:$Q$75,MATCH("H6_AU",'価格データ'!$A$6:$A$75,0)))</x:f>
        <x:v>27572.045229244115</x:v>
      </x:c>
    </x:row>
    <x:row r="15" ht="24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</x:row>
    <x:row r="16" ht="24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</x:row>
    <x:row r="17" ht="24" customHeight="1">
      <x:c r="A17" s="27" t="str">
        <x:v>通常掲載価格の円換算（万円）</x:v>
      </x:c>
      <x:c r="B17" s="27" t="str">
        <x:v>通常掲載価格の円換算（万円）</x:v>
      </x:c>
      <x:c r="C17" s="27" t="str">
        <x:v>通常掲載価格の円換算（万円）</x:v>
      </x:c>
      <x:c r="D17" s="27" t="str">
        <x:v>通常掲載価格の円換算（万円）</x:v>
      </x:c>
      <x:c r="E17" s="27" t="str">
        <x:v>通常掲載価格の円換算（万円）</x:v>
      </x:c>
      <x:c r="F17" s="27" t="str">
        <x:v>通常掲載価格の円換算（万円）</x:v>
      </x:c>
      <x:c r="G17" s="27" t="str">
        <x:v>通常掲載価格の円換算（万円）</x:v>
      </x:c>
      <x:c r="H17" s="27" t="str">
        <x:v>通常掲載価格の円換算（万円）</x:v>
      </x:c>
      <x:c r="I17" s="27" t="str">
        <x:v>通常掲載価格の円換算（万円）</x:v>
      </x:c>
      <x:c r="J17" s="27" t="str">
        <x:v>通常掲載価格の円換算（万円）</x:v>
      </x:c>
      <x:c r="K17" s="27" t="str">
        <x:v>通常掲載価格の円換算（万円）</x:v>
      </x:c>
    </x:row>
    <x:row r="18" ht="24" customHeight="1">
      <x:c r="A18" s="10" t="str">
        <x:v>車種系統</x:v>
      </x:c>
      <x:c r="B18" s="10" t="str">
        <x:v>ベトナム</x:v>
      </x:c>
      <x:c r="C18" s="10" t="str">
        <x:v>タイ</x:v>
      </x:c>
      <x:c r="D18" s="10" t="str">
        <x:v>インドネシア</x:v>
      </x:c>
      <x:c r="E18" s="10" t="str">
        <x:v>フィリピン</x:v>
      </x:c>
      <x:c r="F18" s="10" t="str">
        <x:v>マレーシア</x:v>
      </x:c>
      <x:c r="G18" s="10" t="str">
        <x:v>シンガポール</x:v>
      </x:c>
      <x:c r="H18" s="10" t="str">
        <x:v>中国</x:v>
      </x:c>
      <x:c r="I18" s="10" t="str">
        <x:v>ドイツ</x:v>
      </x:c>
      <x:c r="J18" s="10" t="str">
        <x:v>ブラジル</x:v>
      </x:c>
      <x:c r="K18" s="10" t="str">
        <x:v>豪州</x:v>
      </x:c>
    </x:row>
    <x:row r="19" ht="32" customHeight="1">
      <x:c r="A19" s="2" t="str">
        <x:v>Dolphin</x:v>
      </x:c>
      <x:c r="B19" s="17" t="n">
        <x:f>IF(INDEX('価格データ'!$J$6:$J$75,MATCH("DOL_VN",'価格データ'!$A$6:$A$75,0))="","",INDEX('価格データ'!$R$6:$R$75,MATCH("DOL_VN",'価格データ'!$A$6:$A$75,0)))</x:f>
        <x:v>350.7599591208806</x:v>
      </x:c>
      <x:c r="C19" s="17" t="n">
        <x:f>IF(INDEX('価格データ'!$J$6:$J$75,MATCH("DOL_TH",'価格データ'!$A$6:$A$75,0))="","",INDEX('価格データ'!$R$6:$R$75,MATCH("DOL_TH",'価格データ'!$A$6:$A$75,0)))</x:f>
        <x:v>282.4616370652289</x:v>
      </x:c>
      <x:c r="D19" s="17" t="n">
        <x:f>IF(INDEX('価格データ'!$J$6:$J$75,MATCH("DOL_ID",'価格データ'!$A$6:$A$75,0))="","",INDEX('価格データ'!$R$6:$R$75,MATCH("DOL_ID",'価格データ'!$A$6:$A$75,0)))</x:f>
        <x:v>326.97340933508417</x:v>
      </x:c>
      <x:c r="E19" s="17" t="n">
        <x:f>IF(INDEX('価格データ'!$J$6:$J$75,MATCH("DOL_PH",'価格データ'!$A$6:$A$75,0))="","",INDEX('価格データ'!$R$6:$R$75,MATCH("DOL_PH",'価格データ'!$A$6:$A$75,0)))</x:f>
        <x:v>362.337274758847</x:v>
      </x:c>
      <x:c r="F19" s="17" t="n">
        <x:f>IF(INDEX('価格データ'!$J$6:$J$75,MATCH("DOL_MY",'価格データ'!$A$6:$A$75,0))="","",INDEX('価格データ'!$R$6:$R$75,MATCH("DOL_MY",'価格データ'!$A$6:$A$75,0)))</x:f>
        <x:v>386.9965677542686</x:v>
      </x:c>
      <x:c r="G19" s="17" t="n">
        <x:f>IF(INDEX('価格データ'!$J$6:$J$75,MATCH("DOL_SG",'価格データ'!$A$6:$A$75,0))="","",INDEX('価格データ'!$R$6:$R$75,MATCH("DOL_SG",'価格データ'!$A$6:$A$75,0)))</x:f>
        <x:v>3179.8636186770427</x:v>
      </x:c>
      <x:c r="H19" s="17" t="n">
        <x:f>IF(INDEX('価格データ'!$J$6:$J$75,MATCH("DOL_CN",'価格データ'!$A$6:$A$75,0))="","",INDEX('価格データ'!$R$6:$R$75,MATCH("DOL_CN",'価格データ'!$A$6:$A$75,0)))</x:f>
        <x:v>235.32003600074117</x:v>
      </x:c>
      <x:c r="I19" s="17" t="n">
        <x:f>IF(INDEX('価格データ'!$J$6:$J$75,MATCH("DOL_DE",'価格データ'!$A$6:$A$75,0))="","",INDEX('価格データ'!$R$6:$R$75,MATCH("DOL_DE",'価格データ'!$A$6:$A$75,0)))</x:f>
        <x:v>605.53185</x:v>
      </x:c>
      <x:c r="J19" s="17" t="n">
        <x:f>IF(INDEX('価格データ'!$J$6:$J$75,MATCH("DOL_BR",'価格データ'!$A$6:$A$75,0))="","",INDEX('価格データ'!$R$6:$R$75,MATCH("DOL_BR",'価格データ'!$A$6:$A$75,0)))</x:f>
        <x:v>477.2323855619653</x:v>
      </x:c>
      <x:c r="K19" s="17" t="n">
        <x:f>IF(INDEX('価格データ'!$J$6:$J$75,MATCH("DOL_AU",'価格データ'!$A$6:$A$75,0))="","",INDEX('価格データ'!$R$6:$R$75,MATCH("DOL_AU",'価格データ'!$A$6:$A$75,0)))</x:f>
        <x:v>331.02345105328374</x:v>
      </x:c>
    </x:row>
    <x:row r="20" ht="32" customHeight="1">
      <x:c r="A20" s="2" t="str">
        <x:v>Atto 3 / Yuan Plus</x:v>
      </x:c>
      <x:c r="B20" s="17" t="n">
        <x:f>IF(INDEX('価格データ'!$J$6:$J$75,MATCH("ATT_VN",'価格データ'!$A$6:$A$75,0))="","",INDEX('価格データ'!$R$6:$R$75,MATCH("ATT_VN",'価格データ'!$A$6:$A$75,0)))</x:f>
        <x:v>472.2005776565809</x:v>
      </x:c>
      <x:c r="C20" s="17" t="n">
        <x:f>IF(INDEX('価格データ'!$J$6:$J$75,MATCH("ATT_TH",'価格データ'!$A$6:$A$75,0))="","",INDEX('価格データ'!$R$6:$R$75,MATCH("ATT_TH",'価格データ'!$A$6:$A$75,0)))</x:f>
        <x:v>376.63121101596363</x:v>
      </x:c>
      <x:c r="D20" s="17" t="n">
        <x:f>IF(INDEX('価格データ'!$J$6:$J$75,MATCH("ATT_ID",'価格データ'!$A$6:$A$75,0))="","",INDEX('価格データ'!$R$6:$R$75,MATCH("ATT_ID",'価格データ'!$A$6:$A$75,0)))</x:f>
        <x:v>367.73432215192395</x:v>
      </x:c>
      <x:c r="E20" s="17" t="n">
        <x:f>IF(INDEX('価格データ'!$J$6:$J$75,MATCH("ATT_PH",'価格データ'!$A$6:$A$75,0))="","",INDEX('価格データ'!$R$6:$R$75,MATCH("ATT_PH",'価格データ'!$A$6:$A$75,0)))</x:f>
        <x:v>412.73188877259486</x:v>
      </x:c>
      <x:c r="F20" s="17" t="n">
        <x:f>IF(INDEX('価格データ'!$J$6:$J$75,MATCH("ATT_MY",'価格データ'!$A$6:$A$75,0))="","",INDEX('価格データ'!$R$6:$R$75,MATCH("ATT_MY",'価格データ'!$A$6:$A$75,0)))</x:f>
        <x:v>486.8416822348699</x:v>
      </x:c>
      <x:c r="G20" s="17" t="n">
        <x:f>IF(INDEX('価格データ'!$J$6:$J$75,MATCH("ATT_SG",'価格データ'!$A$6:$A$75,0))="","",INDEX('価格データ'!$R$6:$R$75,MATCH("ATT_SG",'価格データ'!$A$6:$A$75,0)))</x:f>
        <x:v>3179.8636186770427</x:v>
      </x:c>
      <x:c r="H20" s="30" t="n">
        <x:f>IF(INDEX('価格データ'!$J$6:$J$75,MATCH("ATT_CN",'価格データ'!$A$6:$A$75,0))="","",INDEX('価格データ'!$R$6:$R$75,MATCH("ATT_CN",'価格データ'!$A$6:$A$75,0)))</x:f>
        <x:v>282.71415146782437</x:v>
      </x:c>
      <x:c r="I20" s="17" t="n">
        <x:f>IF(INDEX('価格データ'!$J$6:$J$75,MATCH("ATT_DE",'価格データ'!$A$6:$A$75,0))="","",INDEX('価格データ'!$R$6:$R$75,MATCH("ATT_DE",'価格データ'!$A$6:$A$75,0)))</x:f>
        <x:v>801.49685</x:v>
      </x:c>
      <x:c r="J20" s="17" t="n">
        <x:f>IF(INDEX('価格データ'!$J$6:$J$75,MATCH("ATT_BR",'価格データ'!$A$6:$A$75,0))="","",INDEX('価格データ'!$R$6:$R$75,MATCH("ATT_BR",'価格データ'!$A$6:$A$75,0)))</x:f>
        <x:v>859.0437481023737</x:v>
      </x:c>
      <x:c r="K20" s="17" t="n">
        <x:f>IF(INDEX('価格データ'!$J$6:$J$75,MATCH("ATT_AU",'価格データ'!$A$6:$A$75,0))="","",INDEX('価格データ'!$R$6:$R$75,MATCH("ATT_AU",'価格データ'!$A$6:$A$75,0)))</x:f>
        <x:v>441.40139405204457</x:v>
      </x:c>
    </x:row>
    <x:row r="21" ht="32" customHeight="1">
      <x:c r="A21" s="2" t="str">
        <x:v>Seal</x:v>
      </x:c>
      <x:c r="B21" s="17" t="n">
        <x:f>IF(INDEX('価格データ'!$J$6:$J$75,MATCH("SEA_VN",'価格データ'!$A$6:$A$75,0))="","",INDEX('価格データ'!$R$6:$R$75,MATCH("SEA_VN",'価格データ'!$A$6:$A$75,0)))</x:f>
        <x:v>689.8073712763891</x:v>
      </x:c>
      <x:c r="C21" s="17" t="n">
        <x:f>IF(INDEX('価格データ'!$J$6:$J$75,MATCH("SEA_TH",'価格データ'!$A$6:$A$75,0))="","",INDEX('価格データ'!$R$6:$R$75,MATCH("SEA_TH",'価格データ'!$A$6:$A$75,0)))</x:f>
        <x:v>623.8734274236177</x:v>
      </x:c>
      <x:c r="D21" s="17" t="n">
        <x:f>IF(INDEX('価格データ'!$J$6:$J$75,MATCH("SEA_ID",'価格データ'!$A$6:$A$75,0))="","",INDEX('価格データ'!$R$6:$R$75,MATCH("SEA_ID",'価格データ'!$A$6:$A$75,0)))</x:f>
        <x:v>566.2222454339262</x:v>
      </x:c>
      <x:c r="E21" s="17" t="n">
        <x:f>IF(INDEX('価格データ'!$J$6:$J$75,MATCH("SEA_PH",'価格データ'!$A$6:$A$75,0))="","",INDEX('価格データ'!$R$6:$R$75,MATCH("SEA_PH",'価格データ'!$A$6:$A$75,0)))</x:f>
        <x:v>528.6395010042148</x:v>
      </x:c>
      <x:c r="F21" s="17" t="n">
        <x:f>IF(INDEX('価格データ'!$J$6:$J$75,MATCH("SEA_MY",'価格データ'!$A$6:$A$75,0))="","",INDEX('価格データ'!$R$6:$R$75,MATCH("SEA_MY",'価格データ'!$A$6:$A$75,0)))</x:f>
        <x:v>664.8601034018335</x:v>
      </x:c>
      <x:c r="G21" s="17" t="n">
        <x:f>IF(INDEX('価格データ'!$J$6:$J$75,MATCH("SEA_SG",'価格データ'!$A$6:$A$75,0))="","",INDEX('価格データ'!$R$6:$R$75,MATCH("SEA_SG",'価格データ'!$A$6:$A$75,0)))</x:f>
        <x:v>3365.539688715953</x:v>
      </x:c>
      <x:c r="H21" s="30" t="str">
        <x:f>IF(INDEX('価格データ'!$J$6:$J$75,MATCH("SEA_CN",'価格データ'!$A$6:$A$75,0))="","",INDEX('価格データ'!$R$6:$R$75,MATCH("SEA_CN",'価格データ'!$A$6:$A$75,0)))</x:f>
      </x:c>
      <x:c r="I21" s="17" t="n">
        <x:f>IF(INDEX('価格データ'!$J$6:$J$75,MATCH("SEA_DE",'価格データ'!$A$6:$A$75,0))="","",INDEX('価格データ'!$R$6:$R$75,MATCH("SEA_DE",'価格データ'!$A$6:$A$75,0)))</x:f>
        <x:v>854.94185</x:v>
      </x:c>
      <x:c r="J21" s="17" t="n">
        <x:f>IF(INDEX('価格データ'!$J$6:$J$75,MATCH("SEA_BR",'価格データ'!$A$6:$A$75,0))="","",INDEX('価格データ'!$R$6:$R$75,MATCH("SEA_BR",'価格データ'!$A$6:$A$75,0)))</x:f>
        <x:v>954.4965887374757</x:v>
      </x:c>
      <x:c r="K21" s="17" t="n">
        <x:f>IF(INDEX('価格データ'!$J$6:$J$75,MATCH("SEA_AU",'価格データ'!$A$6:$A$75,0))="","",INDEX('価格データ'!$R$6:$R$75,MATCH("SEA_AU",'価格データ'!$A$6:$A$75,0)))</x:f>
        <x:v>584.8927199504336</x:v>
      </x:c>
    </x:row>
    <x:row r="22" ht="32" customHeight="1">
      <x:c r="A22" s="2" t="str">
        <x:v>MG4 EV（RWD系）</x:v>
      </x:c>
      <x:c r="B22" s="17" t="n">
        <x:f>IF(INDEX('価格データ'!$J$6:$J$75,MATCH("MG4_VN",'価格データ'!$A$6:$A$75,0))="","",INDEX('価格データ'!$R$6:$R$75,MATCH("MG4_VN",'価格データ'!$A$6:$A$75,0)))</x:f>
        <x:v>510.420467754111</x:v>
      </x:c>
      <x:c r="C22" s="17" t="n">
        <x:f>IF(INDEX('価格データ'!$J$6:$J$75,MATCH("MG4_TH",'価格データ'!$A$6:$A$75,0))="","",INDEX('価格データ'!$R$6:$R$75,MATCH("MG4_TH",'価格データ'!$A$6:$A$75,0)))</x:f>
        <x:v>315.420987947986</x:v>
      </x:c>
      <x:c r="D22" s="17" t="str">
        <x:f>IF(INDEX('価格データ'!$J$6:$J$75,MATCH("MG4_ID",'価格データ'!$A$6:$A$75,0))="","",INDEX('価格データ'!$R$6:$R$75,MATCH("MG4_ID",'価格データ'!$A$6:$A$75,0)))</x:f>
      </x:c>
      <x:c r="E22" s="17" t="n">
        <x:f>IF(INDEX('価格データ'!$J$6:$J$75,MATCH("MG4_PH",'価格データ'!$A$6:$A$75,0))="","",INDEX('価格データ'!$R$6:$R$75,MATCH("MG4_PH",'価格データ'!$A$6:$A$75,0)))</x:f>
        <x:v>370.12021894713024</x:v>
      </x:c>
      <x:c r="F22" s="17" t="n">
        <x:f>IF(INDEX('価格データ'!$J$6:$J$75,MATCH("MG4_MY",'価格データ'!$A$6:$A$75,0))="","",INDEX('価格データ'!$R$6:$R$75,MATCH("MG4_MY",'価格データ'!$A$6:$A$75,0)))</x:f>
        <x:v>390.4330972759265</x:v>
      </x:c>
      <x:c r="G22" s="17" t="str">
        <x:f>IF(INDEX('価格データ'!$J$6:$J$75,MATCH("MG4_SG",'価格データ'!$A$6:$A$75,0))="","",INDEX('価格データ'!$R$6:$R$75,MATCH("MG4_SG",'価格データ'!$A$6:$A$75,0)))</x:f>
      </x:c>
      <x:c r="H22" s="17" t="str">
        <x:f>IF(INDEX('価格データ'!$J$6:$J$75,MATCH("MG4_CN",'価格データ'!$A$6:$A$75,0))="","",INDEX('価格データ'!$R$6:$R$75,MATCH("MG4_CN",'価格データ'!$A$6:$A$75,0)))</x:f>
      </x:c>
      <x:c r="I22" s="17" t="n">
        <x:f>IF(INDEX('価格データ'!$J$6:$J$75,MATCH("MG4_DE",'価格データ'!$A$6:$A$75,0))="","",INDEX('価格データ'!$R$6:$R$75,MATCH("MG4_DE",'価格データ'!$A$6:$A$75,0)))</x:f>
        <x:v>765.86685</x:v>
      </x:c>
      <x:c r="J22" s="17" t="n">
        <x:f>IF(INDEX('価格データ'!$J$6:$J$75,MATCH("MG4_BR",'価格データ'!$A$6:$A$75,0))="","",INDEX('価格データ'!$R$6:$R$75,MATCH("MG4_BR",'価格データ'!$A$6:$A$75,0)))</x:f>
        <x:v>587.353146041328</x:v>
      </x:c>
      <x:c r="K22" s="17" t="str">
        <x:f>IF(INDEX('価格データ'!$J$6:$J$75,MATCH("MG4_AU",'価格データ'!$A$6:$A$75,0))="","",INDEX('価格データ'!$R$6:$R$75,MATCH("MG4_AU",'価格データ'!$A$6:$A$75,0)))</x:f>
      </x:c>
    </x:row>
    <x:row r="23" ht="32" customHeight="1">
      <x:c r="A23" s="2" t="str">
        <x:v>MG4 Urban（FWD系）</x:v>
      </x:c>
      <x:c r="B23" s="17" t="str">
        <x:f>IF(INDEX('価格データ'!$J$6:$J$75,MATCH("URB_VN",'価格データ'!$A$6:$A$75,0))="","",INDEX('価格データ'!$R$6:$R$75,MATCH("URB_VN",'価格データ'!$A$6:$A$75,0)))</x:f>
      </x:c>
      <x:c r="C23" s="17" t="n">
        <x:f>IF(INDEX('価格データ'!$J$6:$J$75,MATCH("URB_TH",'価格データ'!$A$6:$A$75,0))="","",INDEX('価格データ'!$R$6:$R$75,MATCH("URB_TH",'価格データ'!$A$6:$A$75,0)))</x:f>
        <x:v>273.0446796701554</x:v>
      </x:c>
      <x:c r="D23" s="17" t="str">
        <x:f>IF(INDEX('価格データ'!$J$6:$J$75,MATCH("URB_ID",'価格データ'!$A$6:$A$75,0))="","",INDEX('価格データ'!$R$6:$R$75,MATCH("URB_ID",'価格データ'!$A$6:$A$75,0)))</x:f>
      </x:c>
      <x:c r="E23" s="17" t="n">
        <x:f>IF(INDEX('価格データ'!$J$6:$J$75,MATCH("URB_PH",'価格データ'!$A$6:$A$75,0))="","",INDEX('価格データ'!$R$6:$R$75,MATCH("URB_PH",'価格データ'!$A$6:$A$75,0)))</x:f>
        <x:v>302.08749002857064</x:v>
      </x:c>
      <x:c r="F23" s="17" t="str">
        <x:f>IF(INDEX('価格データ'!$J$6:$J$75,MATCH("URB_MY",'価格データ'!$A$6:$A$75,0))="","",INDEX('価格データ'!$R$6:$R$75,MATCH("URB_MY",'価格データ'!$A$6:$A$75,0)))</x:f>
      </x:c>
      <x:c r="G23" s="17" t="n">
        <x:f>IF(INDEX('価格データ'!$J$6:$J$75,MATCH("URB_SG",'価格データ'!$A$6:$A$75,0))="","",INDEX('価格データ'!$R$6:$R$75,MATCH("URB_SG",'価格データ'!$A$6:$A$75,0)))</x:f>
        <x:v>2560.9433852140082</x:v>
      </x:c>
      <x:c r="H23" s="17" t="n">
        <x:f>IF(INDEX('価格データ'!$J$6:$J$75,MATCH("URB_CN",'価格データ'!$A$6:$A$75,0))="","",INDEX('価格データ'!$R$6:$R$75,MATCH("URB_CN",'価格データ'!$A$6:$A$75,0)))</x:f>
        <x:v>162.2246340365831</x:v>
      </x:c>
      <x:c r="I23" s="17" t="n">
        <x:f>IF(INDEX('価格データ'!$J$6:$J$75,MATCH("URB_DE",'価格データ'!$A$6:$A$75,0))="","",INDEX('価格データ'!$R$6:$R$75,MATCH("URB_DE",'価格データ'!$A$6:$A$75,0)))</x:f>
        <x:v>445.19685</x:v>
      </x:c>
      <x:c r="J23" s="17" t="n">
        <x:f>IF(INDEX('価格データ'!$J$6:$J$75,MATCH("URB_BR",'価格データ'!$A$6:$A$75,0))="","",INDEX('価格データ'!$R$6:$R$75,MATCH("URB_BR",'価格データ'!$A$6:$A$75,0)))</x:f>
        <x:v>429.5059652444143</x:v>
      </x:c>
      <x:c r="K23" s="17" t="str">
        <x:f>IF(INDEX('価格データ'!$J$6:$J$75,MATCH("URB_AU",'価格データ'!$A$6:$A$75,0))="","",INDEX('価格データ'!$R$6:$R$75,MATCH("URB_AU",'価格データ'!$A$6:$A$75,0)))</x:f>
      </x:c>
    </x:row>
    <x:row r="24" ht="32" customHeight="1">
      <x:c r="A24" s="2" t="str">
        <x:v>Omoda C5 / Chery O5</x:v>
      </x:c>
      <x:c r="B24" s="17" t="n">
        <x:f>IF(INDEX('価格データ'!$J$6:$J$75,MATCH("C5_VN",'価格データ'!$A$6:$A$75,0))="","",INDEX('価格データ'!$R$6:$R$75,MATCH("C5_VN",'価格データ'!$A$6:$A$75,0)))</x:f>
        <x:v>332.2664639123983</x:v>
      </x:c>
      <x:c r="C24" s="17" t="str">
        <x:f>IF(INDEX('価格データ'!$J$6:$J$75,MATCH("C5_TH",'価格データ'!$A$6:$A$75,0))="","",INDEX('価格データ'!$R$6:$R$75,MATCH("C5_TH",'価格データ'!$A$6:$A$75,0)))</x:f>
      </x:c>
      <x:c r="D24" s="17" t="n">
        <x:f>IF(INDEX('価格データ'!$J$6:$J$75,MATCH("C5_ID",'価格データ'!$A$6:$A$75,0))="","",INDEX('価格データ'!$R$6:$R$75,MATCH("C5_ID",'価格データ'!$A$6:$A$75,0)))</x:f>
        <x:v>283.46556543710955</x:v>
      </x:c>
      <x:c r="E24" s="30" t="n">
        <x:f>IF(INDEX('価格データ'!$J$6:$J$75,MATCH("C5_PH",'価格データ'!$A$6:$A$75,0))="","",INDEX('価格データ'!$R$6:$R$75,MATCH("C5_PH",'価格データ'!$A$6:$A$75,0)))</x:f>
        <x:v>226.27181692172783</x:v>
      </x:c>
      <x:c r="F24" s="17" t="n">
        <x:f>IF(INDEX('価格データ'!$J$6:$J$75,MATCH("C5_MY",'価格データ'!$A$6:$A$75,0))="","",INDEX('価格データ'!$R$6:$R$75,MATCH("C5_MY",'価格データ'!$A$6:$A$75,0)))</x:f>
        <x:v>452.0119911369857</x:v>
      </x:c>
      <x:c r="G24" s="17" t="str">
        <x:f>IF(INDEX('価格データ'!$J$6:$J$75,MATCH("C5_SG",'価格データ'!$A$6:$A$75,0))="","",INDEX('価格データ'!$R$6:$R$75,MATCH("C5_SG",'価格データ'!$A$6:$A$75,0)))</x:f>
      </x:c>
      <x:c r="H24" s="17" t="str">
        <x:f>IF(INDEX('価格データ'!$J$6:$J$75,MATCH("C5_CN",'価格データ'!$A$6:$A$75,0))="","",INDEX('価格データ'!$R$6:$R$75,MATCH("C5_CN",'価格データ'!$A$6:$A$75,0)))</x:f>
      </x:c>
      <x:c r="I24" s="17" t="str">
        <x:f>IF(INDEX('価格データ'!$J$6:$J$75,MATCH("C5_DE",'価格データ'!$A$6:$A$75,0))="","",INDEX('価格データ'!$R$6:$R$75,MATCH("C5_DE",'価格データ'!$A$6:$A$75,0)))</x:f>
      </x:c>
      <x:c r="J24" s="17" t="str">
        <x:f>IF(INDEX('価格データ'!$J$6:$J$75,MATCH("C5_BR",'価格データ'!$A$6:$A$75,0))="","",INDEX('価格データ'!$R$6:$R$75,MATCH("C5_BR",'価格データ'!$A$6:$A$75,0)))</x:f>
      </x:c>
      <x:c r="K24" s="17" t="str">
        <x:f>IF(INDEX('価格データ'!$J$6:$J$75,MATCH("C5_AU",'価格データ'!$A$6:$A$75,0))="","",INDEX('価格データ'!$R$6:$R$75,MATCH("C5_AU",'価格データ'!$A$6:$A$75,0)))</x:f>
      </x:c>
    </x:row>
    <x:row r="25" ht="32" customHeight="1">
      <x:c r="A25" s="2" t="str">
        <x:v>Haval H6 HEV</x:v>
      </x:c>
      <x:c r="B25" s="30" t="n">
        <x:f>IF(INDEX('価格データ'!$J$6:$J$75,MATCH("H6_VN",'価格データ'!$A$6:$A$75,0))="","",INDEX('価格データ'!$R$6:$R$75,MATCH("H6_VN",'価格データ'!$A$6:$A$75,0)))</x:f>
        <x:v>607.8195425187843</x:v>
      </x:c>
      <x:c r="C25" s="17" t="n">
        <x:f>IF(INDEX('価格データ'!$J$6:$J$75,MATCH("H6_TH",'価格データ'!$A$6:$A$75,0))="","",INDEX('価格データ'!$R$6:$R$75,MATCH("H6_TH",'価格データ'!$A$6:$A$75,0)))</x:f>
        <x:v>456.25158579130994</x:v>
      </x:c>
      <x:c r="D25" s="17" t="n">
        <x:f>IF(INDEX('価格データ'!$J$6:$J$75,MATCH("H6_ID",'価格データ'!$A$6:$A$75,0))="","",INDEX('価格データ'!$R$6:$R$75,MATCH("H6_ID",'価格データ'!$A$6:$A$75,0)))</x:f>
        <x:v>580.2227328797104</x:v>
      </x:c>
      <x:c r="E25" s="17" t="str">
        <x:f>IF(INDEX('価格データ'!$J$6:$J$75,MATCH("H6_PH",'価格データ'!$A$6:$A$75,0))="","",INDEX('価格データ'!$R$6:$R$75,MATCH("H6_PH",'価格データ'!$A$6:$A$75,0)))</x:f>
      </x:c>
      <x:c r="F25" s="17" t="n">
        <x:f>IF(INDEX('価格データ'!$J$6:$J$75,MATCH("H6_MY",'価格データ'!$A$6:$A$75,0))="","",INDEX('価格データ'!$R$6:$R$75,MATCH("H6_MY",'価格データ'!$A$6:$A$75,0)))</x:f>
        <x:v>539.3958161358996</x:v>
      </x:c>
      <x:c r="G25" s="17" t="str">
        <x:f>IF(INDEX('価格データ'!$J$6:$J$75,MATCH("H6_SG",'価格データ'!$A$6:$A$75,0))="","",INDEX('価格データ'!$R$6:$R$75,MATCH("H6_SG",'価格データ'!$A$6:$A$75,0)))</x:f>
      </x:c>
      <x:c r="H25" s="17" t="str">
        <x:f>IF(INDEX('価格データ'!$J$6:$J$75,MATCH("H6_CN",'価格データ'!$A$6:$A$75,0))="","",INDEX('価格データ'!$R$6:$R$75,MATCH("H6_CN",'価格データ'!$A$6:$A$75,0)))</x:f>
      </x:c>
      <x:c r="I25" s="17" t="n">
        <x:f>IF(INDEX('価格データ'!$J$6:$J$75,MATCH("H6_DE",'価格データ'!$A$6:$A$75,0))="","",INDEX('価格データ'!$R$6:$R$75,MATCH("H6_DE",'価格データ'!$A$6:$A$75,0)))</x:f>
        <x:v>569.90185</x:v>
      </x:c>
      <x:c r="J25" s="17" t="n">
        <x:f>IF(INDEX('価格データ'!$J$6:$J$75,MATCH("H6_BR",'価格データ'!$A$6:$A$75,0))="","",INDEX('価格データ'!$R$6:$R$75,MATCH("H6_BR",'価格データ'!$A$6:$A$75,0)))</x:f>
        <x:v>636.0340947652302</x:v>
      </x:c>
      <x:c r="K25" s="30" t="n">
        <x:f>IF(INDEX('価格データ'!$J$6:$J$75,MATCH("H6_AU",'価格データ'!$A$6:$A$75,0))="","",INDEX('価格データ'!$R$6:$R$75,MATCH("H6_AU",'価格データ'!$A$6:$A$75,0)))</x:f>
        <x:v>435.88249690210654</x:v>
      </x:c>
    </x:row>
    <x:row r="26" ht="24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</x:row>
    <x:row r="27" ht="24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</x:row>
    <x:row r="28" ht="24" customHeight="1">
      <x:c r="A28" s="27" t="str">
        <x:v>この比較から得られる視座</x:v>
      </x:c>
      <x:c r="B28" s="27" t="str">
        <x:v>この比較から得られる視座</x:v>
      </x:c>
      <x:c r="C28" s="27" t="str">
        <x:v>この比較から得られる視座</x:v>
      </x:c>
      <x:c r="D28" s="27" t="str">
        <x:v>この比較から得られる視座</x:v>
      </x:c>
      <x:c r="E28" s="27" t="str">
        <x:v>この比較から得られる視座</x:v>
      </x:c>
      <x:c r="F28" s="27" t="str">
        <x:v>この比較から得られる視座</x:v>
      </x:c>
      <x:c r="G28" s="27" t="str">
        <x:v>この比較から得られる視座</x:v>
      </x:c>
      <x:c r="H28" s="27" t="str">
        <x:v>この比較から得られる視座</x:v>
      </x:c>
      <x:c r="I28" s="27" t="str">
        <x:v>この比較から得られる視座</x:v>
      </x:c>
      <x:c r="J28" s="27" t="str">
        <x:v>この比較から得られる視座</x:v>
      </x:c>
      <x:c r="K28" s="27" t="str">
        <x:v>この比較から得られる視座</x:v>
      </x:c>
    </x:row>
    <x:row r="29" ht="24" customHeight="1">
      <x:c r="A29" s="25" t="str">
        <x:v>Dolphinは中国が低く、ASEAN内でも差が大きい。ドイツの通常価格は中国の約2.6倍。一方、豪州はASEANの一部市場より低い。海外価格が一律に高いとはいえない。</x:v>
      </x:c>
      <x:c r="B29" s="25" t="str">
        <x:v>Dolphinは中国が低く、ASEAN内でも差が大きい。ドイツの通常価格は中国の約2.6倍。一方、豪州はASEANの一部市場より低い。海外価格が一律に高いとはいえない。</x:v>
      </x:c>
      <x:c r="C29" s="25" t="str">
        <x:v>Dolphinは中国が低く、ASEAN内でも差が大きい。ドイツの通常価格は中国の約2.6倍。一方、豪州はASEANの一部市場より低い。海外価格が一律に高いとはいえない。</x:v>
      </x:c>
      <x:c r="D29" s="25" t="str">
        <x:v>Dolphinは中国が低く、ASEAN内でも差が大きい。ドイツの通常価格は中国の約2.6倍。一方、豪州はASEANの一部市場より低い。海外価格が一律に高いとはいえない。</x:v>
      </x:c>
      <x:c r="E29" s="25" t="str">
        <x:v>Dolphinは中国が低く、ASEAN内でも差が大きい。ドイツの通常価格は中国の約2.6倍。一方、豪州はASEANの一部市場より低い。海外価格が一律に高いとはいえない。</x:v>
      </x:c>
      <x:c r="F29" s="25" t="str">
        <x:v>Dolphinは中国が低く、ASEAN内でも差が大きい。ドイツの通常価格は中国の約2.6倍。一方、豪州はASEANの一部市場より低い。海外価格が一律に高いとはいえない。</x:v>
      </x:c>
      <x:c r="G29" s="25" t="str">
        <x:v>Dolphinは中国が低く、ASEAN内でも差が大きい。ドイツの通常価格は中国の約2.6倍。一方、豪州はASEANの一部市場より低い。海外価格が一律に高いとはいえない。</x:v>
      </x:c>
      <x:c r="H29" s="25" t="str">
        <x:v>Dolphinは中国が低く、ASEAN内でも差が大きい。ドイツの通常価格は中国の約2.6倍。一方、豪州はASEANの一部市場より低い。海外価格が一律に高いとはいえない。</x:v>
      </x:c>
      <x:c r="I29" s="25" t="str">
        <x:v>Dolphinは中国が低く、ASEAN内でも差が大きい。ドイツの通常価格は中国の約2.6倍。一方、豪州はASEANの一部市場より低い。海外価格が一律に高いとはいえない。</x:v>
      </x:c>
      <x:c r="J29" s="25" t="str">
        <x:v>Dolphinは中国が低く、ASEAN内でも差が大きい。ドイツの通常価格は中国の約2.6倍。一方、豪州はASEANの一部市場より低い。海外価格が一律に高いとはいえない。</x:v>
      </x:c>
      <x:c r="K29" s="25" t="str">
        <x:v>Dolphinは中国が低く、ASEAN内でも差が大きい。ドイツの通常価格は中国の約2.6倍。一方、豪州はASEANの一部市場より低い。海外価格が一律に高いとはいえない。</x:v>
      </x:c>
    </x:row>
    <x:row r="30" ht="24" customHeight="1">
      <x:c r="A30" s="25" t="str">
        <x:v>Dolphinは中国が低く、ASEAN内でも差が大きい。ドイツの通常価格は中国の約2.6倍。一方、豪州はASEANの一部市場より低い。海外価格が一律に高いとはいえない。</x:v>
      </x:c>
      <x:c r="B30" s="25" t="str">
        <x:v>Dolphinは中国が低く、ASEAN内でも差が大きい。ドイツの通常価格は中国の約2.6倍。一方、豪州はASEANの一部市場より低い。海外価格が一律に高いとはいえない。</x:v>
      </x:c>
      <x:c r="C30" s="25" t="str">
        <x:v>Dolphinは中国が低く、ASEAN内でも差が大きい。ドイツの通常価格は中国の約2.6倍。一方、豪州はASEANの一部市場より低い。海外価格が一律に高いとはいえない。</x:v>
      </x:c>
      <x:c r="D30" s="25" t="str">
        <x:v>Dolphinは中国が低く、ASEAN内でも差が大きい。ドイツの通常価格は中国の約2.6倍。一方、豪州はASEANの一部市場より低い。海外価格が一律に高いとはいえない。</x:v>
      </x:c>
      <x:c r="E30" s="25" t="str">
        <x:v>Dolphinは中国が低く、ASEAN内でも差が大きい。ドイツの通常価格は中国の約2.6倍。一方、豪州はASEANの一部市場より低い。海外価格が一律に高いとはいえない。</x:v>
      </x:c>
      <x:c r="F30" s="25" t="str">
        <x:v>Dolphinは中国が低く、ASEAN内でも差が大きい。ドイツの通常価格は中国の約2.6倍。一方、豪州はASEANの一部市場より低い。海外価格が一律に高いとはいえない。</x:v>
      </x:c>
      <x:c r="G30" s="25" t="str">
        <x:v>Dolphinは中国が低く、ASEAN内でも差が大きい。ドイツの通常価格は中国の約2.6倍。一方、豪州はASEANの一部市場より低い。海外価格が一律に高いとはいえない。</x:v>
      </x:c>
      <x:c r="H30" s="25" t="str">
        <x:v>Dolphinは中国が低く、ASEAN内でも差が大きい。ドイツの通常価格は中国の約2.6倍。一方、豪州はASEANの一部市場より低い。海外価格が一律に高いとはいえない。</x:v>
      </x:c>
      <x:c r="I30" s="25" t="str">
        <x:v>Dolphinは中国が低く、ASEAN内でも差が大きい。ドイツの通常価格は中国の約2.6倍。一方、豪州はASEANの一部市場より低い。海外価格が一律に高いとはいえない。</x:v>
      </x:c>
      <x:c r="J30" s="25" t="str">
        <x:v>Dolphinは中国が低く、ASEAN内でも差が大きい。ドイツの通常価格は中国の約2.6倍。一方、豪州はASEANの一部市場より低い。海外価格が一律に高いとはいえない。</x:v>
      </x:c>
      <x:c r="K30" s="25" t="str">
        <x:v>Dolphinは中国が低く、ASEAN内でも差が大きい。ドイツの通常価格は中国の約2.6倍。一方、豪州はASEANの一部市場より低い。海外価格が一律に高いとはいえない。</x:v>
      </x:c>
    </x:row>
    <x:row r="31" ht="24" customHeight="1">
      <x:c r="A31" s="25" t="str">
        <x:v>H6 HEVのブラジル・ドイツ・インドネシアはUSD換算で近い水準。ブラジル現地生産のHEV One投入など、製造地・商品構成も確認する必要がある。価格表だけでは現地化の効果を分離できない。</x:v>
      </x:c>
      <x:c r="B31" s="25" t="str">
        <x:v>H6 HEVのブラジル・ドイツ・インドネシアはUSD換算で近い水準。ブラジル現地生産のHEV One投入など、製造地・商品構成も確認する必要がある。価格表だけでは現地化の効果を分離できない。</x:v>
      </x:c>
      <x:c r="C31" s="25" t="str">
        <x:v>H6 HEVのブラジル・ドイツ・インドネシアはUSD換算で近い水準。ブラジル現地生産のHEV One投入など、製造地・商品構成も確認する必要がある。価格表だけでは現地化の効果を分離できない。</x:v>
      </x:c>
      <x:c r="D31" s="25" t="str">
        <x:v>H6 HEVのブラジル・ドイツ・インドネシアはUSD換算で近い水準。ブラジル現地生産のHEV One投入など、製造地・商品構成も確認する必要がある。価格表だけでは現地化の効果を分離できない。</x:v>
      </x:c>
      <x:c r="E31" s="25" t="str">
        <x:v>H6 HEVのブラジル・ドイツ・インドネシアはUSD換算で近い水準。ブラジル現地生産のHEV One投入など、製造地・商品構成も確認する必要がある。価格表だけでは現地化の効果を分離できない。</x:v>
      </x:c>
      <x:c r="F31" s="25" t="str">
        <x:v>H6 HEVのブラジル・ドイツ・インドネシアはUSD換算で近い水準。ブラジル現地生産のHEV One投入など、製造地・商品構成も確認する必要がある。価格表だけでは現地化の効果を分離できない。</x:v>
      </x:c>
      <x:c r="G31" s="25" t="str">
        <x:v>H6 HEVのブラジル・ドイツ・インドネシアはUSD換算で近い水準。ブラジル現地生産のHEV One投入など、製造地・商品構成も確認する必要がある。価格表だけでは現地化の効果を分離できない。</x:v>
      </x:c>
      <x:c r="H31" s="25" t="str">
        <x:v>H6 HEVのブラジル・ドイツ・インドネシアはUSD換算で近い水準。ブラジル現地生産のHEV One投入など、製造地・商品構成も確認する必要がある。価格表だけでは現地化の効果を分離できない。</x:v>
      </x:c>
      <x:c r="I31" s="25" t="str">
        <x:v>H6 HEVのブラジル・ドイツ・インドネシアはUSD換算で近い水準。ブラジル現地生産のHEV One投入など、製造地・商品構成も確認する必要がある。価格表だけでは現地化の効果を分離できない。</x:v>
      </x:c>
      <x:c r="J31" s="25" t="str">
        <x:v>H6 HEVのブラジル・ドイツ・インドネシアはUSD換算で近い水準。ブラジル現地生産のHEV One投入など、製造地・商品構成も確認する必要がある。価格表だけでは現地化の効果を分離できない。</x:v>
      </x:c>
      <x:c r="K31" s="25" t="str">
        <x:v>H6 HEVのブラジル・ドイツ・インドネシアはUSD換算で近い水準。ブラジル現地生産のHEV One投入など、製造地・商品構成も確認する必要がある。価格表だけでは現地化の効果を分離できない。</x:v>
      </x:c>
    </x:row>
    <x:row r="32" ht="24" customHeight="1">
      <x:c r="A32" s="25" t="str">
        <x:v>H6 HEVのブラジル・ドイツ・インドネシアはUSD換算で近い水準。ブラジル現地生産のHEV One投入など、製造地・商品構成も確認する必要がある。価格表だけでは現地化の効果を分離できない。</x:v>
      </x:c>
      <x:c r="B32" s="25" t="str">
        <x:v>H6 HEVのブラジル・ドイツ・インドネシアはUSD換算で近い水準。ブラジル現地生産のHEV One投入など、製造地・商品構成も確認する必要がある。価格表だけでは現地化の効果を分離できない。</x:v>
      </x:c>
      <x:c r="C32" s="25" t="str">
        <x:v>H6 HEVのブラジル・ドイツ・インドネシアはUSD換算で近い水準。ブラジル現地生産のHEV One投入など、製造地・商品構成も確認する必要がある。価格表だけでは現地化の効果を分離できない。</x:v>
      </x:c>
      <x:c r="D32" s="25" t="str">
        <x:v>H6 HEVのブラジル・ドイツ・インドネシアはUSD換算で近い水準。ブラジル現地生産のHEV One投入など、製造地・商品構成も確認する必要がある。価格表だけでは現地化の効果を分離できない。</x:v>
      </x:c>
      <x:c r="E32" s="25" t="str">
        <x:v>H6 HEVのブラジル・ドイツ・インドネシアはUSD換算で近い水準。ブラジル現地生産のHEV One投入など、製造地・商品構成も確認する必要がある。価格表だけでは現地化の効果を分離できない。</x:v>
      </x:c>
      <x:c r="F32" s="25" t="str">
        <x:v>H6 HEVのブラジル・ドイツ・インドネシアはUSD換算で近い水準。ブラジル現地生産のHEV One投入など、製造地・商品構成も確認する必要がある。価格表だけでは現地化の効果を分離できない。</x:v>
      </x:c>
      <x:c r="G32" s="25" t="str">
        <x:v>H6 HEVのブラジル・ドイツ・インドネシアはUSD換算で近い水準。ブラジル現地生産のHEV One投入など、製造地・商品構成も確認する必要がある。価格表だけでは現地化の効果を分離できない。</x:v>
      </x:c>
      <x:c r="H32" s="25" t="str">
        <x:v>H6 HEVのブラジル・ドイツ・インドネシアはUSD換算で近い水準。ブラジル現地生産のHEV One投入など、製造地・商品構成も確認する必要がある。価格表だけでは現地化の効果を分離できない。</x:v>
      </x:c>
      <x:c r="I32" s="25" t="str">
        <x:v>H6 HEVのブラジル・ドイツ・インドネシアはUSD換算で近い水準。ブラジル現地生産のHEV One投入など、製造地・商品構成も確認する必要がある。価格表だけでは現地化の効果を分離できない。</x:v>
      </x:c>
      <x:c r="J32" s="25" t="str">
        <x:v>H6 HEVのブラジル・ドイツ・インドネシアはUSD換算で近い水準。ブラジル現地生産のHEV One投入など、製造地・商品構成も確認する必要がある。価格表だけでは現地化の効果を分離できない。</x:v>
      </x:c>
      <x:c r="K32" s="25" t="str">
        <x:v>H6 HEVのブラジル・ドイツ・インドネシアはUSD換算で近い水準。ブラジル現地生産のHEV One投入など、製造地・商品構成も確認する必要がある。価格表だけでは現地化の効果を分離できない。</x:v>
      </x:c>
    </x:row>
    <x:row r="33" ht="24" customHeight="1">
      <x:c r="A33" s="25" t="str">
        <x:v>MG4 EV（RWD系）とMG4 Urban（FWD系）は別のモデル系統。ドイツでは42,990対24,990 EUR。中国の新MG4 68,800 CNYを旧MG4輸出車と直接比べると、海外上乗せを過大評価する。</x:v>
      </x:c>
      <x:c r="B33" s="25" t="str">
        <x:v>MG4 EV（RWD系）とMG4 Urban（FWD系）は別のモデル系統。ドイツでは42,990対24,990 EUR。中国の新MG4 68,800 CNYを旧MG4輸出車と直接比べると、海外上乗せを過大評価する。</x:v>
      </x:c>
      <x:c r="C33" s="25" t="str">
        <x:v>MG4 EV（RWD系）とMG4 Urban（FWD系）は別のモデル系統。ドイツでは42,990対24,990 EUR。中国の新MG4 68,800 CNYを旧MG4輸出車と直接比べると、海外上乗せを過大評価する。</x:v>
      </x:c>
      <x:c r="D33" s="25" t="str">
        <x:v>MG4 EV（RWD系）とMG4 Urban（FWD系）は別のモデル系統。ドイツでは42,990対24,990 EUR。中国の新MG4 68,800 CNYを旧MG4輸出車と直接比べると、海外上乗せを過大評価する。</x:v>
      </x:c>
      <x:c r="E33" s="25" t="str">
        <x:v>MG4 EV（RWD系）とMG4 Urban（FWD系）は別のモデル系統。ドイツでは42,990対24,990 EUR。中国の新MG4 68,800 CNYを旧MG4輸出車と直接比べると、海外上乗せを過大評価する。</x:v>
      </x:c>
      <x:c r="F33" s="25" t="str">
        <x:v>MG4 EV（RWD系）とMG4 Urban（FWD系）は別のモデル系統。ドイツでは42,990対24,990 EUR。中国の新MG4 68,800 CNYを旧MG4輸出車と直接比べると、海外上乗せを過大評価する。</x:v>
      </x:c>
      <x:c r="G33" s="25" t="str">
        <x:v>MG4 EV（RWD系）とMG4 Urban（FWD系）は別のモデル系統。ドイツでは42,990対24,990 EUR。中国の新MG4 68,800 CNYを旧MG4輸出車と直接比べると、海外上乗せを過大評価する。</x:v>
      </x:c>
      <x:c r="H33" s="25" t="str">
        <x:v>MG4 EV（RWD系）とMG4 Urban（FWD系）は別のモデル系統。ドイツでは42,990対24,990 EUR。中国の新MG4 68,800 CNYを旧MG4輸出車と直接比べると、海外上乗せを過大評価する。</x:v>
      </x:c>
      <x:c r="I33" s="25" t="str">
        <x:v>MG4 EV（RWD系）とMG4 Urban（FWD系）は別のモデル系統。ドイツでは42,990対24,990 EUR。中国の新MG4 68,800 CNYを旧MG4輸出車と直接比べると、海外上乗せを過大評価する。</x:v>
      </x:c>
      <x:c r="J33" s="25" t="str">
        <x:v>MG4 EV（RWD系）とMG4 Urban（FWD系）は別のモデル系統。ドイツでは42,990対24,990 EUR。中国の新MG4 68,800 CNYを旧MG4輸出車と直接比べると、海外上乗せを過大評価する。</x:v>
      </x:c>
      <x:c r="K33" s="25" t="str">
        <x:v>MG4 EV（RWD系）とMG4 Urban（FWD系）は別のモデル系統。ドイツでは42,990対24,990 EUR。中国の新MG4 68,800 CNYを旧MG4輸出車と直接比べると、海外上乗せを過大評価する。</x:v>
      </x:c>
    </x:row>
    <x:row r="34" ht="24" customHeight="1">
      <x:c r="A34" s="25" t="str">
        <x:v>MG4 EV（RWD系）とMG4 Urban（FWD系）は別のモデル系統。ドイツでは42,990対24,990 EUR。中国の新MG4 68,800 CNYを旧MG4輸出車と直接比べると、海外上乗せを過大評価する。</x:v>
      </x:c>
      <x:c r="B34" s="25" t="str">
        <x:v>MG4 EV（RWD系）とMG4 Urban（FWD系）は別のモデル系統。ドイツでは42,990対24,990 EUR。中国の新MG4 68,800 CNYを旧MG4輸出車と直接比べると、海外上乗せを過大評価する。</x:v>
      </x:c>
      <x:c r="C34" s="25" t="str">
        <x:v>MG4 EV（RWD系）とMG4 Urban（FWD系）は別のモデル系統。ドイツでは42,990対24,990 EUR。中国の新MG4 68,800 CNYを旧MG4輸出車と直接比べると、海外上乗せを過大評価する。</x:v>
      </x:c>
      <x:c r="D34" s="25" t="str">
        <x:v>MG4 EV（RWD系）とMG4 Urban（FWD系）は別のモデル系統。ドイツでは42,990対24,990 EUR。中国の新MG4 68,800 CNYを旧MG4輸出車と直接比べると、海外上乗せを過大評価する。</x:v>
      </x:c>
      <x:c r="E34" s="25" t="str">
        <x:v>MG4 EV（RWD系）とMG4 Urban（FWD系）は別のモデル系統。ドイツでは42,990対24,990 EUR。中国の新MG4 68,800 CNYを旧MG4輸出車と直接比べると、海外上乗せを過大評価する。</x:v>
      </x:c>
      <x:c r="F34" s="25" t="str">
        <x:v>MG4 EV（RWD系）とMG4 Urban（FWD系）は別のモデル系統。ドイツでは42,990対24,990 EUR。中国の新MG4 68,800 CNYを旧MG4輸出車と直接比べると、海外上乗せを過大評価する。</x:v>
      </x:c>
      <x:c r="G34" s="25" t="str">
        <x:v>MG4 EV（RWD系）とMG4 Urban（FWD系）は別のモデル系統。ドイツでは42,990対24,990 EUR。中国の新MG4 68,800 CNYを旧MG4輸出車と直接比べると、海外上乗せを過大評価する。</x:v>
      </x:c>
      <x:c r="H34" s="25" t="str">
        <x:v>MG4 EV（RWD系）とMG4 Urban（FWD系）は別のモデル系統。ドイツでは42,990対24,990 EUR。中国の新MG4 68,800 CNYを旧MG4輸出車と直接比べると、海外上乗せを過大評価する。</x:v>
      </x:c>
      <x:c r="I34" s="25" t="str">
        <x:v>MG4 EV（RWD系）とMG4 Urban（FWD系）は別のモデル系統。ドイツでは42,990対24,990 EUR。中国の新MG4 68,800 CNYを旧MG4輸出車と直接比べると、海外上乗せを過大評価する。</x:v>
      </x:c>
      <x:c r="J34" s="25" t="str">
        <x:v>MG4 EV（RWD系）とMG4 Urban（FWD系）は別のモデル系統。ドイツでは42,990対24,990 EUR。中国の新MG4 68,800 CNYを旧MG4輸出車と直接比べると、海外上乗せを過大評価する。</x:v>
      </x:c>
      <x:c r="K34" s="25" t="str">
        <x:v>MG4 EV（RWD系）とMG4 Urban（FWD系）は別のモデル系統。ドイツでは42,990対24,990 EUR。中国の新MG4 68,800 CNYを旧MG4輸出車と直接比べると、海外上乗せを過大評価する。</x:v>
      </x:c>
    </x:row>
    <x:row r="35" ht="24" customHeight="1">
      <x:c r="A35" s="25" t="str">
        <x:v>通常価格と販促価格には大きな差がある。タイMG4の通常669,900対特価599,900、ブラジルMG4の通常184,600対特価169,600。通常価格は価格戦略、特価は販売局面の読み取りに使う。</x:v>
      </x:c>
      <x:c r="B35" s="25" t="str">
        <x:v>通常価格と販促価格には大きな差がある。タイMG4の通常669,900対特価599,900、ブラジルMG4の通常184,600対特価169,600。通常価格は価格戦略、特価は販売局面の読み取りに使う。</x:v>
      </x:c>
      <x:c r="C35" s="25" t="str">
        <x:v>通常価格と販促価格には大きな差がある。タイMG4の通常669,900対特価599,900、ブラジルMG4の通常184,600対特価169,600。通常価格は価格戦略、特価は販売局面の読み取りに使う。</x:v>
      </x:c>
      <x:c r="D35" s="25" t="str">
        <x:v>通常価格と販促価格には大きな差がある。タイMG4の通常669,900対特価599,900、ブラジルMG4の通常184,600対特価169,600。通常価格は価格戦略、特価は販売局面の読み取りに使う。</x:v>
      </x:c>
      <x:c r="E35" s="25" t="str">
        <x:v>通常価格と販促価格には大きな差がある。タイMG4の通常669,900対特価599,900、ブラジルMG4の通常184,600対特価169,600。通常価格は価格戦略、特価は販売局面の読み取りに使う。</x:v>
      </x:c>
      <x:c r="F35" s="25" t="str">
        <x:v>通常価格と販促価格には大きな差がある。タイMG4の通常669,900対特価599,900、ブラジルMG4の通常184,600対特価169,600。通常価格は価格戦略、特価は販売局面の読み取りに使う。</x:v>
      </x:c>
      <x:c r="G35" s="25" t="str">
        <x:v>通常価格と販促価格には大きな差がある。タイMG4の通常669,900対特価599,900、ブラジルMG4の通常184,600対特価169,600。通常価格は価格戦略、特価は販売局面の読み取りに使う。</x:v>
      </x:c>
      <x:c r="H35" s="25" t="str">
        <x:v>通常価格と販促価格には大きな差がある。タイMG4の通常669,900対特価599,900、ブラジルMG4の通常184,600対特価169,600。通常価格は価格戦略、特価は販売局面の読み取りに使う。</x:v>
      </x:c>
      <x:c r="I35" s="25" t="str">
        <x:v>通常価格と販促価格には大きな差がある。タイMG4の通常669,900対特価599,900、ブラジルMG4の通常184,600対特価169,600。通常価格は価格戦略、特価は販売局面の読み取りに使う。</x:v>
      </x:c>
      <x:c r="J35" s="25" t="str">
        <x:v>通常価格と販促価格には大きな差がある。タイMG4の通常669,900対特価599,900、ブラジルMG4の通常184,600対特価169,600。通常価格は価格戦略、特価は販売局面の読み取りに使う。</x:v>
      </x:c>
      <x:c r="K35" s="25" t="str">
        <x:v>通常価格と販促価格には大きな差がある。タイMG4の通常669,900対特価599,900、ブラジルMG4の通常184,600対特価169,600。通常価格は価格戦略、特価は販売局面の読み取りに使う。</x:v>
      </x:c>
    </x:row>
    <x:row r="36" ht="24" customHeight="1">
      <x:c r="A36" s="25" t="str">
        <x:v>通常価格と販促価格には大きな差がある。タイMG4の通常669,900対特価599,900、ブラジルMG4の通常184,600対特価169,600。通常価格は価格戦略、特価は販売局面の読み取りに使う。</x:v>
      </x:c>
      <x:c r="B36" s="25" t="str">
        <x:v>通常価格と販促価格には大きな差がある。タイMG4の通常669,900対特価599,900、ブラジルMG4の通常184,600対特価169,600。通常価格は価格戦略、特価は販売局面の読み取りに使う。</x:v>
      </x:c>
      <x:c r="C36" s="25" t="str">
        <x:v>通常価格と販促価格には大きな差がある。タイMG4の通常669,900対特価599,900、ブラジルMG4の通常184,600対特価169,600。通常価格は価格戦略、特価は販売局面の読み取りに使う。</x:v>
      </x:c>
      <x:c r="D36" s="25" t="str">
        <x:v>通常価格と販促価格には大きな差がある。タイMG4の通常669,900対特価599,900、ブラジルMG4の通常184,600対特価169,600。通常価格は価格戦略、特価は販売局面の読み取りに使う。</x:v>
      </x:c>
      <x:c r="E36" s="25" t="str">
        <x:v>通常価格と販促価格には大きな差がある。タイMG4の通常669,900対特価599,900、ブラジルMG4の通常184,600対特価169,600。通常価格は価格戦略、特価は販売局面の読み取りに使う。</x:v>
      </x:c>
      <x:c r="F36" s="25" t="str">
        <x:v>通常価格と販促価格には大きな差がある。タイMG4の通常669,900対特価599,900、ブラジルMG4の通常184,600対特価169,600。通常価格は価格戦略、特価は販売局面の読み取りに使う。</x:v>
      </x:c>
      <x:c r="G36" s="25" t="str">
        <x:v>通常価格と販促価格には大きな差がある。タイMG4の通常669,900対特価599,900、ブラジルMG4の通常184,600対特価169,600。通常価格は価格戦略、特価は販売局面の読み取りに使う。</x:v>
      </x:c>
      <x:c r="H36" s="25" t="str">
        <x:v>通常価格と販促価格には大きな差がある。タイMG4の通常669,900対特価599,900、ブラジルMG4の通常184,600対特価169,600。通常価格は価格戦略、特価は販売局面の読み取りに使う。</x:v>
      </x:c>
      <x:c r="I36" s="25" t="str">
        <x:v>通常価格と販促価格には大きな差がある。タイMG4の通常669,900対特価599,900、ブラジルMG4の通常184,600対特価169,600。通常価格は価格戦略、特価は販売局面の読み取りに使う。</x:v>
      </x:c>
      <x:c r="J36" s="25" t="str">
        <x:v>通常価格と販促価格には大きな差がある。タイMG4の通常669,900対特価599,900、ブラジルMG4の通常184,600対特価169,600。通常価格は価格戦略、特価は販売局面の読み取りに使う。</x:v>
      </x:c>
      <x:c r="K36" s="25" t="str">
        <x:v>通常価格と販促価格には大きな差がある。タイMG4の通常669,900対特価599,900、ブラジルMG4の通常184,600対特価169,600。通常価格は価格戦略、特価は販売局面の読み取りに使う。</x:v>
      </x:c>
    </x:row>
    <x:row r="37" ht="24" customHeight="1">
      <x:c r="A37" s="25" t="str">
        <x:v>シンガポールのList PriceはCOE・登録税制度の影響を含む。条件付の融資・保険・下取パッケージ価格も別に掲載される。中国との小売価格差をメーカー利益とみなすことはできない。</x:v>
      </x:c>
      <x:c r="B37" s="25" t="str">
        <x:v>シンガポールのList PriceはCOE・登録税制度の影響を含む。条件付の融資・保険・下取パッケージ価格も別に掲載される。中国との小売価格差をメーカー利益とみなすことはできない。</x:v>
      </x:c>
      <x:c r="C37" s="25" t="str">
        <x:v>シンガポールのList PriceはCOE・登録税制度の影響を含む。条件付の融資・保険・下取パッケージ価格も別に掲載される。中国との小売価格差をメーカー利益とみなすことはできない。</x:v>
      </x:c>
      <x:c r="D37" s="25" t="str">
        <x:v>シンガポールのList PriceはCOE・登録税制度の影響を含む。条件付の融資・保険・下取パッケージ価格も別に掲載される。中国との小売価格差をメーカー利益とみなすことはできない。</x:v>
      </x:c>
      <x:c r="E37" s="25" t="str">
        <x:v>シンガポールのList PriceはCOE・登録税制度の影響を含む。条件付の融資・保険・下取パッケージ価格も別に掲載される。中国との小売価格差をメーカー利益とみなすことはできない。</x:v>
      </x:c>
      <x:c r="F37" s="25" t="str">
        <x:v>シンガポールのList PriceはCOE・登録税制度の影響を含む。条件付の融資・保険・下取パッケージ価格も別に掲載される。中国との小売価格差をメーカー利益とみなすことはできない。</x:v>
      </x:c>
      <x:c r="G37" s="25" t="str">
        <x:v>シンガポールのList PriceはCOE・登録税制度の影響を含む。条件付の融資・保険・下取パッケージ価格も別に掲載される。中国との小売価格差をメーカー利益とみなすことはできない。</x:v>
      </x:c>
      <x:c r="H37" s="25" t="str">
        <x:v>シンガポールのList PriceはCOE・登録税制度の影響を含む。条件付の融資・保険・下取パッケージ価格も別に掲載される。中国との小売価格差をメーカー利益とみなすことはできない。</x:v>
      </x:c>
      <x:c r="I37" s="25" t="str">
        <x:v>シンガポールのList PriceはCOE・登録税制度の影響を含む。条件付の融資・保険・下取パッケージ価格も別に掲載される。中国との小売価格差をメーカー利益とみなすことはできない。</x:v>
      </x:c>
      <x:c r="J37" s="25" t="str">
        <x:v>シンガポールのList PriceはCOE・登録税制度の影響を含む。条件付の融資・保険・下取パッケージ価格も別に掲載される。中国との小売価格差をメーカー利益とみなすことはできない。</x:v>
      </x:c>
      <x:c r="K37" s="25" t="str">
        <x:v>シンガポールのList PriceはCOE・登録税制度の影響を含む。条件付の融資・保険・下取パッケージ価格も別に掲載される。中国との小売価格差をメーカー利益とみなすことはできない。</x:v>
      </x:c>
    </x:row>
    <x:row r="38" ht="24" customHeight="1">
      <x:c r="A38" s="25" t="str">
        <x:v>シンガポールのList PriceはCOE・登録税制度の影響を含む。条件付の融資・保険・下取パッケージ価格も別に掲載される。中国との小売価格差をメーカー利益とみなすことはできない。</x:v>
      </x:c>
      <x:c r="B38" s="25" t="str">
        <x:v>シンガポールのList PriceはCOE・登録税制度の影響を含む。条件付の融資・保険・下取パッケージ価格も別に掲載される。中国との小売価格差をメーカー利益とみなすことはできない。</x:v>
      </x:c>
      <x:c r="C38" s="25" t="str">
        <x:v>シンガポールのList PriceはCOE・登録税制度の影響を含む。条件付の融資・保険・下取パッケージ価格も別に掲載される。中国との小売価格差をメーカー利益とみなすことはできない。</x:v>
      </x:c>
      <x:c r="D38" s="25" t="str">
        <x:v>シンガポールのList PriceはCOE・登録税制度の影響を含む。条件付の融資・保険・下取パッケージ価格も別に掲載される。中国との小売価格差をメーカー利益とみなすことはできない。</x:v>
      </x:c>
      <x:c r="E38" s="25" t="str">
        <x:v>シンガポールのList PriceはCOE・登録税制度の影響を含む。条件付の融資・保険・下取パッケージ価格も別に掲載される。中国との小売価格差をメーカー利益とみなすことはできない。</x:v>
      </x:c>
      <x:c r="F38" s="25" t="str">
        <x:v>シンガポールのList PriceはCOE・登録税制度の影響を含む。条件付の融資・保険・下取パッケージ価格も別に掲載される。中国との小売価格差をメーカー利益とみなすことはできない。</x:v>
      </x:c>
      <x:c r="G38" s="25" t="str">
        <x:v>シンガポールのList PriceはCOE・登録税制度の影響を含む。条件付の融資・保険・下取パッケージ価格も別に掲載される。中国との小売価格差をメーカー利益とみなすことはできない。</x:v>
      </x:c>
      <x:c r="H38" s="25" t="str">
        <x:v>シンガポールのList PriceはCOE・登録税制度の影響を含む。条件付の融資・保険・下取パッケージ価格も別に掲載される。中国との小売価格差をメーカー利益とみなすことはできない。</x:v>
      </x:c>
      <x:c r="I38" s="25" t="str">
        <x:v>シンガポールのList PriceはCOE・登録税制度の影響を含む。条件付の融資・保険・下取パッケージ価格も別に掲載される。中国との小売価格差をメーカー利益とみなすことはできない。</x:v>
      </x:c>
      <x:c r="J38" s="25" t="str">
        <x:v>シンガポールのList PriceはCOE・登録税制度の影響を含む。条件付の融資・保険・下取パッケージ価格も別に掲載される。中国との小売価格差をメーカー利益とみなすことはできない。</x:v>
      </x:c>
      <x:c r="K38" s="25" t="str">
        <x:v>シンガポールのList PriceはCOE・登録税制度の影響を含む。条件付の融資・保険・下取パッケージ価格も別に掲載される。中国との小売価格差をメーカー利益とみなすことはできない。</x:v>
      </x:c>
    </x:row>
    <x:row r="39" ht="24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</x:row>
    <x:row r="40" ht="24" customHeight="1">
      <x:c r="A40" s="27" t="str">
        <x:v>中国=100の入口価格指数（同一仕様の指数ではない）</x:v>
      </x:c>
      <x:c r="B40" s="27" t="str">
        <x:v>中国=100の入口価格指数（同一仕様の指数ではない）</x:v>
      </x:c>
      <x:c r="C40" s="27" t="str">
        <x:v>中国=100の入口価格指数（同一仕様の指数ではない）</x:v>
      </x:c>
      <x:c r="D40" s="27" t="str">
        <x:v>中国=100の入口価格指数（同一仕様の指数ではない）</x:v>
      </x:c>
      <x:c r="E40" s="27" t="str">
        <x:v>中国=100の入口価格指数（同一仕様の指数ではない）</x:v>
      </x:c>
      <x:c r="F40" s="27" t="str">
        <x:v>中国=100の入口価格指数（同一仕様の指数ではない）</x:v>
      </x:c>
      <x:c r="G40" s="27" t="str">
        <x:v>中国=100の入口価格指数（同一仕様の指数ではない）</x:v>
      </x:c>
      <x:c r="H40" s="27" t="str">
        <x:v>中国=100の入口価格指数（同一仕様の指数ではない）</x:v>
      </x:c>
      <x:c r="I40" s="27" t="str">
        <x:v>中国=100の入口価格指数（同一仕様の指数ではない）</x:v>
      </x:c>
      <x:c r="J40" s="27" t="str">
        <x:v>中国=100の入口価格指数（同一仕様の指数ではない）</x:v>
      </x:c>
      <x:c r="K40" s="27" t="str">
        <x:v>中国=100の入口価格指数（同一仕様の指数ではない）</x:v>
      </x:c>
    </x:row>
    <x:row r="41" ht="24" customHeight="1">
      <x:c r="A41" s="10" t="str">
        <x:v>車種系統</x:v>
      </x:c>
      <x:c r="B41" s="10" t="str">
        <x:v>ベトナム</x:v>
      </x:c>
      <x:c r="C41" s="10" t="str">
        <x:v>タイ</x:v>
      </x:c>
      <x:c r="D41" s="10" t="str">
        <x:v>インドネシア</x:v>
      </x:c>
      <x:c r="E41" s="10" t="str">
        <x:v>フィリピン</x:v>
      </x:c>
      <x:c r="F41" s="10" t="str">
        <x:v>マレーシア</x:v>
      </x:c>
      <x:c r="G41" s="10" t="str">
        <x:v>シンガポール</x:v>
      </x:c>
      <x:c r="H41" s="10" t="str">
        <x:v>中国</x:v>
      </x:c>
      <x:c r="I41" s="10" t="str">
        <x:v>ドイツ</x:v>
      </x:c>
      <x:c r="J41" s="10" t="str">
        <x:v>ブラジル</x:v>
      </x:c>
      <x:c r="K41" s="10" t="str">
        <x:v>豪州</x:v>
      </x:c>
    </x:row>
    <x:row r="42" ht="24" customHeight="1">
      <x:c r="A42" s="2" t="str">
        <x:v>Dolphin</x:v>
      </x:c>
      <x:c r="B42" s="31" t="n">
        <x:f>IF(INDEX('価格データ'!$S$6:$S$75,MATCH("DOL_VN",'価格データ'!$A$6:$A$75,0))="","",INDEX('価格データ'!$S$6:$S$75,MATCH("DOL_VN",'価格データ'!$A$6:$A$75,0)))</x:f>
        <x:v>149.05656359825468</x:v>
      </x:c>
      <x:c r="C42" s="31" t="n">
        <x:f>IF(INDEX('価格データ'!$S$6:$S$75,MATCH("DOL_TH",'価格データ'!$A$6:$A$75,0))="","",INDEX('価格データ'!$S$6:$S$75,MATCH("DOL_TH",'価格データ'!$A$6:$A$75,0)))</x:f>
        <x:v>120.03297376018558</x:v>
      </x:c>
      <x:c r="D42" s="31" t="n">
        <x:f>IF(INDEX('価格データ'!$S$6:$S$75,MATCH("DOL_ID",'価格データ'!$A$6:$A$75,0))="","",INDEX('価格データ'!$S$6:$S$75,MATCH("DOL_ID",'価格データ'!$A$6:$A$75,0)))</x:f>
        <x:v>138.94839338459659</x:v>
      </x:c>
      <x:c r="E42" s="31" t="n">
        <x:f>IF(INDEX('価格データ'!$S$6:$S$75,MATCH("DOL_PH",'価格データ'!$A$6:$A$75,0))="","",INDEX('価格データ'!$S$6:$S$75,MATCH("DOL_PH",'価格データ'!$A$6:$A$75,0)))</x:f>
        <x:v>153.9763808117494</x:v>
      </x:c>
      <x:c r="F42" s="31" t="n">
        <x:f>IF(INDEX('価格データ'!$S$6:$S$75,MATCH("DOL_MY",'価格データ'!$A$6:$A$75,0))="","",INDEX('価格データ'!$S$6:$S$75,MATCH("DOL_MY",'価格データ'!$A$6:$A$75,0)))</x:f>
        <x:v>164.4554260365019</x:v>
      </x:c>
      <x:c r="G42" s="31" t="n">
        <x:f>IF(INDEX('価格データ'!$S$6:$S$75,MATCH("DOL_SG",'価格データ'!$A$6:$A$75,0))="","",INDEX('価格データ'!$S$6:$S$75,MATCH("DOL_SG",'価格データ'!$A$6:$A$75,0)))</x:f>
        <x:v>1351.2931889348458</x:v>
      </x:c>
      <x:c r="H42" s="31" t="n">
        <x:f>IF(INDEX('価格データ'!$S$6:$S$75,MATCH("DOL_CN",'価格データ'!$A$6:$A$75,0))="","",INDEX('価格データ'!$S$6:$S$75,MATCH("DOL_CN",'価格データ'!$A$6:$A$75,0)))</x:f>
        <x:v>100</x:v>
      </x:c>
      <x:c r="I42" s="31" t="n">
        <x:f>IF(INDEX('価格データ'!$S$6:$S$75,MATCH("DOL_DE",'価格データ'!$A$6:$A$75,0))="","",INDEX('価格データ'!$S$6:$S$75,MATCH("DOL_DE",'価格データ'!$A$6:$A$75,0)))</x:f>
        <x:v>257.3226913827655</x:v>
      </x:c>
      <x:c r="J42" s="31" t="n">
        <x:f>IF(INDEX('価格データ'!$S$6:$S$75,MATCH("DOL_BR",'価格データ'!$A$6:$A$75,0))="","",INDEX('価格データ'!$S$6:$S$75,MATCH("DOL_BR",'価格データ'!$A$6:$A$75,0)))</x:f>
        <x:v>202.8014246778639</x:v>
      </x:c>
      <x:c r="K42" s="31" t="n">
        <x:f>IF(INDEX('価格データ'!$S$6:$S$75,MATCH("DOL_AU",'価格データ'!$A$6:$A$75,0))="","",INDEX('価格データ'!$S$6:$S$75,MATCH("DOL_AU",'価格データ'!$A$6:$A$75,0)))</x:f>
        <x:v>140.6694715329047</x:v>
      </x:c>
    </x:row>
    <x:row r="43" ht="24" customHeight="1">
      <x:c r="A43" s="2" t="str">
        <x:v>Atto 3 / Yuan Plus</x:v>
      </x:c>
      <x:c r="B43" s="31" t="n">
        <x:f>IF(INDEX('価格データ'!$S$6:$S$75,MATCH("ATT_VN",'価格データ'!$A$6:$A$75,0))="","",INDEX('価格データ'!$S$6:$S$75,MATCH("ATT_VN",'価格データ'!$A$6:$A$75,0)))</x:f>
        <x:v>167.02403300470155</x:v>
      </x:c>
      <x:c r="C43" s="31" t="n">
        <x:f>IF(INDEX('価格データ'!$S$6:$S$75,MATCH("ATT_TH",'価格データ'!$A$6:$A$75,0))="","",INDEX('価格データ'!$S$6:$S$75,MATCH("ATT_TH",'価格データ'!$A$6:$A$75,0)))</x:f>
        <x:v>133.21979429063987</x:v>
      </x:c>
      <x:c r="D43" s="31" t="n">
        <x:f>IF(INDEX('価格データ'!$S$6:$S$75,MATCH("ATT_ID",'価格データ'!$A$6:$A$75,0))="","",INDEX('価格データ'!$S$6:$S$75,MATCH("ATT_ID",'価格データ'!$A$6:$A$75,0)))</x:f>
        <x:v>130.0728386756316</x:v>
      </x:c>
      <x:c r="E43" s="31" t="n">
        <x:f>IF(INDEX('価格データ'!$S$6:$S$75,MATCH("ATT_PH",'価格データ'!$A$6:$A$75,0))="","",INDEX('価格データ'!$S$6:$S$75,MATCH("ATT_PH",'価格データ'!$A$6:$A$75,0)))</x:f>
        <x:v>145.98911537669093</x:v>
      </x:c>
      <x:c r="F43" s="31" t="n">
        <x:f>IF(INDEX('価格データ'!$S$6:$S$75,MATCH("ATT_MY",'価格データ'!$A$6:$A$75,0))="","",INDEX('価格データ'!$S$6:$S$75,MATCH("ATT_MY",'価格データ'!$A$6:$A$75,0)))</x:f>
        <x:v>172.2027990842465</x:v>
      </x:c>
      <x:c r="G43" s="31" t="n">
        <x:f>IF(INDEX('価格データ'!$S$6:$S$75,MATCH("ATT_SG",'価格データ'!$A$6:$A$75,0))="","",INDEX('価格データ'!$S$6:$S$75,MATCH("ATT_SG",'価格データ'!$A$6:$A$75,0)))</x:f>
        <x:v>1124.76280446787</x:v>
      </x:c>
      <x:c r="H43" s="31" t="n">
        <x:f>IF(INDEX('価格データ'!$S$6:$S$75,MATCH("ATT_CN",'価格データ'!$A$6:$A$75,0))="","",INDEX('価格データ'!$S$6:$S$75,MATCH("ATT_CN",'価格データ'!$A$6:$A$75,0)))</x:f>
        <x:v>100</x:v>
      </x:c>
      <x:c r="I43" s="31" t="n">
        <x:f>IF(INDEX('価格データ'!$S$6:$S$75,MATCH("ATT_DE",'価格データ'!$A$6:$A$75,0))="","",INDEX('価格データ'!$S$6:$S$75,MATCH("ATT_DE",'価格データ'!$A$6:$A$75,0)))</x:f>
        <x:v>283.50078899082564</x:v>
      </x:c>
      <x:c r="J43" s="31" t="n">
        <x:f>IF(INDEX('価格データ'!$S$6:$S$75,MATCH("ATT_BR",'価格データ'!$A$6:$A$75,0))="","",INDEX('価格データ'!$S$6:$S$75,MATCH("ATT_BR",'価格データ'!$A$6:$A$75,0)))</x:f>
        <x:v>303.8559419973504</x:v>
      </x:c>
      <x:c r="K43" s="31" t="n">
        <x:f>IF(INDEX('価格データ'!$S$6:$S$75,MATCH("ATT_AU",'価格データ'!$A$6:$A$75,0))="","",INDEX('価格データ'!$S$6:$S$75,MATCH("ATT_AU",'価格データ'!$A$6:$A$75,0)))</x:f>
        <x:v>156.12992549553374</x:v>
      </x:c>
    </x:row>
    <x:row r="44" ht="24" customHeight="1">
      <x:c r="A44" s="2" t="str">
        <x:v>Seal</x:v>
      </x:c>
      <x:c r="B44" s="31" t="str">
        <x:f>IF(INDEX('価格データ'!$S$6:$S$75,MATCH("SEA_VN",'価格データ'!$A$6:$A$75,0))="","",INDEX('価格データ'!$S$6:$S$75,MATCH("SEA_VN",'価格データ'!$A$6:$A$75,0)))</x:f>
      </x:c>
      <x:c r="C44" s="31" t="str">
        <x:f>IF(INDEX('価格データ'!$S$6:$S$75,MATCH("SEA_TH",'価格データ'!$A$6:$A$75,0))="","",INDEX('価格データ'!$S$6:$S$75,MATCH("SEA_TH",'価格データ'!$A$6:$A$75,0)))</x:f>
      </x:c>
      <x:c r="D44" s="31" t="str">
        <x:f>IF(INDEX('価格データ'!$S$6:$S$75,MATCH("SEA_ID",'価格データ'!$A$6:$A$75,0))="","",INDEX('価格データ'!$S$6:$S$75,MATCH("SEA_ID",'価格データ'!$A$6:$A$75,0)))</x:f>
      </x:c>
      <x:c r="E44" s="31" t="str">
        <x:f>IF(INDEX('価格データ'!$S$6:$S$75,MATCH("SEA_PH",'価格データ'!$A$6:$A$75,0))="","",INDEX('価格データ'!$S$6:$S$75,MATCH("SEA_PH",'価格データ'!$A$6:$A$75,0)))</x:f>
      </x:c>
      <x:c r="F44" s="31" t="str">
        <x:f>IF(INDEX('価格データ'!$S$6:$S$75,MATCH("SEA_MY",'価格データ'!$A$6:$A$75,0))="","",INDEX('価格データ'!$S$6:$S$75,MATCH("SEA_MY",'価格データ'!$A$6:$A$75,0)))</x:f>
      </x:c>
      <x:c r="G44" s="31" t="str">
        <x:f>IF(INDEX('価格データ'!$S$6:$S$75,MATCH("SEA_SG",'価格データ'!$A$6:$A$75,0))="","",INDEX('価格データ'!$S$6:$S$75,MATCH("SEA_SG",'価格データ'!$A$6:$A$75,0)))</x:f>
      </x:c>
      <x:c r="H44" s="31" t="str">
        <x:f>IF(INDEX('価格データ'!$S$6:$S$75,MATCH("SEA_CN",'価格データ'!$A$6:$A$75,0))="","",INDEX('価格データ'!$S$6:$S$75,MATCH("SEA_CN",'価格データ'!$A$6:$A$75,0)))</x:f>
      </x:c>
      <x:c r="I44" s="31" t="str">
        <x:f>IF(INDEX('価格データ'!$S$6:$S$75,MATCH("SEA_DE",'価格データ'!$A$6:$A$75,0))="","",INDEX('価格データ'!$S$6:$S$75,MATCH("SEA_DE",'価格データ'!$A$6:$A$75,0)))</x:f>
      </x:c>
      <x:c r="J44" s="31" t="str">
        <x:f>IF(INDEX('価格データ'!$S$6:$S$75,MATCH("SEA_BR",'価格データ'!$A$6:$A$75,0))="","",INDEX('価格データ'!$S$6:$S$75,MATCH("SEA_BR",'価格データ'!$A$6:$A$75,0)))</x:f>
      </x:c>
      <x:c r="K44" s="31" t="str">
        <x:f>IF(INDEX('価格データ'!$S$6:$S$75,MATCH("SEA_AU",'価格データ'!$A$6:$A$75,0))="","",INDEX('価格データ'!$S$6:$S$75,MATCH("SEA_AU",'価格データ'!$A$6:$A$75,0)))</x:f>
      </x:c>
    </x:row>
    <x:row r="45" ht="24" customHeight="1">
      <x:c r="A45" s="2" t="str">
        <x:v>MG4 EV（RWD系）</x:v>
      </x:c>
      <x:c r="B45" s="31" t="str">
        <x:f>IF(INDEX('価格データ'!$S$6:$S$75,MATCH("MG4_VN",'価格データ'!$A$6:$A$75,0))="","",INDEX('価格データ'!$S$6:$S$75,MATCH("MG4_VN",'価格データ'!$A$6:$A$75,0)))</x:f>
      </x:c>
      <x:c r="C45" s="31" t="str">
        <x:f>IF(INDEX('価格データ'!$S$6:$S$75,MATCH("MG4_TH",'価格データ'!$A$6:$A$75,0))="","",INDEX('価格データ'!$S$6:$S$75,MATCH("MG4_TH",'価格データ'!$A$6:$A$75,0)))</x:f>
      </x:c>
      <x:c r="D45" s="31" t="str">
        <x:f>IF(INDEX('価格データ'!$S$6:$S$75,MATCH("MG4_ID",'価格データ'!$A$6:$A$75,0))="","",INDEX('価格データ'!$S$6:$S$75,MATCH("MG4_ID",'価格データ'!$A$6:$A$75,0)))</x:f>
      </x:c>
      <x:c r="E45" s="31" t="str">
        <x:f>IF(INDEX('価格データ'!$S$6:$S$75,MATCH("MG4_PH",'価格データ'!$A$6:$A$75,0))="","",INDEX('価格データ'!$S$6:$S$75,MATCH("MG4_PH",'価格データ'!$A$6:$A$75,0)))</x:f>
      </x:c>
      <x:c r="F45" s="31" t="str">
        <x:f>IF(INDEX('価格データ'!$S$6:$S$75,MATCH("MG4_MY",'価格データ'!$A$6:$A$75,0))="","",INDEX('価格データ'!$S$6:$S$75,MATCH("MG4_MY",'価格データ'!$A$6:$A$75,0)))</x:f>
      </x:c>
      <x:c r="G45" s="31" t="str">
        <x:f>IF(INDEX('価格データ'!$S$6:$S$75,MATCH("MG4_SG",'価格データ'!$A$6:$A$75,0))="","",INDEX('価格データ'!$S$6:$S$75,MATCH("MG4_SG",'価格データ'!$A$6:$A$75,0)))</x:f>
      </x:c>
      <x:c r="H45" s="31" t="str">
        <x:f>IF(INDEX('価格データ'!$S$6:$S$75,MATCH("MG4_CN",'価格データ'!$A$6:$A$75,0))="","",INDEX('価格データ'!$S$6:$S$75,MATCH("MG4_CN",'価格データ'!$A$6:$A$75,0)))</x:f>
      </x:c>
      <x:c r="I45" s="31" t="str">
        <x:f>IF(INDEX('価格データ'!$S$6:$S$75,MATCH("MG4_DE",'価格データ'!$A$6:$A$75,0))="","",INDEX('価格データ'!$S$6:$S$75,MATCH("MG4_DE",'価格データ'!$A$6:$A$75,0)))</x:f>
      </x:c>
      <x:c r="J45" s="31" t="str">
        <x:f>IF(INDEX('価格データ'!$S$6:$S$75,MATCH("MG4_BR",'価格データ'!$A$6:$A$75,0))="","",INDEX('価格データ'!$S$6:$S$75,MATCH("MG4_BR",'価格データ'!$A$6:$A$75,0)))</x:f>
      </x:c>
      <x:c r="K45" s="31" t="str">
        <x:f>IF(INDEX('価格データ'!$S$6:$S$75,MATCH("MG4_AU",'価格データ'!$A$6:$A$75,0))="","",INDEX('価格データ'!$S$6:$S$75,MATCH("MG4_AU",'価格データ'!$A$6:$A$75,0)))</x:f>
      </x:c>
    </x:row>
    <x:row r="46" ht="24" customHeight="1">
      <x:c r="A46" s="2" t="str">
        <x:v>MG4 Urban（FWD系）</x:v>
      </x:c>
      <x:c r="B46" s="31" t="str">
        <x:f>IF(INDEX('価格データ'!$S$6:$S$75,MATCH("URB_VN",'価格データ'!$A$6:$A$75,0))="","",INDEX('価格データ'!$S$6:$S$75,MATCH("URB_VN",'価格データ'!$A$6:$A$75,0)))</x:f>
      </x:c>
      <x:c r="C46" s="31" t="n">
        <x:f>IF(INDEX('価格データ'!$S$6:$S$75,MATCH("URB_TH",'価格データ'!$A$6:$A$75,0))="","",INDEX('価格データ'!$S$6:$S$75,MATCH("URB_TH",'価格データ'!$A$6:$A$75,0)))</x:f>
        <x:v>168.31271113151743</x:v>
      </x:c>
      <x:c r="D46" s="31" t="str">
        <x:f>IF(INDEX('価格データ'!$S$6:$S$75,MATCH("URB_ID",'価格データ'!$A$6:$A$75,0))="","",INDEX('価格データ'!$S$6:$S$75,MATCH("URB_ID",'価格データ'!$A$6:$A$75,0)))</x:f>
      </x:c>
      <x:c r="E46" s="31" t="n">
        <x:f>IF(INDEX('価格データ'!$S$6:$S$75,MATCH("URB_PH",'価格データ'!$A$6:$A$75,0))="","",INDEX('価格データ'!$S$6:$S$75,MATCH("URB_PH",'価格データ'!$A$6:$A$75,0)))</x:f>
        <x:v>186.2155472395439</x:v>
      </x:c>
      <x:c r="F46" s="31" t="str">
        <x:f>IF(INDEX('価格データ'!$S$6:$S$75,MATCH("URB_MY",'価格データ'!$A$6:$A$75,0))="","",INDEX('価格データ'!$S$6:$S$75,MATCH("URB_MY",'価格データ'!$A$6:$A$75,0)))</x:f>
      </x:c>
      <x:c r="G46" s="31" t="n">
        <x:f>IF(INDEX('価格データ'!$S$6:$S$75,MATCH("URB_SG",'価格データ'!$A$6:$A$75,0))="","",INDEX('価格データ'!$S$6:$S$75,MATCH("URB_SG",'価格データ'!$A$6:$A$75,0)))</x:f>
        <x:v>1578.6402604159935</x:v>
      </x:c>
      <x:c r="H46" s="31" t="n">
        <x:f>IF(INDEX('価格データ'!$S$6:$S$75,MATCH("URB_CN",'価格データ'!$A$6:$A$75,0))="","",INDEX('価格データ'!$S$6:$S$75,MATCH("URB_CN",'価格データ'!$A$6:$A$75,0)))</x:f>
        <x:v>100</x:v>
      </x:c>
      <x:c r="I46" s="31" t="n">
        <x:f>IF(INDEX('価格データ'!$S$6:$S$75,MATCH("URB_DE",'価格データ'!$A$6:$A$75,0))="","",INDEX('価格データ'!$S$6:$S$75,MATCH("URB_DE",'価格データ'!$A$6:$A$75,0)))</x:f>
        <x:v>274.43233430232556</x:v>
      </x:c>
      <x:c r="J46" s="31" t="n">
        <x:f>IF(INDEX('価格データ'!$S$6:$S$75,MATCH("URB_BR",'価格データ'!$A$6:$A$75,0))="","",INDEX('価格データ'!$S$6:$S$75,MATCH("URB_BR",'価格データ'!$A$6:$A$75,0)))</x:f>
        <x:v>264.7600148985738</x:v>
      </x:c>
      <x:c r="K46" s="31" t="str">
        <x:f>IF(INDEX('価格データ'!$S$6:$S$75,MATCH("URB_AU",'価格データ'!$A$6:$A$75,0))="","",INDEX('価格データ'!$S$6:$S$75,MATCH("URB_AU",'価格データ'!$A$6:$A$75,0)))</x:f>
      </x:c>
    </x:row>
    <x:row r="47" ht="24" customHeight="1">
      <x:c r="A47" s="2" t="str">
        <x:v>Omoda C5 / Chery O5</x:v>
      </x:c>
      <x:c r="B47" s="31" t="str">
        <x:f>IF(INDEX('価格データ'!$S$6:$S$75,MATCH("C5_VN",'価格データ'!$A$6:$A$75,0))="","",INDEX('価格データ'!$S$6:$S$75,MATCH("C5_VN",'価格データ'!$A$6:$A$75,0)))</x:f>
      </x:c>
      <x:c r="C47" s="31" t="str">
        <x:f>IF(INDEX('価格データ'!$S$6:$S$75,MATCH("C5_TH",'価格データ'!$A$6:$A$75,0))="","",INDEX('価格データ'!$S$6:$S$75,MATCH("C5_TH",'価格データ'!$A$6:$A$75,0)))</x:f>
      </x:c>
      <x:c r="D47" s="31" t="str">
        <x:f>IF(INDEX('価格データ'!$S$6:$S$75,MATCH("C5_ID",'価格データ'!$A$6:$A$75,0))="","",INDEX('価格データ'!$S$6:$S$75,MATCH("C5_ID",'価格データ'!$A$6:$A$75,0)))</x:f>
      </x:c>
      <x:c r="E47" s="31" t="str">
        <x:f>IF(INDEX('価格データ'!$S$6:$S$75,MATCH("C5_PH",'価格データ'!$A$6:$A$75,0))="","",INDEX('価格データ'!$S$6:$S$75,MATCH("C5_PH",'価格データ'!$A$6:$A$75,0)))</x:f>
      </x:c>
      <x:c r="F47" s="31" t="str">
        <x:f>IF(INDEX('価格データ'!$S$6:$S$75,MATCH("C5_MY",'価格データ'!$A$6:$A$75,0))="","",INDEX('価格データ'!$S$6:$S$75,MATCH("C5_MY",'価格データ'!$A$6:$A$75,0)))</x:f>
      </x:c>
      <x:c r="G47" s="31" t="str">
        <x:f>IF(INDEX('価格データ'!$S$6:$S$75,MATCH("C5_SG",'価格データ'!$A$6:$A$75,0))="","",INDEX('価格データ'!$S$6:$S$75,MATCH("C5_SG",'価格データ'!$A$6:$A$75,0)))</x:f>
      </x:c>
      <x:c r="H47" s="31" t="str">
        <x:f>IF(INDEX('価格データ'!$S$6:$S$75,MATCH("C5_CN",'価格データ'!$A$6:$A$75,0))="","",INDEX('価格データ'!$S$6:$S$75,MATCH("C5_CN",'価格データ'!$A$6:$A$75,0)))</x:f>
      </x:c>
      <x:c r="I47" s="31" t="str">
        <x:f>IF(INDEX('価格データ'!$S$6:$S$75,MATCH("C5_DE",'価格データ'!$A$6:$A$75,0))="","",INDEX('価格データ'!$S$6:$S$75,MATCH("C5_DE",'価格データ'!$A$6:$A$75,0)))</x:f>
      </x:c>
      <x:c r="J47" s="31" t="str">
        <x:f>IF(INDEX('価格データ'!$S$6:$S$75,MATCH("C5_BR",'価格データ'!$A$6:$A$75,0))="","",INDEX('価格データ'!$S$6:$S$75,MATCH("C5_BR",'価格データ'!$A$6:$A$75,0)))</x:f>
      </x:c>
      <x:c r="K47" s="31" t="str">
        <x:f>IF(INDEX('価格データ'!$S$6:$S$75,MATCH("C5_AU",'価格データ'!$A$6:$A$75,0))="","",INDEX('価格データ'!$S$6:$S$75,MATCH("C5_AU",'価格データ'!$A$6:$A$75,0)))</x:f>
      </x:c>
    </x:row>
    <x:row r="48" ht="24" customHeight="1">
      <x:c r="A48" s="2" t="str">
        <x:v>Haval H6 HEV</x:v>
      </x:c>
      <x:c r="B48" s="31" t="str">
        <x:f>IF(INDEX('価格データ'!$S$6:$S$75,MATCH("H6_VN",'価格データ'!$A$6:$A$75,0))="","",INDEX('価格データ'!$S$6:$S$75,MATCH("H6_VN",'価格データ'!$A$6:$A$75,0)))</x:f>
      </x:c>
      <x:c r="C48" s="31" t="str">
        <x:f>IF(INDEX('価格データ'!$S$6:$S$75,MATCH("H6_TH",'価格データ'!$A$6:$A$75,0))="","",INDEX('価格データ'!$S$6:$S$75,MATCH("H6_TH",'価格データ'!$A$6:$A$75,0)))</x:f>
      </x:c>
      <x:c r="D48" s="31" t="str">
        <x:f>IF(INDEX('価格データ'!$S$6:$S$75,MATCH("H6_ID",'価格データ'!$A$6:$A$75,0))="","",INDEX('価格データ'!$S$6:$S$75,MATCH("H6_ID",'価格データ'!$A$6:$A$75,0)))</x:f>
      </x:c>
      <x:c r="E48" s="31" t="str">
        <x:f>IF(INDEX('価格データ'!$S$6:$S$75,MATCH("H6_PH",'価格データ'!$A$6:$A$75,0))="","",INDEX('価格データ'!$S$6:$S$75,MATCH("H6_PH",'価格データ'!$A$6:$A$75,0)))</x:f>
      </x:c>
      <x:c r="F48" s="31" t="str">
        <x:f>IF(INDEX('価格データ'!$S$6:$S$75,MATCH("H6_MY",'価格データ'!$A$6:$A$75,0))="","",INDEX('価格データ'!$S$6:$S$75,MATCH("H6_MY",'価格データ'!$A$6:$A$75,0)))</x:f>
      </x:c>
      <x:c r="G48" s="31" t="str">
        <x:f>IF(INDEX('価格データ'!$S$6:$S$75,MATCH("H6_SG",'価格データ'!$A$6:$A$75,0))="","",INDEX('価格データ'!$S$6:$S$75,MATCH("H6_SG",'価格データ'!$A$6:$A$75,0)))</x:f>
      </x:c>
      <x:c r="H48" s="31" t="str">
        <x:f>IF(INDEX('価格データ'!$S$6:$S$75,MATCH("H6_CN",'価格データ'!$A$6:$A$75,0))="","",INDEX('価格データ'!$S$6:$S$75,MATCH("H6_CN",'価格データ'!$A$6:$A$75,0)))</x:f>
      </x:c>
      <x:c r="I48" s="31" t="str">
        <x:f>IF(INDEX('価格データ'!$S$6:$S$75,MATCH("H6_DE",'価格データ'!$A$6:$A$75,0))="","",INDEX('価格データ'!$S$6:$S$75,MATCH("H6_DE",'価格データ'!$A$6:$A$75,0)))</x:f>
      </x:c>
      <x:c r="J48" s="31" t="str">
        <x:f>IF(INDEX('価格データ'!$S$6:$S$75,MATCH("H6_BR",'価格データ'!$A$6:$A$75,0))="","",INDEX('価格データ'!$S$6:$S$75,MATCH("H6_BR",'価格データ'!$A$6:$A$75,0)))</x:f>
      </x:c>
      <x:c r="K48" s="31" t="str">
        <x:f>IF(INDEX('価格データ'!$S$6:$S$75,MATCH("H6_AU",'価格データ'!$A$6:$A$75,0))="","",INDEX('価格データ'!$S$6:$S$75,MATCH("H6_AU",'価格データ'!$A$6:$A$75,0)))</x:f>
      </x:c>
    </x:row>
    <x:row r="49" ht="24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</x:row>
    <x:row r="50" ht="24" customHeight="1">
      <x:c r="A50" s="25" t="str">
        <x:v>指数は現地の最安通常価格を中国の同系統最安価格で割った値。Atto 3は世代差が特に大きい。中国の現行価格を確定できないSeal・旧MG4・C5・H6は指数を出さない。</x:v>
      </x:c>
      <x:c r="B50" s="25" t="str">
        <x:v>指数は現地の最安通常価格を中国の同系統最安価格で割った値。Atto 3は世代差が特に大きい。中国の現行価格を確定できないSeal・旧MG4・C5・H6は指数を出さない。</x:v>
      </x:c>
      <x:c r="C50" s="25" t="str">
        <x:v>指数は現地の最安通常価格を中国の同系統最安価格で割った値。Atto 3は世代差が特に大きい。中国の現行価格を確定できないSeal・旧MG4・C5・H6は指数を出さない。</x:v>
      </x:c>
      <x:c r="D50" s="25" t="str">
        <x:v>指数は現地の最安通常価格を中国の同系統最安価格で割った値。Atto 3は世代差が特に大きい。中国の現行価格を確定できないSeal・旧MG4・C5・H6は指数を出さない。</x:v>
      </x:c>
      <x:c r="E50" s="25" t="str">
        <x:v>指数は現地の最安通常価格を中国の同系統最安価格で割った値。Atto 3は世代差が特に大きい。中国の現行価格を確定できないSeal・旧MG4・C5・H6は指数を出さない。</x:v>
      </x:c>
      <x:c r="F50" s="25" t="str">
        <x:v>指数は現地の最安通常価格を中国の同系統最安価格で割った値。Atto 3は世代差が特に大きい。中国の現行価格を確定できないSeal・旧MG4・C5・H6は指数を出さない。</x:v>
      </x:c>
      <x:c r="G50" s="25" t="str">
        <x:v>指数は現地の最安通常価格を中国の同系統最安価格で割った値。Atto 3は世代差が特に大きい。中国の現行価格を確定できないSeal・旧MG4・C5・H6は指数を出さない。</x:v>
      </x:c>
      <x:c r="H50" s="25" t="str">
        <x:v>指数は現地の最安通常価格を中国の同系統最安価格で割った値。Atto 3は世代差が特に大きい。中国の現行価格を確定できないSeal・旧MG4・C5・H6は指数を出さない。</x:v>
      </x:c>
      <x:c r="I50" s="25" t="str">
        <x:v>指数は現地の最安通常価格を中国の同系統最安価格で割った値。Atto 3は世代差が特に大きい。中国の現行価格を確定できないSeal・旧MG4・C5・H6は指数を出さない。</x:v>
      </x:c>
      <x:c r="J50" s="25" t="str">
        <x:v>指数は現地の最安通常価格を中国の同系統最安価格で割った値。Atto 3は世代差が特に大きい。中国の現行価格を確定できないSeal・旧MG4・C5・H6は指数を出さない。</x:v>
      </x:c>
      <x:c r="K50" s="25" t="str">
        <x:v>指数は現地の最安通常価格を中国の同系統最安価格で割った値。Atto 3は世代差が特に大きい。中国の現行価格を確定できないSeal・旧MG4・C5・H6は指数を出さない。</x:v>
      </x:c>
    </x:row>
    <x:row r="51" ht="24" customHeight="1">
      <x:c r="A51" s="25" t="str">
        <x:v>指数は現地の最安通常価格を中国の同系統最安価格で割った値。Atto 3は世代差が特に大きい。中国の現行価格を確定できないSeal・旧MG4・C5・H6は指数を出さない。</x:v>
      </x:c>
      <x:c r="B51" s="25" t="str">
        <x:v>指数は現地の最安通常価格を中国の同系統最安価格で割った値。Atto 3は世代差が特に大きい。中国の現行価格を確定できないSeal・旧MG4・C5・H6は指数を出さない。</x:v>
      </x:c>
      <x:c r="C51" s="25" t="str">
        <x:v>指数は現地の最安通常価格を中国の同系統最安価格で割った値。Atto 3は世代差が特に大きい。中国の現行価格を確定できないSeal・旧MG4・C5・H6は指数を出さない。</x:v>
      </x:c>
      <x:c r="D51" s="25" t="str">
        <x:v>指数は現地の最安通常価格を中国の同系統最安価格で割った値。Atto 3は世代差が特に大きい。中国の現行価格を確定できないSeal・旧MG4・C5・H6は指数を出さない。</x:v>
      </x:c>
      <x:c r="E51" s="25" t="str">
        <x:v>指数は現地の最安通常価格を中国の同系統最安価格で割った値。Atto 3は世代差が特に大きい。中国の現行価格を確定できないSeal・旧MG4・C5・H6は指数を出さない。</x:v>
      </x:c>
      <x:c r="F51" s="25" t="str">
        <x:v>指数は現地の最安通常価格を中国の同系統最安価格で割った値。Atto 3は世代差が特に大きい。中国の現行価格を確定できないSeal・旧MG4・C5・H6は指数を出さない。</x:v>
      </x:c>
      <x:c r="G51" s="25" t="str">
        <x:v>指数は現地の最安通常価格を中国の同系統最安価格で割った値。Atto 3は世代差が特に大きい。中国の現行価格を確定できないSeal・旧MG4・C5・H6は指数を出さない。</x:v>
      </x:c>
      <x:c r="H51" s="25" t="str">
        <x:v>指数は現地の最安通常価格を中国の同系統最安価格で割った値。Atto 3は世代差が特に大きい。中国の現行価格を確定できないSeal・旧MG4・C5・H6は指数を出さない。</x:v>
      </x:c>
      <x:c r="I51" s="25" t="str">
        <x:v>指数は現地の最安通常価格を中国の同系統最安価格で割った値。Atto 3は世代差が特に大きい。中国の現行価格を確定できないSeal・旧MG4・C5・H6は指数を出さない。</x:v>
      </x:c>
      <x:c r="J51" s="25" t="str">
        <x:v>指数は現地の最安通常価格を中国の同系統最安価格で割った値。Atto 3は世代差が特に大きい。中国の現行価格を確定できないSeal・旧MG4・C5・H6は指数を出さない。</x:v>
      </x:c>
      <x:c r="K51" s="25" t="str">
        <x:v>指数は現地の最安通常価格を中国の同系統最安価格で割った値。Atto 3は世代差が特に大きい。中国の現行価格を確定できないSeal・旧MG4・C5・H6は指数を出さない。</x:v>
      </x:c>
    </x:row>
    <x:row r="52" ht="24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</x:row>
    <x:row r="53" ht="24" customHeight="1">
      <x:c r="A53" s="27" t="str">
        <x:v>調査カバレッジ（70組合せ）</x:v>
      </x:c>
      <x:c r="B53" s="27" t="str">
        <x:v>調査カバレッジ（70組合せ）</x:v>
      </x:c>
      <x:c r="C53" s="27" t="str">
        <x:v>調査カバレッジ（70組合せ）</x:v>
      </x:c>
      <x:c r="D53" s="27" t="str">
        <x:v>調査カバレッジ（70組合せ）</x:v>
      </x:c>
      <x:c r="E53" s="27" t="str">
        <x:v>調査カバレッジ（70組合せ）</x:v>
      </x:c>
      <x:c r="F53" s="27" t="str">
        <x:v>調査カバレッジ（70組合せ）</x:v>
      </x:c>
      <x:c r="G53" s="27" t="str">
        <x:v>調査カバレッジ（70組合せ）</x:v>
      </x:c>
      <x:c r="H53" s="27" t="str">
        <x:v>調査カバレッジ（70組合せ）</x:v>
      </x:c>
      <x:c r="I53" s="27" t="str">
        <x:v>調査カバレッジ（70組合せ）</x:v>
      </x:c>
      <x:c r="J53" s="27" t="str">
        <x:v>調査カバレッジ（70組合せ）</x:v>
      </x:c>
      <x:c r="K53" s="27" t="str">
        <x:v>調査カバレッジ（70組合せ）</x:v>
      </x:c>
    </x:row>
    <x:row r="54" ht="24" customHeight="1">
      <x:c r="A54" s="2" t="str">
        <x:v>主比較の価格あり</x:v>
      </x:c>
      <x:c r="B54" s="2" t="n">
        <x:f>COUNT('価格データ'!J6:J75)</x:f>
        <x:v>52</x:v>
      </x:c>
      <x:c r="C54" s="2"/>
      <x:c r="D54" s="7" t="str">
        <x:v>通常価格不明は、販売していないという意味ではない。古い発売価格やDriveawayしか確認できない市場も含む。価格は税込本体、OTR、登録込、政府施策反映後など基準差が残る。統一税抜価格への推計は行っていない。</x:v>
      </x:c>
      <x:c r="E54" s="7" t="str">
        <x:v>通常価格不明は、販売していないという意味ではない。古い発売価格やDriveawayしか確認できない市場も含む。価格は税込本体、OTR、登録込、政府施策反映後など基準差が残る。統一税抜価格への推計は行っていない。</x:v>
      </x:c>
      <x:c r="F54" s="7" t="str">
        <x:v>通常価格不明は、販売していないという意味ではない。古い発売価格やDriveawayしか確認できない市場も含む。価格は税込本体、OTR、登録込、政府施策反映後など基準差が残る。統一税抜価格への推計は行っていない。</x:v>
      </x:c>
      <x:c r="G54" s="7" t="str">
        <x:v>通常価格不明は、販売していないという意味ではない。古い発売価格やDriveawayしか確認できない市場も含む。価格は税込本体、OTR、登録込、政府施策反映後など基準差が残る。統一税抜価格への推計は行っていない。</x:v>
      </x:c>
      <x:c r="H54" s="7" t="str">
        <x:v>通常価格不明は、販売していないという意味ではない。古い発売価格やDriveawayしか確認できない市場も含む。価格は税込本体、OTR、登録込、政府施策反映後など基準差が残る。統一税抜価格への推計は行っていない。</x:v>
      </x:c>
      <x:c r="I54" s="7" t="str">
        <x:v>通常価格不明は、販売していないという意味ではない。古い発売価格やDriveawayしか確認できない市場も含む。価格は税込本体、OTR、登録込、政府施策反映後など基準差が残る。統一税抜価格への推計は行っていない。</x:v>
      </x:c>
      <x:c r="J54" s="7" t="str">
        <x:v>通常価格不明は、販売していないという意味ではない。古い発売価格やDriveawayしか確認できない市場も含む。価格は税込本体、OTR、登録込、政府施策反映後など基準差が残る。統一税抜価格への推計は行っていない。</x:v>
      </x:c>
      <x:c r="K54" s="7" t="str">
        <x:v>通常価格不明は、販売していないという意味ではない。古い発売価格やDriveawayしか確認できない市場も含む。価格は税込本体、OTR、登録込、政府施策反映後など基準差が残る。統一税抜価格への推計は行っていない。</x:v>
      </x:c>
    </x:row>
    <x:row r="55" ht="24" customHeight="1">
      <x:c r="A55" s="2" t="str">
        <x:v>メーカー・輸入者から採録</x:v>
      </x:c>
      <x:c r="B55" s="2" t="n">
        <x:f>COUNTIFS('価格データ'!N6:N75,"メーカー・輸入者",'価格データ'!J6:J75,"&gt;0")</x:f>
        <x:v>41</x:v>
      </x:c>
      <x:c r="C55" s="2"/>
      <x:c r="D55" s="7" t="str">
        <x:v>通常価格不明は、販売していないという意味ではない。古い発売価格やDriveawayしか確認できない市場も含む。価格は税込本体、OTR、登録込、政府施策反映後など基準差が残る。統一税抜価格への推計は行っていない。</x:v>
      </x:c>
      <x:c r="E55" s="7" t="str">
        <x:v>通常価格不明は、販売していないという意味ではない。古い発売価格やDriveawayしか確認できない市場も含む。価格は税込本体、OTR、登録込、政府施策反映後など基準差が残る。統一税抜価格への推計は行っていない。</x:v>
      </x:c>
      <x:c r="F55" s="7" t="str">
        <x:v>通常価格不明は、販売していないという意味ではない。古い発売価格やDriveawayしか確認できない市場も含む。価格は税込本体、OTR、登録込、政府施策反映後など基準差が残る。統一税抜価格への推計は行っていない。</x:v>
      </x:c>
      <x:c r="G55" s="7" t="str">
        <x:v>通常価格不明は、販売していないという意味ではない。古い発売価格やDriveawayしか確認できない市場も含む。価格は税込本体、OTR、登録込、政府施策反映後など基準差が残る。統一税抜価格への推計は行っていない。</x:v>
      </x:c>
      <x:c r="H55" s="7" t="str">
        <x:v>通常価格不明は、販売していないという意味ではない。古い発売価格やDriveawayしか確認できない市場も含む。価格は税込本体、OTR、登録込、政府施策反映後など基準差が残る。統一税抜価格への推計は行っていない。</x:v>
      </x:c>
      <x:c r="I55" s="7" t="str">
        <x:v>通常価格不明は、販売していないという意味ではない。古い発売価格やDriveawayしか確認できない市場も含む。価格は税込本体、OTR、登録込、政府施策反映後など基準差が残る。統一税抜価格への推計は行っていない。</x:v>
      </x:c>
      <x:c r="J55" s="7" t="str">
        <x:v>通常価格不明は、販売していないという意味ではない。古い発売価格やDriveawayしか確認できない市場も含む。価格は税込本体、OTR、登録込、政府施策反映後など基準差が残る。統一税抜価格への推計は行っていない。</x:v>
      </x:c>
      <x:c r="K55" s="7" t="str">
        <x:v>通常価格不明は、販売していないという意味ではない。古い発売価格やDriveawayしか確認できない市場も含む。価格は税込本体、OTR、登録込、政府施策反映後など基準差が残る。統一税抜価格への推計は行っていない。</x:v>
      </x:c>
    </x:row>
    <x:row r="56" ht="24" customHeight="1">
      <x:c r="A56" s="2" t="str">
        <x:v>正規販売店から採録</x:v>
      </x:c>
      <x:c r="B56" s="2" t="n">
        <x:f>COUNTIFS('価格データ'!N6:N75,"正規販売店",'価格データ'!J6:J75,"&gt;0")</x:f>
        <x:v>7</x:v>
      </x:c>
      <x:c r="C56" s="2"/>
      <x:c r="D56" s="7" t="str">
        <x:v>通常価格不明は、販売していないという意味ではない。古い発売価格やDriveawayしか確認できない市場も含む。価格は税込本体、OTR、登録込、政府施策反映後など基準差が残る。統一税抜価格への推計は行っていない。</x:v>
      </x:c>
      <x:c r="E56" s="7" t="str">
        <x:v>通常価格不明は、販売していないという意味ではない。古い発売価格やDriveawayしか確認できない市場も含む。価格は税込本体、OTR、登録込、政府施策反映後など基準差が残る。統一税抜価格への推計は行っていない。</x:v>
      </x:c>
      <x:c r="F56" s="7" t="str">
        <x:v>通常価格不明は、販売していないという意味ではない。古い発売価格やDriveawayしか確認できない市場も含む。価格は税込本体、OTR、登録込、政府施策反映後など基準差が残る。統一税抜価格への推計は行っていない。</x:v>
      </x:c>
      <x:c r="G56" s="7" t="str">
        <x:v>通常価格不明は、販売していないという意味ではない。古い発売価格やDriveawayしか確認できない市場も含む。価格は税込本体、OTR、登録込、政府施策反映後など基準差が残る。統一税抜価格への推計は行っていない。</x:v>
      </x:c>
      <x:c r="H56" s="7" t="str">
        <x:v>通常価格不明は、販売していないという意味ではない。古い発売価格やDriveawayしか確認できない市場も含む。価格は税込本体、OTR、登録込、政府施策反映後など基準差が残る。統一税抜価格への推計は行っていない。</x:v>
      </x:c>
      <x:c r="I56" s="7" t="str">
        <x:v>通常価格不明は、販売していないという意味ではない。古い発売価格やDriveawayしか確認できない市場も含む。価格は税込本体、OTR、登録込、政府施策反映後など基準差が残る。統一税抜価格への推計は行っていない。</x:v>
      </x:c>
      <x:c r="J56" s="7" t="str">
        <x:v>通常価格不明は、販売していないという意味ではない。古い発売価格やDriveawayしか確認できない市場も含む。価格は税込本体、OTR、登録込、政府施策反映後など基準差が残る。統一税抜価格への推計は行っていない。</x:v>
      </x:c>
      <x:c r="K56" s="7" t="str">
        <x:v>通常価格不明は、販売していないという意味ではない。古い発売価格やDriveawayしか確認できない市場も含む。価格は税込本体、OTR、登録込、政府施策反映後など基準差が残る。統一税抜価格への推計は行っていない。</x:v>
      </x:c>
    </x:row>
    <x:row r="57" ht="24" customHeight="1">
      <x:c r="A57" s="2" t="str">
        <x:v>二次資料で補完</x:v>
      </x:c>
      <x:c r="B57" s="2" t="n">
        <x:f>COUNTIFS('価格データ'!N6:N75,"二次資料・一次未確認",'価格データ'!J6:J75,"&gt;0")</x:f>
        <x:v>4</x:v>
      </x:c>
      <x:c r="C57" s="2"/>
      <x:c r="D57" s="7" t="str">
        <x:v>通常価格不明は、販売していないという意味ではない。古い発売価格やDriveawayしか確認できない市場も含む。価格は税込本体、OTR、登録込、政府施策反映後など基準差が残る。統一税抜価格への推計は行っていない。</x:v>
      </x:c>
      <x:c r="E57" s="7" t="str">
        <x:v>通常価格不明は、販売していないという意味ではない。古い発売価格やDriveawayしか確認できない市場も含む。価格は税込本体、OTR、登録込、政府施策反映後など基準差が残る。統一税抜価格への推計は行っていない。</x:v>
      </x:c>
      <x:c r="F57" s="7" t="str">
        <x:v>通常価格不明は、販売していないという意味ではない。古い発売価格やDriveawayしか確認できない市場も含む。価格は税込本体、OTR、登録込、政府施策反映後など基準差が残る。統一税抜価格への推計は行っていない。</x:v>
      </x:c>
      <x:c r="G57" s="7" t="str">
        <x:v>通常価格不明は、販売していないという意味ではない。古い発売価格やDriveawayしか確認できない市場も含む。価格は税込本体、OTR、登録込、政府施策反映後など基準差が残る。統一税抜価格への推計は行っていない。</x:v>
      </x:c>
      <x:c r="H57" s="7" t="str">
        <x:v>通常価格不明は、販売していないという意味ではない。古い発売価格やDriveawayしか確認できない市場も含む。価格は税込本体、OTR、登録込、政府施策反映後など基準差が残る。統一税抜価格への推計は行っていない。</x:v>
      </x:c>
      <x:c r="I57" s="7" t="str">
        <x:v>通常価格不明は、販売していないという意味ではない。古い発売価格やDriveawayしか確認できない市場も含む。価格は税込本体、OTR、登録込、政府施策反映後など基準差が残る。統一税抜価格への推計は行っていない。</x:v>
      </x:c>
      <x:c r="J57" s="7" t="str">
        <x:v>通常価格不明は、販売していないという意味ではない。古い発売価格やDriveawayしか確認できない市場も含む。価格は税込本体、OTR、登録込、政府施策反映後など基準差が残る。統一税抜価格への推計は行っていない。</x:v>
      </x:c>
      <x:c r="K57" s="7" t="str">
        <x:v>通常価格不明は、販売していないという意味ではない。古い発売価格やDriveawayしか確認できない市場も含む。価格は税込本体、OTR、登録込、政府施策反映後など基準差が残る。統一税抜価格への推計は行っていない。</x:v>
      </x:c>
    </x:row>
    <x:row r="58" ht="24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</x:row>
    <x:row r="59" ht="24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</x:row>
    <x:row r="60" ht="24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</x:row>
    <x:row r="61" ht="24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</x:row>
  </x:sheetData>
  <x:mergeCells>
    <x:mergeCell ref="A1:K1"/>
    <x:mergeCell ref="A2:K3"/>
    <x:mergeCell ref="A4:K4"/>
    <x:mergeCell ref="A6:K6"/>
    <x:mergeCell ref="A17:K17"/>
    <x:mergeCell ref="A28:K28"/>
    <x:mergeCell ref="A29:K30"/>
    <x:mergeCell ref="A31:K32"/>
    <x:mergeCell ref="A33:K34"/>
    <x:mergeCell ref="A35:K36"/>
    <x:mergeCell ref="A37:K38"/>
    <x:mergeCell ref="A40:K40"/>
    <x:mergeCell ref="A50:K51"/>
    <x:mergeCell ref="A53:K53"/>
    <x:mergeCell ref="D54:K5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1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6" hidden="0" customWidth="1"/>
    <x:col min="10" max="10" width="14" hidden="0" customWidth="1"/>
    <x:col min="11" max="11" width="14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10" hidden="0" customWidth="1"/>
  </x:cols>
  <x:sheetData>
    <x:row r="1" ht="24" customHeight="1">
      <x:c r="A1" s="4" t="str">
        <x:v>車種別に見る価格差</x:v>
      </x:c>
      <x:c r="B1" s="4" t="str">
        <x:v>車種別に見る価格差</x:v>
      </x:c>
      <x:c r="C1" s="4" t="str">
        <x:v>車種別に見る価格差</x:v>
      </x:c>
      <x:c r="D1" s="4" t="str">
        <x:v>車種別に見る価格差</x:v>
      </x:c>
      <x:c r="E1" s="4" t="str">
        <x:v>車種別に見る価格差</x:v>
      </x:c>
      <x:c r="F1" s="4" t="str">
        <x:v>車種別に見る価格差</x:v>
      </x:c>
      <x:c r="G1" s="4" t="str">
        <x:v>車種別に見る価格差</x:v>
      </x:c>
      <x:c r="H1" s="4" t="str">
        <x:v>車種別に見る価格差</x:v>
      </x:c>
      <x:c r="I1" s="4" t="str">
        <x:v>車種別に見る価格差</x:v>
      </x:c>
      <x:c r="J1" s="4" t="str">
        <x:v>車種別に見る価格差</x:v>
      </x:c>
      <x:c r="K1" s="4" t="str">
        <x:v>車種別に見る価格差</x:v>
      </x:c>
      <x:c r="L1" s="4" t="str">
        <x:v>車種別に見る価格差</x:v>
      </x:c>
      <x:c r="M1" s="4" t="str">
        <x:v>車種別に見る価格差</x:v>
      </x:c>
      <x:c r="N1" s="4" t="str">
        <x:v>車種別に見る価格差</x:v>
      </x:c>
      <x:c r="O1" s="4" t="str">
        <x:v>車種別に見る価格差</x:v>
      </x:c>
      <x:c r="P1" s="4" t="str">
        <x:v>車種別に見る価格差</x:v>
      </x:c>
    </x:row>
    <x:row r="2" ht="24" customHeight="1">
      <x:c r="A2" s="7" t="str">
        <x:v>単位は千USD。シンガポールは制度の影響が大きいため別グラフ。通常掲載価格を比較し、MSRP不明のDriveaway価格は除外。各国最安仕様の比較であり、同一装備の価格差ではない。</x:v>
      </x:c>
      <x:c r="B2" s="7" t="str">
        <x:v>単位は千USD。シンガポールは制度の影響が大きいため別グラフ。通常掲載価格を比較し、MSRP不明のDriveaway価格は除外。各国最安仕様の比較であり、同一装備の価格差ではない。</x:v>
      </x:c>
      <x:c r="C2" s="7" t="str">
        <x:v>単位は千USD。シンガポールは制度の影響が大きいため別グラフ。通常掲載価格を比較し、MSRP不明のDriveaway価格は除外。各国最安仕様の比較であり、同一装備の価格差ではない。</x:v>
      </x:c>
      <x:c r="D2" s="7" t="str">
        <x:v>単位は千USD。シンガポールは制度の影響が大きいため別グラフ。通常掲載価格を比較し、MSRP不明のDriveaway価格は除外。各国最安仕様の比較であり、同一装備の価格差ではない。</x:v>
      </x:c>
      <x:c r="E2" s="7" t="str">
        <x:v>単位は千USD。シンガポールは制度の影響が大きいため別グラフ。通常掲載価格を比較し、MSRP不明のDriveaway価格は除外。各国最安仕様の比較であり、同一装備の価格差ではない。</x:v>
      </x:c>
      <x:c r="F2" s="7" t="str">
        <x:v>単位は千USD。シンガポールは制度の影響が大きいため別グラフ。通常掲載価格を比較し、MSRP不明のDriveaway価格は除外。各国最安仕様の比較であり、同一装備の価格差ではない。</x:v>
      </x:c>
      <x:c r="G2" s="7" t="str">
        <x:v>単位は千USD。シンガポールは制度の影響が大きいため別グラフ。通常掲載価格を比較し、MSRP不明のDriveaway価格は除外。各国最安仕様の比較であり、同一装備の価格差ではない。</x:v>
      </x:c>
      <x:c r="H2" s="7" t="str">
        <x:v>単位は千USD。シンガポールは制度の影響が大きいため別グラフ。通常掲載価格を比較し、MSRP不明のDriveaway価格は除外。各国最安仕様の比較であり、同一装備の価格差ではない。</x:v>
      </x:c>
      <x:c r="I2" s="7" t="str">
        <x:v>単位は千USD。シンガポールは制度の影響が大きいため別グラフ。通常掲載価格を比較し、MSRP不明のDriveaway価格は除外。各国最安仕様の比較であり、同一装備の価格差ではない。</x:v>
      </x:c>
      <x:c r="J2" s="7" t="str">
        <x:v>単位は千USD。シンガポールは制度の影響が大きいため別グラフ。通常掲載価格を比較し、MSRP不明のDriveaway価格は除外。各国最安仕様の比較であり、同一装備の価格差ではない。</x:v>
      </x:c>
      <x:c r="K2" s="7" t="str">
        <x:v>単位は千USD。シンガポールは制度の影響が大きいため別グラフ。通常掲載価格を比較し、MSRP不明のDriveaway価格は除外。各国最安仕様の比較であり、同一装備の価格差ではない。</x:v>
      </x:c>
      <x:c r="L2" s="7" t="str">
        <x:v>単位は千USD。シンガポールは制度の影響が大きいため別グラフ。通常掲載価格を比較し、MSRP不明のDriveaway価格は除外。各国最安仕様の比較であり、同一装備の価格差ではない。</x:v>
      </x:c>
      <x:c r="M2" s="7" t="str">
        <x:v>単位は千USD。シンガポールは制度の影響が大きいため別グラフ。通常掲載価格を比較し、MSRP不明のDriveaway価格は除外。各国最安仕様の比較であり、同一装備の価格差ではない。</x:v>
      </x:c>
      <x:c r="N2" s="7" t="str">
        <x:v>単位は千USD。シンガポールは制度の影響が大きいため別グラフ。通常掲載価格を比較し、MSRP不明のDriveaway価格は除外。各国最安仕様の比較であり、同一装備の価格差ではない。</x:v>
      </x:c>
      <x:c r="O2" s="7" t="str">
        <x:v>単位は千USD。シンガポールは制度の影響が大きいため別グラフ。通常掲載価格を比較し、MSRP不明のDriveaway価格は除外。各国最安仕様の比較であり、同一装備の価格差ではない。</x:v>
      </x:c>
      <x:c r="P2" s="7" t="str">
        <x:v>単位は千USD。シンガポールは制度の影響が大きいため別グラフ。通常掲載価格を比較し、MSRP不明のDriveaway価格は除外。各国最安仕様の比較であり、同一装備の価格差ではない。</x:v>
      </x:c>
    </x:row>
    <x:row r="3" ht="24" customHeight="1">
      <x:c r="A3" s="7" t="str">
        <x:v>単位は千USD。シンガポールは制度の影響が大きいため別グラフ。通常掲載価格を比較し、MSRP不明のDriveaway価格は除外。各国最安仕様の比較であり、同一装備の価格差ではない。</x:v>
      </x:c>
      <x:c r="B3" s="7" t="str">
        <x:v>単位は千USD。シンガポールは制度の影響が大きいため別グラフ。通常掲載価格を比較し、MSRP不明のDriveaway価格は除外。各国最安仕様の比較であり、同一装備の価格差ではない。</x:v>
      </x:c>
      <x:c r="C3" s="7" t="str">
        <x:v>単位は千USD。シンガポールは制度の影響が大きいため別グラフ。通常掲載価格を比較し、MSRP不明のDriveaway価格は除外。各国最安仕様の比較であり、同一装備の価格差ではない。</x:v>
      </x:c>
      <x:c r="D3" s="7" t="str">
        <x:v>単位は千USD。シンガポールは制度の影響が大きいため別グラフ。通常掲載価格を比較し、MSRP不明のDriveaway価格は除外。各国最安仕様の比較であり、同一装備の価格差ではない。</x:v>
      </x:c>
      <x:c r="E3" s="7" t="str">
        <x:v>単位は千USD。シンガポールは制度の影響が大きいため別グラフ。通常掲載価格を比較し、MSRP不明のDriveaway価格は除外。各国最安仕様の比較であり、同一装備の価格差ではない。</x:v>
      </x:c>
      <x:c r="F3" s="7" t="str">
        <x:v>単位は千USD。シンガポールは制度の影響が大きいため別グラフ。通常掲載価格を比較し、MSRP不明のDriveaway価格は除外。各国最安仕様の比較であり、同一装備の価格差ではない。</x:v>
      </x:c>
      <x:c r="G3" s="7" t="str">
        <x:v>単位は千USD。シンガポールは制度の影響が大きいため別グラフ。通常掲載価格を比較し、MSRP不明のDriveaway価格は除外。各国最安仕様の比較であり、同一装備の価格差ではない。</x:v>
      </x:c>
      <x:c r="H3" s="7" t="str">
        <x:v>単位は千USD。シンガポールは制度の影響が大きいため別グラフ。通常掲載価格を比較し、MSRP不明のDriveaway価格は除外。各国最安仕様の比較であり、同一装備の価格差ではない。</x:v>
      </x:c>
      <x:c r="I3" s="7" t="str">
        <x:v>単位は千USD。シンガポールは制度の影響が大きいため別グラフ。通常掲載価格を比較し、MSRP不明のDriveaway価格は除外。各国最安仕様の比較であり、同一装備の価格差ではない。</x:v>
      </x:c>
      <x:c r="J3" s="7" t="str">
        <x:v>単位は千USD。シンガポールは制度の影響が大きいため別グラフ。通常掲載価格を比較し、MSRP不明のDriveaway価格は除外。各国最安仕様の比較であり、同一装備の価格差ではない。</x:v>
      </x:c>
      <x:c r="K3" s="7" t="str">
        <x:v>単位は千USD。シンガポールは制度の影響が大きいため別グラフ。通常掲載価格を比較し、MSRP不明のDriveaway価格は除外。各国最安仕様の比較であり、同一装備の価格差ではない。</x:v>
      </x:c>
      <x:c r="L3" s="7" t="str">
        <x:v>単位は千USD。シンガポールは制度の影響が大きいため別グラフ。通常掲載価格を比較し、MSRP不明のDriveaway価格は除外。各国最安仕様の比較であり、同一装備の価格差ではない。</x:v>
      </x:c>
      <x:c r="M3" s="7" t="str">
        <x:v>単位は千USD。シンガポールは制度の影響が大きいため別グラフ。通常掲載価格を比較し、MSRP不明のDriveaway価格は除外。各国最安仕様の比較であり、同一装備の価格差ではない。</x:v>
      </x:c>
      <x:c r="N3" s="7" t="str">
        <x:v>単位は千USD。シンガポールは制度の影響が大きいため別グラフ。通常掲載価格を比較し、MSRP不明のDriveaway価格は除外。各国最安仕様の比較であり、同一装備の価格差ではない。</x:v>
      </x:c>
      <x:c r="O3" s="7" t="str">
        <x:v>単位は千USD。シンガポールは制度の影響が大きいため別グラフ。通常掲載価格を比較し、MSRP不明のDriveaway価格は除外。各国最安仕様の比較であり、同一装備の価格差ではない。</x:v>
      </x:c>
      <x:c r="P3" s="7" t="str">
        <x:v>単位は千USD。シンガポールは制度の影響が大きいため別グラフ。通常掲載価格を比較し、MSRP不明のDriveaway価格は除外。各国最安仕様の比較であり、同一装備の価格差ではない。</x:v>
      </x:c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</x:row>
    <x:row r="5" ht="24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</x:row>
    <x:row r="6" ht="24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</x:row>
    <x:row r="7" ht="24" customHeight="1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</x:row>
    <x:row r="8" ht="24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</x:row>
    <x:row r="9" ht="24" customHeight="1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</x:row>
    <x:row r="10" ht="24" customHeight="1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</x:row>
    <x:row r="11" ht="24" customHeight="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</x:row>
    <x:row r="12" ht="24" customHeight="1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</x:row>
    <x:row r="13" ht="24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</x:row>
    <x:row r="14" ht="24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</x:row>
    <x:row r="15" ht="24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</x:row>
    <x:row r="16" ht="24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</x:row>
    <x:row r="17" ht="24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</x:row>
    <x:row r="18" ht="24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</x:row>
    <x:row r="19" ht="24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</x:row>
    <x:row r="20" ht="24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</x:row>
    <x:row r="21" ht="24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</x:row>
    <x:row r="22" ht="24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</x:row>
    <x:row r="23" ht="24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</x:row>
    <x:row r="24" ht="24" customHeight="1">
      <x:c r="A24" s="25" t="str">
        <x:v>Dolphin：中国・輸出仕様は電池・寸法等に差。Vietnamは50.25kWh。ドイツはComfortから。</x:v>
      </x:c>
      <x:c r="B24" s="25" t="str">
        <x:v>Dolphin：中国・輸出仕様は電池・寸法等に差。Vietnamは50.25kWh。ドイツはComfortから。</x:v>
      </x:c>
      <x:c r="C24" s="25" t="str">
        <x:v>Dolphin：中国・輸出仕様は電池・寸法等に差。Vietnamは50.25kWh。ドイツはComfortから。</x:v>
      </x:c>
      <x:c r="D24" s="25" t="str">
        <x:v>Dolphin：中国・輸出仕様は電池・寸法等に差。Vietnamは50.25kWh。ドイツはComfortから。</x:v>
      </x:c>
      <x:c r="E24" s="25" t="str">
        <x:v>Dolphin：中国・輸出仕様は電池・寸法等に差。Vietnamは50.25kWh。ドイツはComfortから。</x:v>
      </x:c>
      <x:c r="F24" s="25" t="str">
        <x:v>Dolphin：中国・輸出仕様は電池・寸法等に差。Vietnamは50.25kWh。ドイツはComfortから。</x:v>
      </x:c>
      <x:c r="G24" s="25" t="str">
        <x:v>Dolphin：中国・輸出仕様は電池・寸法等に差。Vietnamは50.25kWh。ドイツはComfortから。</x:v>
      </x:c>
      <x:c r="H24" s="25" t="str">
        <x:v>Dolphin：中国・輸出仕様は電池・寸法等に差。Vietnamは50.25kWh。ドイツはComfortから。</x:v>
      </x:c>
      <x:c r="I24" s="25" t="str">
        <x:v>Seal：中国の現行価格は未確定で除外。Malaysiaは82.56kWh Premium、Germanyは61.4kWh Comfort。</x:v>
      </x:c>
      <x:c r="J24" s="25" t="str">
        <x:v>Seal：中国の現行価格は未確定で除外。Malaysiaは82.56kWh Premium、Germanyは61.4kWh Comfort。</x:v>
      </x:c>
      <x:c r="K24" s="25" t="str">
        <x:v>Seal：中国の現行価格は未確定で除外。Malaysiaは82.56kWh Premium、Germanyは61.4kWh Comfort。</x:v>
      </x:c>
      <x:c r="L24" s="25" t="str">
        <x:v>Seal：中国の現行価格は未確定で除外。Malaysiaは82.56kWh Premium、Germanyは61.4kWh Comfort。</x:v>
      </x:c>
      <x:c r="M24" s="25" t="str">
        <x:v>Seal：中国の現行価格は未確定で除外。Malaysiaは82.56kWh Premium、Germanyは61.4kWh Comfort。</x:v>
      </x:c>
      <x:c r="N24" s="25" t="str">
        <x:v>Seal：中国の現行価格は未確定で除外。Malaysiaは82.56kWh Premium、Germanyは61.4kWh Comfort。</x:v>
      </x:c>
      <x:c r="O24" s="25" t="str">
        <x:v>Seal：中国の現行価格は未確定で除外。Malaysiaは82.56kWh Premium、Germanyは61.4kWh Comfort。</x:v>
      </x:c>
      <x:c r="P24" s="25" t="str">
        <x:v>Seal：中国の現行価格は未確定で除外。Malaysiaは82.56kWh Premium、Germanyは61.4kWh Comfort。</x:v>
      </x:c>
    </x:row>
    <x:row r="25" ht="24" customHeight="1">
      <x:c r="A25" s="25" t="str">
        <x:v>Dolphin：中国・輸出仕様は電池・寸法等に差。Vietnamは50.25kWh。ドイツはComfortから。</x:v>
      </x:c>
      <x:c r="B25" s="25" t="str">
        <x:v>Dolphin：中国・輸出仕様は電池・寸法等に差。Vietnamは50.25kWh。ドイツはComfortから。</x:v>
      </x:c>
      <x:c r="C25" s="25" t="str">
        <x:v>Dolphin：中国・輸出仕様は電池・寸法等に差。Vietnamは50.25kWh。ドイツはComfortから。</x:v>
      </x:c>
      <x:c r="D25" s="25" t="str">
        <x:v>Dolphin：中国・輸出仕様は電池・寸法等に差。Vietnamは50.25kWh。ドイツはComfortから。</x:v>
      </x:c>
      <x:c r="E25" s="25" t="str">
        <x:v>Dolphin：中国・輸出仕様は電池・寸法等に差。Vietnamは50.25kWh。ドイツはComfortから。</x:v>
      </x:c>
      <x:c r="F25" s="25" t="str">
        <x:v>Dolphin：中国・輸出仕様は電池・寸法等に差。Vietnamは50.25kWh。ドイツはComfortから。</x:v>
      </x:c>
      <x:c r="G25" s="25" t="str">
        <x:v>Dolphin：中国・輸出仕様は電池・寸法等に差。Vietnamは50.25kWh。ドイツはComfortから。</x:v>
      </x:c>
      <x:c r="H25" s="25" t="str">
        <x:v>Dolphin：中国・輸出仕様は電池・寸法等に差。Vietnamは50.25kWh。ドイツはComfortから。</x:v>
      </x:c>
      <x:c r="I25" s="25" t="str">
        <x:v>Seal：中国の現行価格は未確定で除外。Malaysiaは82.56kWh Premium、Germanyは61.4kWh Comfort。</x:v>
      </x:c>
      <x:c r="J25" s="25" t="str">
        <x:v>Seal：中国の現行価格は未確定で除外。Malaysiaは82.56kWh Premium、Germanyは61.4kWh Comfort。</x:v>
      </x:c>
      <x:c r="K25" s="25" t="str">
        <x:v>Seal：中国の現行価格は未確定で除外。Malaysiaは82.56kWh Premium、Germanyは61.4kWh Comfort。</x:v>
      </x:c>
      <x:c r="L25" s="25" t="str">
        <x:v>Seal：中国の現行価格は未確定で除外。Malaysiaは82.56kWh Premium、Germanyは61.4kWh Comfort。</x:v>
      </x:c>
      <x:c r="M25" s="25" t="str">
        <x:v>Seal：中国の現行価格は未確定で除外。Malaysiaは82.56kWh Premium、Germanyは61.4kWh Comfort。</x:v>
      </x:c>
      <x:c r="N25" s="25" t="str">
        <x:v>Seal：中国の現行価格は未確定で除外。Malaysiaは82.56kWh Premium、Germanyは61.4kWh Comfort。</x:v>
      </x:c>
      <x:c r="O25" s="25" t="str">
        <x:v>Seal：中国の現行価格は未確定で除外。Malaysiaは82.56kWh Premium、Germanyは61.4kWh Comfort。</x:v>
      </x:c>
      <x:c r="P25" s="25" t="str">
        <x:v>Seal：中国の現行価格は未確定で除外。Malaysiaは82.56kWh Premium、Germanyは61.4kWh Comfort。</x:v>
      </x:c>
    </x:row>
    <x:row r="26" ht="24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</x:row>
    <x:row r="27" ht="24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</x:row>
    <x:row r="28" ht="24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</x:row>
    <x:row r="29" ht="24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</x:row>
    <x:row r="30" ht="24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</x:row>
    <x:row r="31" ht="24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</x:row>
    <x:row r="32" ht="24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</x:row>
    <x:row r="33" ht="24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</x:row>
    <x:row r="34" ht="24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</x:row>
    <x:row r="35" ht="24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</x:row>
    <x:row r="36" ht="24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</x:row>
    <x:row r="37" ht="24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</x:row>
    <x:row r="38" ht="24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</x:row>
    <x:row r="39" ht="24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</x:row>
    <x:row r="40" ht="24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</x:row>
    <x:row r="41" ht="24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</x:row>
    <x:row r="42" ht="24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</x:row>
    <x:row r="43" ht="24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</x:row>
    <x:row r="44" ht="24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</x:row>
    <x:row r="45" ht="24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</x:row>
    <x:row r="46" ht="24" customHeight="1">
      <x:c r="A46" s="25" t="str">
        <x:v>Atto 3：中国第三代、Germany / Singapore EVO、Brazil2027 AWD、Australia旧Essentialが混在。車名系統の入口価格。世代統一比較には使わない。</x:v>
      </x:c>
      <x:c r="B46" s="25" t="str">
        <x:v>Atto 3：中国第三代、Germany / Singapore EVO、Brazil2027 AWD、Australia旧Essentialが混在。車名系統の入口価格。世代統一比較には使わない。</x:v>
      </x:c>
      <x:c r="C46" s="25" t="str">
        <x:v>Atto 3：中国第三代、Germany / Singapore EVO、Brazil2027 AWD、Australia旧Essentialが混在。車名系統の入口価格。世代統一比較には使わない。</x:v>
      </x:c>
      <x:c r="D46" s="25" t="str">
        <x:v>Atto 3：中国第三代、Germany / Singapore EVO、Brazil2027 AWD、Australia旧Essentialが混在。車名系統の入口価格。世代統一比較には使わない。</x:v>
      </x:c>
      <x:c r="E46" s="25" t="str">
        <x:v>Atto 3：中国第三代、Germany / Singapore EVO、Brazil2027 AWD、Australia旧Essentialが混在。車名系統の入口価格。世代統一比較には使わない。</x:v>
      </x:c>
      <x:c r="F46" s="25" t="str">
        <x:v>Atto 3：中国第三代、Germany / Singapore EVO、Brazil2027 AWD、Australia旧Essentialが混在。車名系統の入口価格。世代統一比較には使わない。</x:v>
      </x:c>
      <x:c r="G46" s="25" t="str">
        <x:v>Atto 3：中国第三代、Germany / Singapore EVO、Brazil2027 AWD、Australia旧Essentialが混在。車名系統の入口価格。世代統一比較には使わない。</x:v>
      </x:c>
      <x:c r="H46" s="25" t="str">
        <x:v>Atto 3：中国第三代、Germany / Singapore EVO、Brazil2027 AWD、Australia旧Essentialが混在。車名系統の入口価格。世代統一比較には使わない。</x:v>
      </x:c>
      <x:c r="I46" s="25" t="str">
        <x:v>H6：PHEV・ICEは含めない。Vietnam・Australiaは二次資料。ブラジルは現地生産Flex HEV One。価格差を利益率に換算しない。</x:v>
      </x:c>
      <x:c r="J46" s="25" t="str">
        <x:v>H6：PHEV・ICEは含めない。Vietnam・Australiaは二次資料。ブラジルは現地生産Flex HEV One。価格差を利益率に換算しない。</x:v>
      </x:c>
      <x:c r="K46" s="25" t="str">
        <x:v>H6：PHEV・ICEは含めない。Vietnam・Australiaは二次資料。ブラジルは現地生産Flex HEV One。価格差を利益率に換算しない。</x:v>
      </x:c>
      <x:c r="L46" s="25" t="str">
        <x:v>H6：PHEV・ICEは含めない。Vietnam・Australiaは二次資料。ブラジルは現地生産Flex HEV One。価格差を利益率に換算しない。</x:v>
      </x:c>
      <x:c r="M46" s="25" t="str">
        <x:v>H6：PHEV・ICEは含めない。Vietnam・Australiaは二次資料。ブラジルは現地生産Flex HEV One。価格差を利益率に換算しない。</x:v>
      </x:c>
      <x:c r="N46" s="25" t="str">
        <x:v>H6：PHEV・ICEは含めない。Vietnam・Australiaは二次資料。ブラジルは現地生産Flex HEV One。価格差を利益率に換算しない。</x:v>
      </x:c>
      <x:c r="O46" s="25" t="str">
        <x:v>H6：PHEV・ICEは含めない。Vietnam・Australiaは二次資料。ブラジルは現地生産Flex HEV One。価格差を利益率に換算しない。</x:v>
      </x:c>
      <x:c r="P46" s="25" t="str">
        <x:v>H6：PHEV・ICEは含めない。Vietnam・Australiaは二次資料。ブラジルは現地生産Flex HEV One。価格差を利益率に換算しない。</x:v>
      </x:c>
    </x:row>
    <x:row r="47" ht="24" customHeight="1">
      <x:c r="A47" s="25" t="str">
        <x:v>Atto 3：中国第三代、Germany / Singapore EVO、Brazil2027 AWD、Australia旧Essentialが混在。車名系統の入口価格。世代統一比較には使わない。</x:v>
      </x:c>
      <x:c r="B47" s="25" t="str">
        <x:v>Atto 3：中国第三代、Germany / Singapore EVO、Brazil2027 AWD、Australia旧Essentialが混在。車名系統の入口価格。世代統一比較には使わない。</x:v>
      </x:c>
      <x:c r="C47" s="25" t="str">
        <x:v>Atto 3：中国第三代、Germany / Singapore EVO、Brazil2027 AWD、Australia旧Essentialが混在。車名系統の入口価格。世代統一比較には使わない。</x:v>
      </x:c>
      <x:c r="D47" s="25" t="str">
        <x:v>Atto 3：中国第三代、Germany / Singapore EVO、Brazil2027 AWD、Australia旧Essentialが混在。車名系統の入口価格。世代統一比較には使わない。</x:v>
      </x:c>
      <x:c r="E47" s="25" t="str">
        <x:v>Atto 3：中国第三代、Germany / Singapore EVO、Brazil2027 AWD、Australia旧Essentialが混在。車名系統の入口価格。世代統一比較には使わない。</x:v>
      </x:c>
      <x:c r="F47" s="25" t="str">
        <x:v>Atto 3：中国第三代、Germany / Singapore EVO、Brazil2027 AWD、Australia旧Essentialが混在。車名系統の入口価格。世代統一比較には使わない。</x:v>
      </x:c>
      <x:c r="G47" s="25" t="str">
        <x:v>Atto 3：中国第三代、Germany / Singapore EVO、Brazil2027 AWD、Australia旧Essentialが混在。車名系統の入口価格。世代統一比較には使わない。</x:v>
      </x:c>
      <x:c r="H47" s="25" t="str">
        <x:v>Atto 3：中国第三代、Germany / Singapore EVO、Brazil2027 AWD、Australia旧Essentialが混在。車名系統の入口価格。世代統一比較には使わない。</x:v>
      </x:c>
      <x:c r="I47" s="25" t="str">
        <x:v>H6：PHEV・ICEは含めない。Vietnam・Australiaは二次資料。ブラジルは現地生産Flex HEV One。価格差を利益率に換算しない。</x:v>
      </x:c>
      <x:c r="J47" s="25" t="str">
        <x:v>H6：PHEV・ICEは含めない。Vietnam・Australiaは二次資料。ブラジルは現地生産Flex HEV One。価格差を利益率に換算しない。</x:v>
      </x:c>
      <x:c r="K47" s="25" t="str">
        <x:v>H6：PHEV・ICEは含めない。Vietnam・Australiaは二次資料。ブラジルは現地生産Flex HEV One。価格差を利益率に換算しない。</x:v>
      </x:c>
      <x:c r="L47" s="25" t="str">
        <x:v>H6：PHEV・ICEは含めない。Vietnam・Australiaは二次資料。ブラジルは現地生産Flex HEV One。価格差を利益率に換算しない。</x:v>
      </x:c>
      <x:c r="M47" s="25" t="str">
        <x:v>H6：PHEV・ICEは含めない。Vietnam・Australiaは二次資料。ブラジルは現地生産Flex HEV One。価格差を利益率に換算しない。</x:v>
      </x:c>
      <x:c r="N47" s="25" t="str">
        <x:v>H6：PHEV・ICEは含めない。Vietnam・Australiaは二次資料。ブラジルは現地生産Flex HEV One。価格差を利益率に換算しない。</x:v>
      </x:c>
      <x:c r="O47" s="25" t="str">
        <x:v>H6：PHEV・ICEは含めない。Vietnam・Australiaは二次資料。ブラジルは現地生産Flex HEV One。価格差を利益率に換算しない。</x:v>
      </x:c>
      <x:c r="P47" s="25" t="str">
        <x:v>H6：PHEV・ICEは含めない。Vietnam・Australiaは二次資料。ブラジルは現地生産Flex HEV One。価格差を利益率に換算しない。</x:v>
      </x:c>
    </x:row>
    <x:row r="48" ht="24" customHeight="1">
      <x:c r="A48" s="25" t="str">
        <x:v>Atto 3：中国第三代、Germany / Singapore EVO、Brazil2027 AWD、Australia旧Essentialが混在。車名系統の入口価格。世代統一比較には使わない。</x:v>
      </x:c>
      <x:c r="B48" s="25" t="str">
        <x:v>Atto 3：中国第三代、Germany / Singapore EVO、Brazil2027 AWD、Australia旧Essentialが混在。車名系統の入口価格。世代統一比較には使わない。</x:v>
      </x:c>
      <x:c r="C48" s="25" t="str">
        <x:v>Atto 3：中国第三代、Germany / Singapore EVO、Brazil2027 AWD、Australia旧Essentialが混在。車名系統の入口価格。世代統一比較には使わない。</x:v>
      </x:c>
      <x:c r="D48" s="25" t="str">
        <x:v>Atto 3：中国第三代、Germany / Singapore EVO、Brazil2027 AWD、Australia旧Essentialが混在。車名系統の入口価格。世代統一比較には使わない。</x:v>
      </x:c>
      <x:c r="E48" s="25" t="str">
        <x:v>Atto 3：中国第三代、Germany / Singapore EVO、Brazil2027 AWD、Australia旧Essentialが混在。車名系統の入口価格。世代統一比較には使わない。</x:v>
      </x:c>
      <x:c r="F48" s="25" t="str">
        <x:v>Atto 3：中国第三代、Germany / Singapore EVO、Brazil2027 AWD、Australia旧Essentialが混在。車名系統の入口価格。世代統一比較には使わない。</x:v>
      </x:c>
      <x:c r="G48" s="25" t="str">
        <x:v>Atto 3：中国第三代、Germany / Singapore EVO、Brazil2027 AWD、Australia旧Essentialが混在。車名系統の入口価格。世代統一比較には使わない。</x:v>
      </x:c>
      <x:c r="H48" s="25" t="str">
        <x:v>Atto 3：中国第三代、Germany / Singapore EVO、Brazil2027 AWD、Australia旧Essentialが混在。車名系統の入口価格。世代統一比較には使わない。</x:v>
      </x:c>
      <x:c r="I48" s="25" t="str">
        <x:v>H6：PHEV・ICEは含めない。Vietnam・Australiaは二次資料。ブラジルは現地生産Flex HEV One。価格差を利益率に換算しない。</x:v>
      </x:c>
      <x:c r="J48" s="25" t="str">
        <x:v>H6：PHEV・ICEは含めない。Vietnam・Australiaは二次資料。ブラジルは現地生産Flex HEV One。価格差を利益率に換算しない。</x:v>
      </x:c>
      <x:c r="K48" s="25" t="str">
        <x:v>H6：PHEV・ICEは含めない。Vietnam・Australiaは二次資料。ブラジルは現地生産Flex HEV One。価格差を利益率に換算しない。</x:v>
      </x:c>
      <x:c r="L48" s="25" t="str">
        <x:v>H6：PHEV・ICEは含めない。Vietnam・Australiaは二次資料。ブラジルは現地生産Flex HEV One。価格差を利益率に換算しない。</x:v>
      </x:c>
      <x:c r="M48" s="25" t="str">
        <x:v>H6：PHEV・ICEは含めない。Vietnam・Australiaは二次資料。ブラジルは現地生産Flex HEV One。価格差を利益率に換算しない。</x:v>
      </x:c>
      <x:c r="N48" s="25" t="str">
        <x:v>H6：PHEV・ICEは含めない。Vietnam・Australiaは二次資料。ブラジルは現地生産Flex HEV One。価格差を利益率に換算しない。</x:v>
      </x:c>
      <x:c r="O48" s="25" t="str">
        <x:v>H6：PHEV・ICEは含めない。Vietnam・Australiaは二次資料。ブラジルは現地生産Flex HEV One。価格差を利益率に換算しない。</x:v>
      </x:c>
      <x:c r="P48" s="25" t="str">
        <x:v>H6：PHEV・ICEは含めない。Vietnam・Australiaは二次資料。ブラジルは現地生産Flex HEV One。価格差を利益率に換算しない。</x:v>
      </x:c>
    </x:row>
    <x:row r="49" ht="24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</x:row>
    <x:row r="50" ht="24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</x:row>
    <x:row r="51" ht="24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</x:row>
    <x:row r="52" ht="24" customHeight="1">
      <x:c r="A52" s="2"/>
      <x:c r="B52" s="2"/>
      <x:c r="C52" s="2"/>
      <x:c r="D52" s="2"/>
      <x:c r="E52" s="2"/>
      <x:c r="F52" s="2"/>
      <x:c r="G52" s="2"/>
      <x:c r="H52" s="2"/>
      <x:c r="I52" s="27" t="str">
        <x:v>シンガポール：通常リストと条件付パッケージ</x:v>
      </x:c>
      <x:c r="J52" s="27" t="str">
        <x:v>シンガポール：通常リストと条件付パッケージ</x:v>
      </x:c>
      <x:c r="K52" s="27" t="str">
        <x:v>シンガポール：通常リストと条件付パッケージ</x:v>
      </x:c>
      <x:c r="L52" s="27" t="str">
        <x:v>シンガポール：通常リストと条件付パッケージ</x:v>
      </x:c>
      <x:c r="M52" s="27" t="str">
        <x:v>シンガポール：通常リストと条件付パッケージ</x:v>
      </x:c>
      <x:c r="N52" s="27" t="str">
        <x:v>シンガポール：通常リストと条件付パッケージ</x:v>
      </x:c>
      <x:c r="O52" s="27" t="str">
        <x:v>シンガポール：通常リストと条件付パッケージ</x:v>
      </x:c>
      <x:c r="P52" s="27" t="str">
        <x:v>シンガポール：通常リストと条件付パッケージ</x:v>
      </x:c>
    </x:row>
    <x:row r="53" ht="24" customHeight="1">
      <x:c r="A53" s="2"/>
      <x:c r="B53" s="2"/>
      <x:c r="C53" s="2"/>
      <x:c r="D53" s="2"/>
      <x:c r="E53" s="2"/>
      <x:c r="F53" s="2"/>
      <x:c r="G53" s="2"/>
      <x:c r="H53" s="2"/>
      <x:c r="I53" s="27" t="str">
        <x:v>シンガポール：通常リストと条件付パッケージ</x:v>
      </x:c>
      <x:c r="J53" s="27" t="str">
        <x:v>シンガポール：通常リストと条件付パッケージ</x:v>
      </x:c>
      <x:c r="K53" s="27" t="str">
        <x:v>シンガポール：通常リストと条件付パッケージ</x:v>
      </x:c>
      <x:c r="L53" s="27" t="str">
        <x:v>シンガポール：通常リストと条件付パッケージ</x:v>
      </x:c>
      <x:c r="M53" s="27" t="str">
        <x:v>シンガポール：通常リストと条件付パッケージ</x:v>
      </x:c>
      <x:c r="N53" s="27" t="str">
        <x:v>シンガポール：通常リストと条件付パッケージ</x:v>
      </x:c>
      <x:c r="O53" s="27" t="str">
        <x:v>シンガポール：通常リストと条件付パッケージ</x:v>
      </x:c>
      <x:c r="P53" s="27" t="str">
        <x:v>シンガポール：通常リストと条件付パッケージ</x:v>
      </x:c>
    </x:row>
    <x:row r="54" ht="24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</x:row>
    <x:row r="55" ht="24" customHeight="1">
      <x:c r="A55" s="2"/>
      <x:c r="B55" s="2"/>
      <x:c r="C55" s="2"/>
      <x:c r="D55" s="2"/>
      <x:c r="E55" s="2"/>
      <x:c r="F55" s="2"/>
      <x:c r="G55" s="2"/>
      <x:c r="H55" s="2"/>
      <x:c r="I55" s="10" t="str">
        <x:v>車種</x:v>
      </x:c>
      <x:c r="J55" s="10" t="str">
        <x:v>List SGD</x:v>
      </x:c>
      <x:c r="K55" s="10" t="str">
        <x:v>条件付SGD</x:v>
      </x:c>
      <x:c r="L55" s="10" t="str">
        <x:v>差率</x:v>
      </x:c>
      <x:c r="M55" s="10" t="str">
        <x:v>備考</x:v>
      </x:c>
      <x:c r="N55" s="2"/>
      <x:c r="O55" s="2"/>
      <x:c r="P55" s="2"/>
    </x:row>
    <x:row r="56" ht="24" customHeight="1">
      <x:c r="A56" s="2"/>
      <x:c r="B56" s="2"/>
      <x:c r="C56" s="2"/>
      <x:c r="D56" s="2"/>
      <x:c r="E56" s="2"/>
      <x:c r="F56" s="2"/>
      <x:c r="G56" s="2"/>
      <x:c r="H56" s="2"/>
      <x:c r="I56" s="2" t="str">
        <x:v>Dolphin</x:v>
      </x:c>
      <x:c r="J56" s="16" t="n">
        <x:f>INDEX('価格データ'!$J$6:$J$75,MATCH("DOL_SG",'価格データ'!$A$6:$A$75,0))</x:f>
        <x:v>256888</x:v>
      </x:c>
      <x:c r="K56" s="16" t="n">
        <x:f>INDEX('価格データ'!$K$6:$K$75,MATCH("DOL_SG",'価格データ'!$A$6:$A$75,0))</x:f>
        <x:v>181888</x:v>
      </x:c>
      <x:c r="L56" s="32" t="n">
        <x:f>1-K56/J56</x:f>
        <x:v>0.291956027529507</x:v>
      </x:c>
      <x:c r="M56" s="2"/>
      <x:c r="N56" s="2"/>
      <x:c r="O56" s="2"/>
      <x:c r="P56" s="2"/>
    </x:row>
    <x:row r="57" ht="24" customHeight="1">
      <x:c r="A57" s="2"/>
      <x:c r="B57" s="2"/>
      <x:c r="C57" s="2"/>
      <x:c r="D57" s="2"/>
      <x:c r="E57" s="2"/>
      <x:c r="F57" s="2"/>
      <x:c r="G57" s="2"/>
      <x:c r="H57" s="2"/>
      <x:c r="I57" s="2" t="str">
        <x:v>Atto3 EVO</x:v>
      </x:c>
      <x:c r="J57" s="16" t="n">
        <x:f>INDEX('価格データ'!$J$6:$J$75,MATCH("ATT_SG",'価格データ'!$A$6:$A$75,0))</x:f>
        <x:v>256888</x:v>
      </x:c>
      <x:c r="K57" s="16" t="n">
        <x:f>INDEX('価格データ'!$K$6:$K$75,MATCH("ATT_SG",'価格データ'!$A$6:$A$75,0))</x:f>
        <x:v>181888</x:v>
      </x:c>
      <x:c r="L57" s="32" t="n">
        <x:f>1-K57/J57</x:f>
        <x:v>0.291956027529507</x:v>
      </x:c>
      <x:c r="M57" s="2"/>
      <x:c r="N57" s="2"/>
      <x:c r="O57" s="2"/>
      <x:c r="P57" s="2"/>
    </x:row>
    <x:row r="58" ht="24" customHeight="1">
      <x:c r="A58" s="2"/>
      <x:c r="B58" s="2"/>
      <x:c r="C58" s="2"/>
      <x:c r="D58" s="2"/>
      <x:c r="E58" s="2"/>
      <x:c r="F58" s="2"/>
      <x:c r="G58" s="2"/>
      <x:c r="H58" s="2"/>
      <x:c r="I58" s="2" t="str">
        <x:v>Seal</x:v>
      </x:c>
      <x:c r="J58" s="16" t="n">
        <x:f>INDEX('価格データ'!$J$6:$J$75,MATCH("SEA_SG",'価格データ'!$A$6:$A$75,0))</x:f>
        <x:v>271888</x:v>
      </x:c>
      <x:c r="K58" s="16" t="n">
        <x:f>INDEX('価格データ'!$K$6:$K$75,MATCH("SEA_SG",'価格データ'!$A$6:$A$75,0))</x:f>
        <x:v>196888</x:v>
      </x:c>
      <x:c r="L58" s="32" t="n">
        <x:f>1-K58/J58</x:f>
        <x:v>0.275848878950156</x:v>
      </x:c>
      <x:c r="M58" s="2"/>
      <x:c r="N58" s="2"/>
      <x:c r="O58" s="2"/>
      <x:c r="P58" s="2"/>
    </x:row>
    <x:row r="59" ht="24" customHeight="1">
      <x:c r="A59" s="2"/>
      <x:c r="B59" s="2"/>
      <x:c r="C59" s="2"/>
      <x:c r="D59" s="2"/>
      <x:c r="E59" s="2"/>
      <x:c r="F59" s="2"/>
      <x:c r="G59" s="2"/>
      <x:c r="H59" s="2"/>
      <x:c r="I59" s="2" t="str">
        <x:v>MG4 Urban</x:v>
      </x:c>
      <x:c r="J59" s="16" t="n">
        <x:f>INDEX('価格データ'!$J$6:$J$75,MATCH("URB_SG",'価格データ'!$A$6:$A$75,0))</x:f>
        <x:v>206888</x:v>
      </x:c>
      <x:c r="K59" s="16" t="n">
        <x:f>INDEX('価格データ'!$K$6:$K$75,MATCH("URB_SG",'価格データ'!$A$6:$A$75,0))</x:f>
        <x:v>193888</x:v>
      </x:c>
      <x:c r="L59" s="32" t="n">
        <x:f>1-K59/J59</x:f>
        <x:v>0.06283593055179615</x:v>
      </x:c>
      <x:c r="M59" s="2"/>
      <x:c r="N59" s="2"/>
      <x:c r="O59" s="2"/>
      <x:c r="P59" s="2"/>
    </x:row>
    <x:row r="60" ht="24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</x:row>
    <x:row r="61" ht="24" customHeight="1">
      <x:c r="A61" s="2"/>
      <x:c r="B61" s="2"/>
      <x:c r="C61" s="2"/>
      <x:c r="D61" s="2"/>
      <x:c r="E61" s="2"/>
      <x:c r="F61" s="2"/>
      <x:c r="G61" s="2"/>
      <x:c r="H61" s="2"/>
      <x:c r="I61" s="25" t="str">
        <x:v>条件付価格はSavers/非保証COE等のパッケージ。融資・保険・下取の成立条件がある。差率をメーカー値引率・利益率とみなさない。COE rebate額も車両MSRPの単純控除には使わない。</x:v>
      </x:c>
      <x:c r="J61" s="25" t="str">
        <x:v>条件付価格はSavers/非保証COE等のパッケージ。融資・保険・下取の成立条件がある。差率をメーカー値引率・利益率とみなさない。COE rebate額も車両MSRPの単純控除には使わない。</x:v>
      </x:c>
      <x:c r="K61" s="25" t="str">
        <x:v>条件付価格はSavers/非保証COE等のパッケージ。融資・保険・下取の成立条件がある。差率をメーカー値引率・利益率とみなさない。COE rebate額も車両MSRPの単純控除には使わない。</x:v>
      </x:c>
      <x:c r="L61" s="25" t="str">
        <x:v>条件付価格はSavers/非保証COE等のパッケージ。融資・保険・下取の成立条件がある。差率をメーカー値引率・利益率とみなさない。COE rebate額も車両MSRPの単純控除には使わない。</x:v>
      </x:c>
      <x:c r="M61" s="25" t="str">
        <x:v>条件付価格はSavers/非保証COE等のパッケージ。融資・保険・下取の成立条件がある。差率をメーカー値引率・利益率とみなさない。COE rebate額も車両MSRPの単純控除には使わない。</x:v>
      </x:c>
      <x:c r="N61" s="25" t="str">
        <x:v>条件付価格はSavers/非保証COE等のパッケージ。融資・保険・下取の成立条件がある。差率をメーカー値引率・利益率とみなさない。COE rebate額も車両MSRPの単純控除には使わない。</x:v>
      </x:c>
      <x:c r="O61" s="25" t="str">
        <x:v>条件付価格はSavers/非保証COE等のパッケージ。融資・保険・下取の成立条件がある。差率をメーカー値引率・利益率とみなさない。COE rebate額も車両MSRPの単純控除には使わない。</x:v>
      </x:c>
      <x:c r="P61" s="25" t="str">
        <x:v>条件付価格はSavers/非保証COE等のパッケージ。融資・保険・下取の成立条件がある。差率をメーカー値引率・利益率とみなさない。COE rebate額も車両MSRPの単純控除には使わない。</x:v>
      </x:c>
    </x:row>
    <x:row r="62" ht="24" customHeight="1">
      <x:c r="A62" s="2"/>
      <x:c r="B62" s="2"/>
      <x:c r="C62" s="2"/>
      <x:c r="D62" s="2"/>
      <x:c r="E62" s="2"/>
      <x:c r="F62" s="2"/>
      <x:c r="G62" s="2"/>
      <x:c r="H62" s="2"/>
      <x:c r="I62" s="25" t="str">
        <x:v>条件付価格はSavers/非保証COE等のパッケージ。融資・保険・下取の成立条件がある。差率をメーカー値引率・利益率とみなさない。COE rebate額も車両MSRPの単純控除には使わない。</x:v>
      </x:c>
      <x:c r="J62" s="25" t="str">
        <x:v>条件付価格はSavers/非保証COE等のパッケージ。融資・保険・下取の成立条件がある。差率をメーカー値引率・利益率とみなさない。COE rebate額も車両MSRPの単純控除には使わない。</x:v>
      </x:c>
      <x:c r="K62" s="25" t="str">
        <x:v>条件付価格はSavers/非保証COE等のパッケージ。融資・保険・下取の成立条件がある。差率をメーカー値引率・利益率とみなさない。COE rebate額も車両MSRPの単純控除には使わない。</x:v>
      </x:c>
      <x:c r="L62" s="25" t="str">
        <x:v>条件付価格はSavers/非保証COE等のパッケージ。融資・保険・下取の成立条件がある。差率をメーカー値引率・利益率とみなさない。COE rebate額も車両MSRPの単純控除には使わない。</x:v>
      </x:c>
      <x:c r="M62" s="25" t="str">
        <x:v>条件付価格はSavers/非保証COE等のパッケージ。融資・保険・下取の成立条件がある。差率をメーカー値引率・利益率とみなさない。COE rebate額も車両MSRPの単純控除には使わない。</x:v>
      </x:c>
      <x:c r="N62" s="25" t="str">
        <x:v>条件付価格はSavers/非保証COE等のパッケージ。融資・保険・下取の成立条件がある。差率をメーカー値引率・利益率とみなさない。COE rebate額も車両MSRPの単純控除には使わない。</x:v>
      </x:c>
      <x:c r="O62" s="25" t="str">
        <x:v>条件付価格はSavers/非保証COE等のパッケージ。融資・保険・下取の成立条件がある。差率をメーカー値引率・利益率とみなさない。COE rebate額も車両MSRPの単純控除には使わない。</x:v>
      </x:c>
      <x:c r="P62" s="25" t="str">
        <x:v>条件付価格はSavers/非保証COE等のパッケージ。融資・保険・下取の成立条件がある。差率をメーカー値引率・利益率とみなさない。COE rebate額も車両MSRPの単純控除には使わない。</x:v>
      </x:c>
    </x:row>
    <x:row r="63" ht="24" customHeight="1">
      <x:c r="A63" s="2"/>
      <x:c r="B63" s="2"/>
      <x:c r="C63" s="2"/>
      <x:c r="D63" s="2"/>
      <x:c r="E63" s="2"/>
      <x:c r="F63" s="2"/>
      <x:c r="G63" s="2"/>
      <x:c r="H63" s="2"/>
      <x:c r="I63" s="25" t="str">
        <x:v>条件付価格はSavers/非保証COE等のパッケージ。融資・保険・下取の成立条件がある。差率をメーカー値引率・利益率とみなさない。COE rebate額も車両MSRPの単純控除には使わない。</x:v>
      </x:c>
      <x:c r="J63" s="25" t="str">
        <x:v>条件付価格はSavers/非保証COE等のパッケージ。融資・保険・下取の成立条件がある。差率をメーカー値引率・利益率とみなさない。COE rebate額も車両MSRPの単純控除には使わない。</x:v>
      </x:c>
      <x:c r="K63" s="25" t="str">
        <x:v>条件付価格はSavers/非保証COE等のパッケージ。融資・保険・下取の成立条件がある。差率をメーカー値引率・利益率とみなさない。COE rebate額も車両MSRPの単純控除には使わない。</x:v>
      </x:c>
      <x:c r="L63" s="25" t="str">
        <x:v>条件付価格はSavers/非保証COE等のパッケージ。融資・保険・下取の成立条件がある。差率をメーカー値引率・利益率とみなさない。COE rebate額も車両MSRPの単純控除には使わない。</x:v>
      </x:c>
      <x:c r="M63" s="25" t="str">
        <x:v>条件付価格はSavers/非保証COE等のパッケージ。融資・保険・下取の成立条件がある。差率をメーカー値引率・利益率とみなさない。COE rebate額も車両MSRPの単純控除には使わない。</x:v>
      </x:c>
      <x:c r="N63" s="25" t="str">
        <x:v>条件付価格はSavers/非保証COE等のパッケージ。融資・保険・下取の成立条件がある。差率をメーカー値引率・利益率とみなさない。COE rebate額も車両MSRPの単純控除には使わない。</x:v>
      </x:c>
      <x:c r="O63" s="25" t="str">
        <x:v>条件付価格はSavers/非保証COE等のパッケージ。融資・保険・下取の成立条件がある。差率をメーカー値引率・利益率とみなさない。COE rebate額も車両MSRPの単純控除には使わない。</x:v>
      </x:c>
      <x:c r="P63" s="25" t="str">
        <x:v>条件付価格はSavers/非保証COE等のパッケージ。融資・保険・下取の成立条件がある。差率をメーカー値引率・利益率とみなさない。COE rebate額も車両MSRPの単純控除には使わない。</x:v>
      </x:c>
    </x:row>
    <x:row r="64" ht="24" customHeight="1">
      <x:c r="A64" s="2"/>
      <x:c r="B64" s="2"/>
      <x:c r="C64" s="2"/>
      <x:c r="D64" s="2"/>
      <x:c r="E64" s="2"/>
      <x:c r="F64" s="2"/>
      <x:c r="G64" s="2"/>
      <x:c r="H64" s="2"/>
      <x:c r="I64" s="25" t="str">
        <x:v>条件付価格はSavers/非保証COE等のパッケージ。融資・保険・下取の成立条件がある。差率をメーカー値引率・利益率とみなさない。COE rebate額も車両MSRPの単純控除には使わない。</x:v>
      </x:c>
      <x:c r="J64" s="25" t="str">
        <x:v>条件付価格はSavers/非保証COE等のパッケージ。融資・保険・下取の成立条件がある。差率をメーカー値引率・利益率とみなさない。COE rebate額も車両MSRPの単純控除には使わない。</x:v>
      </x:c>
      <x:c r="K64" s="25" t="str">
        <x:v>条件付価格はSavers/非保証COE等のパッケージ。融資・保険・下取の成立条件がある。差率をメーカー値引率・利益率とみなさない。COE rebate額も車両MSRPの単純控除には使わない。</x:v>
      </x:c>
      <x:c r="L64" s="25" t="str">
        <x:v>条件付価格はSavers/非保証COE等のパッケージ。融資・保険・下取の成立条件がある。差率をメーカー値引率・利益率とみなさない。COE rebate額も車両MSRPの単純控除には使わない。</x:v>
      </x:c>
      <x:c r="M64" s="25" t="str">
        <x:v>条件付価格はSavers/非保証COE等のパッケージ。融資・保険・下取の成立条件がある。差率をメーカー値引率・利益率とみなさない。COE rebate額も車両MSRPの単純控除には使わない。</x:v>
      </x:c>
      <x:c r="N64" s="25" t="str">
        <x:v>条件付価格はSavers/非保証COE等のパッケージ。融資・保険・下取の成立条件がある。差率をメーカー値引率・利益率とみなさない。COE rebate額も車両MSRPの単純控除には使わない。</x:v>
      </x:c>
      <x:c r="O64" s="25" t="str">
        <x:v>条件付価格はSavers/非保証COE等のパッケージ。融資・保険・下取の成立条件がある。差率をメーカー値引率・利益率とみなさない。COE rebate額も車両MSRPの単純控除には使わない。</x:v>
      </x:c>
      <x:c r="P64" s="25" t="str">
        <x:v>条件付価格はSavers/非保証COE等のパッケージ。融資・保険・下取の成立条件がある。差率をメーカー値引率・利益率とみなさない。COE rebate額も車両MSRPの単純控除には使わない。</x:v>
      </x:c>
    </x:row>
    <x:row r="65" ht="24" customHeight="1">
      <x:c r="A65" s="2"/>
      <x:c r="B65" s="2"/>
      <x:c r="C65" s="2"/>
      <x:c r="D65" s="2"/>
      <x:c r="E65" s="2"/>
      <x:c r="F65" s="2"/>
      <x:c r="G65" s="2"/>
      <x:c r="H65" s="2"/>
      <x:c r="I65" s="25" t="str">
        <x:v>条件付価格はSavers/非保証COE等のパッケージ。融資・保険・下取の成立条件がある。差率をメーカー値引率・利益率とみなさない。COE rebate額も車両MSRPの単純控除には使わない。</x:v>
      </x:c>
      <x:c r="J65" s="25" t="str">
        <x:v>条件付価格はSavers/非保証COE等のパッケージ。融資・保険・下取の成立条件がある。差率をメーカー値引率・利益率とみなさない。COE rebate額も車両MSRPの単純控除には使わない。</x:v>
      </x:c>
      <x:c r="K65" s="25" t="str">
        <x:v>条件付価格はSavers/非保証COE等のパッケージ。融資・保険・下取の成立条件がある。差率をメーカー値引率・利益率とみなさない。COE rebate額も車両MSRPの単純控除には使わない。</x:v>
      </x:c>
      <x:c r="L65" s="25" t="str">
        <x:v>条件付価格はSavers/非保証COE等のパッケージ。融資・保険・下取の成立条件がある。差率をメーカー値引率・利益率とみなさない。COE rebate額も車両MSRPの単純控除には使わない。</x:v>
      </x:c>
      <x:c r="M65" s="25" t="str">
        <x:v>条件付価格はSavers/非保証COE等のパッケージ。融資・保険・下取の成立条件がある。差率をメーカー値引率・利益率とみなさない。COE rebate額も車両MSRPの単純控除には使わない。</x:v>
      </x:c>
      <x:c r="N65" s="25" t="str">
        <x:v>条件付価格はSavers/非保証COE等のパッケージ。融資・保険・下取の成立条件がある。差率をメーカー値引率・利益率とみなさない。COE rebate額も車両MSRPの単純控除には使わない。</x:v>
      </x:c>
      <x:c r="O65" s="25" t="str">
        <x:v>条件付価格はSavers/非保証COE等のパッケージ。融資・保険・下取の成立条件がある。差率をメーカー値引率・利益率とみなさない。COE rebate額も車両MSRPの単純控除には使わない。</x:v>
      </x:c>
      <x:c r="P65" s="25" t="str">
        <x:v>条件付価格はSavers/非保証COE等のパッケージ。融資・保険・下取の成立条件がある。差率をメーカー値引率・利益率とみなさない。COE rebate額も車両MSRPの単純控除には使わない。</x:v>
      </x:c>
    </x:row>
    <x:row r="66" ht="24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</x:row>
    <x:row r="67" ht="24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</x:row>
    <x:row r="68" ht="24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</x:row>
    <x:row r="69" ht="24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</x:row>
    <x:row r="70" ht="24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</x:row>
    <x:row r="71" ht="24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</x:row>
    <x:row r="72" ht="24" customHeight="1">
      <x:c r="A72" s="27" t="str">
        <x:v>グラフ元データ（価格データの数式参照）</x:v>
      </x:c>
      <x:c r="B72" s="27" t="str">
        <x:v>グラフ元データ（価格データの数式参照）</x:v>
      </x:c>
      <x:c r="C72" s="27" t="str">
        <x:v>グラフ元データ（価格データの数式参照）</x:v>
      </x:c>
      <x:c r="D72" s="27" t="str">
        <x:v>グラフ元データ（価格データの数式参照）</x:v>
      </x:c>
      <x:c r="E72" s="27" t="str">
        <x:v>グラフ元データ（価格データの数式参照）</x:v>
      </x:c>
      <x:c r="F72" s="27" t="str">
        <x:v>グラフ元データ（価格データの数式参照）</x:v>
      </x:c>
      <x:c r="G72" s="27" t="str">
        <x:v>グラフ元データ（価格データの数式参照）</x:v>
      </x:c>
      <x:c r="H72" s="27" t="str">
        <x:v>グラフ元データ（価格データの数式参照）</x:v>
      </x:c>
      <x:c r="I72" s="27" t="str">
        <x:v>グラフ元データ（価格データの数式参照）</x:v>
      </x:c>
      <x:c r="J72" s="27" t="str">
        <x:v>グラフ元データ（価格データの数式参照）</x:v>
      </x:c>
      <x:c r="K72" s="27" t="str">
        <x:v>グラフ元データ（価格データの数式参照）</x:v>
      </x:c>
      <x:c r="L72" s="27" t="str">
        <x:v>グラフ元データ（価格データの数式参照）</x:v>
      </x:c>
      <x:c r="M72" s="27" t="str">
        <x:v>グラフ元データ（価格データの数式参照）</x:v>
      </x:c>
      <x:c r="N72" s="27" t="str">
        <x:v>グラフ元データ（価格データの数式参照）</x:v>
      </x:c>
      <x:c r="O72" s="27" t="str">
        <x:v>グラフ元データ（価格データの数式参照）</x:v>
      </x:c>
      <x:c r="P72" s="27" t="str">
        <x:v>グラフ元データ（価格データの数式参照）</x:v>
      </x:c>
    </x:row>
    <x:row r="73" ht="24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</x:row>
    <x:row r="74" ht="24" customHeight="1">
      <x:c r="A74" s="17" t="str">
        <x:v>市場</x:v>
      </x:c>
      <x:c r="B74" s="17" t="str">
        <x:v>Dolphin 千USD</x:v>
      </x:c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</x:row>
    <x:row r="75" ht="24" customHeight="1">
      <x:c r="A75" s="17" t="str">
        <x:v>越南</x:v>
      </x:c>
      <x:c r="B75" s="17" t="n">
        <x:f>IF(INDEX('価格データ'!$J$6:$J$75,MATCH("DOL_VN",'価格データ'!$A$6:$A$75,0))="","",INDEX('価格データ'!$Q$6:$Q$75,MATCH("DOL_VN",'価格データ'!$A$6:$A$75,0))/1000)</x:f>
        <x:v>22.18756092805615</x:v>
      </x:c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</x:row>
    <x:row r="76" ht="24" customHeight="1">
      <x:c r="A76" s="17" t="str">
        <x:v>タイ</x:v>
      </x:c>
      <x:c r="B76" s="17" t="n">
        <x:f>IF(INDEX('価格データ'!$J$6:$J$75,MATCH("DOL_TH",'価格データ'!$A$6:$A$75,0))="","",INDEX('価格データ'!$Q$6:$Q$75,MATCH("DOL_TH",'価格データ'!$A$6:$A$75,0))/1000)</x:f>
        <x:v>17.867303890474684</x:v>
      </x:c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</x:row>
    <x:row r="77" ht="24" customHeight="1">
      <x:c r="A77" s="17" t="str">
        <x:v>インドネシア</x:v>
      </x:c>
      <x:c r="B77" s="17" t="n">
        <x:f>IF(INDEX('価格データ'!$J$6:$J$75,MATCH("DOL_ID",'価格データ'!$A$6:$A$75,0))="","",INDEX('価格データ'!$Q$6:$Q$75,MATCH("DOL_ID",'価格データ'!$A$6:$A$75,0))/1000)</x:f>
        <x:v>20.682926465321714</x:v>
      </x:c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</x:row>
    <x:row r="78" ht="24" customHeight="1">
      <x:c r="A78" s="17" t="str">
        <x:v>フィリピン</x:v>
      </x:c>
      <x:c r="B78" s="17" t="n">
        <x:f>IF(INDEX('価格データ'!$J$6:$J$75,MATCH("DOL_PH",'価格データ'!$A$6:$A$75,0))="","",INDEX('価格データ'!$Q$6:$Q$75,MATCH("DOL_PH",'価格データ'!$A$6:$A$75,0))/1000)</x:f>
        <x:v>22.919891940822044</x:v>
      </x:c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</x:row>
    <x:row r="79" ht="24" customHeight="1">
      <x:c r="A79" s="17" t="str">
        <x:v>マレーシア</x:v>
      </x:c>
      <x:c r="B79" s="17" t="n">
        <x:f>IF(INDEX('価格データ'!$J$6:$J$75,MATCH("DOL_MY",'価格データ'!$A$6:$A$75,0))="","",INDEX('価格データ'!$Q$6:$Q$75,MATCH("DOL_MY",'価格データ'!$A$6:$A$75,0))/1000)</x:f>
        <x:v>24.479732371725248</x:v>
      </x:c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</x:row>
    <x:row r="80" ht="24" customHeight="1">
      <x:c r="A80" s="17" t="str">
        <x:v>中国</x:v>
      </x:c>
      <x:c r="B80" s="17" t="n">
        <x:f>IF(INDEX('価格データ'!$J$6:$J$75,MATCH("DOL_CN",'価格データ'!$A$6:$A$75,0))="","",INDEX('価格データ'!$Q$6:$Q$75,MATCH("DOL_CN",'価格データ'!$A$6:$A$75,0))/1000)</x:f>
        <x:v>14.88532969796437</x:v>
      </x:c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</x:row>
    <x:row r="81" ht="24" customHeight="1">
      <x:c r="A81" s="17" t="str">
        <x:v>ドイツ</x:v>
      </x:c>
      <x:c r="B81" s="17" t="n">
        <x:f>IF(INDEX('価格データ'!$J$6:$J$75,MATCH("DOL_DE",'価格データ'!$A$6:$A$75,0))="","",INDEX('価格データ'!$Q$6:$Q$75,MATCH("DOL_DE",'価格データ'!$A$6:$A$75,0))/1000)</x:f>
        <x:v>38.303331</x:v>
      </x:c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</x:row>
    <x:row r="82" ht="24" customHeight="1">
      <x:c r="A82" s="17" t="str">
        <x:v>ブラジル</x:v>
      </x:c>
      <x:c r="B82" s="17" t="n">
        <x:f>IF(INDEX('価格データ'!$J$6:$J$75,MATCH("DOL_BR",'価格データ'!$A$6:$A$75,0))="","",INDEX('価格データ'!$Q$6:$Q$75,MATCH("DOL_BR",'価格データ'!$A$6:$A$75,0))/1000)</x:f>
        <x:v>30.187660695468917</x:v>
      </x:c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</x:row>
    <x:row r="83" ht="24" customHeight="1">
      <x:c r="A83" s="17" t="str">
        <x:v>豪州</x:v>
      </x:c>
      <x:c r="B83" s="17" t="n">
        <x:f>IF(INDEX('価格データ'!$J$6:$J$75,MATCH("DOL_AU",'価格データ'!$A$6:$A$75,0))="","",INDEX('価格データ'!$Q$6:$Q$75,MATCH("DOL_AU",'価格データ'!$A$6:$A$75,0))/1000)</x:f>
        <x:v>20.939114622057</x:v>
      </x:c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</x:row>
    <x:row r="84" ht="24" customHeight="1">
      <x:c r="A84" s="17"/>
      <x:c r="B84" s="17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</x:row>
    <x:row r="85" ht="24" customHeight="1">
      <x:c r="A85" s="17"/>
      <x:c r="B85" s="17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</x:row>
    <x:row r="86" ht="24" customHeight="1">
      <x:c r="A86" s="17" t="str">
        <x:v>市場</x:v>
      </x:c>
      <x:c r="B86" s="17" t="str">
        <x:v>Seal 千USD</x:v>
      </x:c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</x:row>
    <x:row r="87" ht="24" customHeight="1">
      <x:c r="A87" s="17" t="str">
        <x:v>越南</x:v>
      </x:c>
      <x:c r="B87" s="17" t="n">
        <x:f>IF(INDEX('価格データ'!$J$6:$J$75,MATCH("SEA_VN",'価格データ'!$A$6:$A$75,0))="","",INDEX('価格データ'!$Q$6:$Q$75,MATCH("SEA_VN",'価格データ'!$A$6:$A$75,0))/1000)</x:f>
        <x:v>43.63423669331254</x:v>
      </x:c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</x:row>
    <x:row r="88" ht="24" customHeight="1">
      <x:c r="A88" s="17" t="str">
        <x:v>タイ</x:v>
      </x:c>
      <x:c r="B88" s="17" t="n">
        <x:f>IF(INDEX('価格データ'!$J$6:$J$75,MATCH("SEA_TH",'価格データ'!$A$6:$A$75,0))="","",INDEX('価格データ'!$Q$6:$Q$75,MATCH("SEA_TH",'価格データ'!$A$6:$A$75,0))/1000)</x:f>
        <x:v>39.46354001480072</x:v>
      </x:c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</x:row>
    <x:row r="89" ht="24" customHeight="1">
      <x:c r="A89" s="17" t="str">
        <x:v>インドネシア</x:v>
      </x:c>
      <x:c r="B89" s="17" t="n">
        <x:f>IF(INDEX('価格データ'!$J$6:$J$75,MATCH("SEA_ID",'価格データ'!$A$6:$A$75,0))="","",INDEX('価格データ'!$Q$6:$Q$75,MATCH("SEA_ID",'価格データ'!$A$6:$A$75,0))/1000)</x:f>
        <x:v>35.816775098483944</x:v>
      </x:c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</x:row>
    <x:row r="90" ht="24" customHeight="1">
      <x:c r="A90" s="17" t="str">
        <x:v>フィリピン</x:v>
      </x:c>
      <x:c r="B90" s="17" t="n">
        <x:f>IF(INDEX('価格データ'!$J$6:$J$75,MATCH("SEA_PH",'価格データ'!$A$6:$A$75,0))="","",INDEX('価格データ'!$Q$6:$Q$75,MATCH("SEA_PH",'価格データ'!$A$6:$A$75,0))/1000)</x:f>
        <x:v>33.43945291505191</x:v>
      </x:c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</x:row>
    <x:row r="91" ht="24" customHeight="1">
      <x:c r="A91" s="17" t="str">
        <x:v>マレーシア</x:v>
      </x:c>
      <x:c r="B91" s="17" t="n">
        <x:f>IF(INDEX('価格データ'!$J$6:$J$75,MATCH("SEA_MY",'価格データ'!$A$6:$A$75,0))="","",INDEX('価格データ'!$Q$6:$Q$75,MATCH("SEA_MY",'価格データ'!$A$6:$A$75,0))/1000)</x:f>
        <x:v>42.05618021462398</x:v>
      </x:c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</x:row>
    <x:row r="92" ht="24" customHeight="1">
      <x:c r="A92" s="17" t="str">
        <x:v>ドイツ</x:v>
      </x:c>
      <x:c r="B92" s="17" t="n">
        <x:f>IF(INDEX('価格データ'!$J$6:$J$75,MATCH("SEA_DE",'価格データ'!$A$6:$A$75,0))="","",INDEX('価格データ'!$Q$6:$Q$75,MATCH("SEA_DE",'価格データ'!$A$6:$A$75,0))/1000)</x:f>
        <x:v>54.079931</x:v>
      </x:c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</x:row>
    <x:row r="93" ht="24" customHeight="1">
      <x:c r="A93" s="17" t="str">
        <x:v>ブラジル</x:v>
      </x:c>
      <x:c r="B93" s="17" t="n">
        <x:f>IF(INDEX('価格データ'!$J$6:$J$75,MATCH("SEA_BR",'価格データ'!$A$6:$A$75,0))="","",INDEX('価格データ'!$Q$6:$Q$75,MATCH("SEA_BR",'価格データ'!$A$6:$A$75,0))/1000)</x:f>
        <x:v>60.37733403582719</x:v>
      </x:c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</x:row>
    <x:row r="94" ht="24" customHeight="1">
      <x:c r="A94" s="17" t="str">
        <x:v>豪州</x:v>
      </x:c>
      <x:c r="B94" s="17" t="n">
        <x:f>IF(INDEX('価格データ'!$J$6:$J$75,MATCH("SEA_AU",'価格データ'!$A$6:$A$75,0))="","",INDEX('価格データ'!$Q$6:$Q$75,MATCH("SEA_AU",'価格データ'!$A$6:$A$75,0))/1000)</x:f>
        <x:v>36.99778872366791</x:v>
      </x:c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</x:row>
    <x:row r="95" ht="24" customHeight="1">
      <x:c r="A95" s="17"/>
      <x:c r="B95" s="17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</x:row>
    <x:row r="96" ht="24" customHeight="1">
      <x:c r="A96" s="17"/>
      <x:c r="B96" s="17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</x:row>
    <x:row r="97" ht="24" customHeight="1">
      <x:c r="A97" s="17"/>
      <x:c r="B97" s="17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</x:row>
    <x:row r="98" ht="24" customHeight="1">
      <x:c r="A98" s="17" t="str">
        <x:v>市場</x:v>
      </x:c>
      <x:c r="B98" s="17" t="str">
        <x:v>Atto 3 / Yuan Plus 千USD</x:v>
      </x:c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</x:row>
    <x:row r="99" ht="24" customHeight="1">
      <x:c r="A99" s="17" t="str">
        <x:v>越南</x:v>
      </x:c>
      <x:c r="B99" s="17" t="n">
        <x:f>IF(INDEX('価格データ'!$J$6:$J$75,MATCH("ATT_VN",'価格データ'!$A$6:$A$75,0))="","",INDEX('価格データ'!$Q$6:$Q$75,MATCH("ATT_VN",'価格データ'!$A$6:$A$75,0))/1000)</x:f>
        <x:v>29.86937024761162</x:v>
      </x:c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</x:row>
    <x:row r="100" ht="24" customHeight="1">
      <x:c r="A100" s="17" t="str">
        <x:v>タイ</x:v>
      </x:c>
      <x:c r="B100" s="17" t="n">
        <x:f>IF(INDEX('価格データ'!$J$6:$J$75,MATCH("ATT_TH",'価格データ'!$A$6:$A$75,0))="","",INDEX('価格データ'!$Q$6:$Q$75,MATCH("ATT_TH",'価格データ'!$A$6:$A$75,0))/1000)</x:f>
        <x:v>23.824064647425732</x:v>
      </x:c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</x:row>
    <x:row r="101" ht="24" customHeight="1">
      <x:c r="A101" s="17" t="str">
        <x:v>インドネシア</x:v>
      </x:c>
      <x:c r="B101" s="17" t="n">
        <x:f>IF(INDEX('価格データ'!$J$6:$J$75,MATCH("ATT_ID",'価格データ'!$A$6:$A$75,0))="","",INDEX('価格データ'!$Q$6:$Q$75,MATCH("ATT_ID",'価格データ'!$A$6:$A$75,0))/1000)</x:f>
        <x:v>23.261285862082687</x:v>
      </x:c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</x:row>
    <x:row r="102" ht="24" customHeight="1">
      <x:c r="A102" s="17" t="str">
        <x:v>フィリピン</x:v>
      </x:c>
      <x:c r="B102" s="17" t="n">
        <x:f>IF(INDEX('価格データ'!$J$6:$J$75,MATCH("ATT_PH",'価格データ'!$A$6:$A$75,0))="","",INDEX('価格データ'!$Q$6:$Q$75,MATCH("ATT_PH",'価格データ'!$A$6:$A$75,0))/1000)</x:f>
        <x:v>26.107637690588668</x:v>
      </x:c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</x:row>
    <x:row r="103" ht="24" customHeight="1">
      <x:c r="A103" s="17" t="str">
        <x:v>マレーシア</x:v>
      </x:c>
      <x:c r="B103" s="17" t="n">
        <x:f>IF(INDEX('価格データ'!$J$6:$J$75,MATCH("ATT_MY",'価格データ'!$A$6:$A$75,0))="","",INDEX('価格データ'!$Q$6:$Q$75,MATCH("ATT_MY",'価格データ'!$A$6:$A$75,0))/1000)</x:f>
        <x:v>30.79550332363036</x:v>
      </x:c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</x:row>
    <x:row r="104" ht="24" customHeight="1">
      <x:c r="A104" s="17" t="str">
        <x:v>中国</x:v>
      </x:c>
      <x:c r="B104" s="17" t="n">
        <x:f>IF(INDEX('価格データ'!$J$6:$J$75,MATCH("ATT_CN",'価格データ'!$A$6:$A$75,0))="","",INDEX('価格データ'!$Q$6:$Q$75,MATCH("ATT_CN",'価格データ'!$A$6:$A$75,0))/1000)</x:f>
        <x:v>17.883276861582445</x:v>
      </x:c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</x:row>
    <x:row r="105" ht="24" customHeight="1">
      <x:c r="A105" s="17" t="str">
        <x:v>ドイツ</x:v>
      </x:c>
      <x:c r="B105" s="17" t="n">
        <x:f>IF(INDEX('価格データ'!$J$6:$J$75,MATCH("ATT_DE",'価格データ'!$A$6:$A$75,0))="","",INDEX('価格データ'!$Q$6:$Q$75,MATCH("ATT_DE",'価格データ'!$A$6:$A$75,0))/1000)</x:f>
        <x:v>50.699231</x:v>
      </x:c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</x:row>
    <x:row r="106" ht="24" customHeight="1">
      <x:c r="A106" s="17" t="str">
        <x:v>ブラジル</x:v>
      </x:c>
      <x:c r="B106" s="17" t="n">
        <x:f>IF(INDEX('価格データ'!$J$6:$J$75,MATCH("ATT_BR",'価格データ'!$A$6:$A$75,0))="","",INDEX('価格データ'!$Q$6:$Q$75,MATCH("ATT_BR",'価格データ'!$A$6:$A$75,0))/1000)</x:f>
        <x:v>54.33939936775554</x:v>
      </x:c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</x:row>
    <x:row r="107" ht="24" customHeight="1">
      <x:c r="A107" s="17" t="str">
        <x:v>豪州</x:v>
      </x:c>
      <x:c r="B107" s="17" t="n">
        <x:f>IF(INDEX('価格データ'!$J$6:$J$75,MATCH("ATT_AU",'価格データ'!$A$6:$A$75,0))="","",INDEX('価格データ'!$Q$6:$Q$75,MATCH("ATT_AU",'価格データ'!$A$6:$A$75,0))/1000)</x:f>
        <x:v>27.921146840148698</x:v>
      </x:c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</x:row>
    <x:row r="108" ht="24" customHeight="1">
      <x:c r="A108" s="17"/>
      <x:c r="B108" s="17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</x:row>
    <x:row r="109" ht="24" customHeight="1">
      <x:c r="A109" s="17"/>
      <x:c r="B109" s="17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</x:row>
    <x:row r="110" ht="24" customHeight="1">
      <x:c r="A110" s="17"/>
      <x:c r="B110" s="17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</x:row>
    <x:row r="111" ht="24" customHeight="1">
      <x:c r="A111" s="17" t="str">
        <x:v>市場</x:v>
      </x:c>
      <x:c r="B111" s="17" t="str">
        <x:v>Haval H6 HEV 千USD</x:v>
      </x:c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</x:row>
    <x:row r="112" ht="24" customHeight="1">
      <x:c r="A112" s="17" t="str">
        <x:v>越南</x:v>
      </x:c>
      <x:c r="B112" s="17" t="n">
        <x:f>IF(INDEX('価格データ'!$J$6:$J$75,MATCH("H6_VN",'価格データ'!$A$6:$A$75,0))="","",INDEX('価格データ'!$Q$6:$Q$75,MATCH("H6_VN",'価格データ'!$A$6:$A$75,0))/1000)</x:f>
        <x:v>38.44804055371417</x:v>
      </x:c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</x:row>
    <x:row r="113" ht="24" customHeight="1">
      <x:c r="A113" s="17" t="str">
        <x:v>タイ</x:v>
      </x:c>
      <x:c r="B113" s="17" t="n">
        <x:f>IF(INDEX('価格データ'!$J$6:$J$75,MATCH("H6_TH",'価格データ'!$A$6:$A$75,0))="","",INDEX('価格データ'!$Q$6:$Q$75,MATCH("H6_TH",'価格データ'!$A$6:$A$75,0))/1000)</x:f>
        <x:v>28.86050586742785</x:v>
      </x:c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</x:row>
    <x:row r="114" ht="24" customHeight="1">
      <x:c r="A114" s="17" t="str">
        <x:v>インドネシア</x:v>
      </x:c>
      <x:c r="B114" s="17" t="n">
        <x:f>IF(INDEX('価格データ'!$J$6:$J$75,MATCH("H6_ID",'価格データ'!$A$6:$A$75,0))="","",INDEX('価格データ'!$Q$6:$Q$75,MATCH("H6_ID",'価格データ'!$A$6:$A$75,0))/1000)</x:f>
        <x:v>36.7023854999801</x:v>
      </x:c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</x:row>
    <x:row r="115" ht="24" customHeight="1">
      <x:c r="A115" s="17" t="str">
        <x:v>マレーシア</x:v>
      </x:c>
      <x:c r="B115" s="17" t="n">
        <x:f>IF(INDEX('価格データ'!$J$6:$J$75,MATCH("H6_MY",'価格データ'!$A$6:$A$75,0))="","",INDEX('価格データ'!$Q$6:$Q$75,MATCH("H6_MY",'価格データ'!$A$6:$A$75,0))/1000)</x:f>
        <x:v>34.119850979710655</x:v>
      </x:c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</x:row>
    <x:row r="116" ht="24" customHeight="1">
      <x:c r="A116" s="17" t="str">
        <x:v>ドイツ</x:v>
      </x:c>
      <x:c r="B116" s="17" t="n">
        <x:f>IF(INDEX('価格データ'!$J$6:$J$75,MATCH("H6_DE",'価格データ'!$A$6:$A$75,0))="","",INDEX('価格データ'!$Q$6:$Q$75,MATCH("H6_DE",'価格データ'!$A$6:$A$75,0))/1000)</x:f>
        <x:v>36.049531</x:v>
      </x:c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</x:row>
    <x:row r="117" ht="24" customHeight="1">
      <x:c r="A117" s="17" t="str">
        <x:v>ブラジル</x:v>
      </x:c>
      <x:c r="B117" s="17" t="n">
        <x:f>IF(INDEX('価格データ'!$J$6:$J$75,MATCH("H6_BR",'価格データ'!$A$6:$A$75,0))="","",INDEX('価格データ'!$Q$6:$Q$75,MATCH("H6_BR",'価格データ'!$A$6:$A$75,0))/1000)</x:f>
        <x:v>40.23277133825079</x:v>
      </x:c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</x:row>
    <x:row r="118" ht="24" customHeight="1">
      <x:c r="A118" s="17" t="str">
        <x:v>豪州</x:v>
      </x:c>
      <x:c r="B118" s="17" t="n">
        <x:f>IF(INDEX('価格データ'!$J$6:$J$75,MATCH("H6_AU",'価格データ'!$A$6:$A$75,0))="","",INDEX('価格データ'!$Q$6:$Q$75,MATCH("H6_AU",'価格データ'!$A$6:$A$75,0))/1000)</x:f>
        <x:v>27.572045229244114</x:v>
      </x:c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</x:row>
    <x:row r="119" ht="24" customHeight="1">
      <x:c r="A119" s="17"/>
      <x:c r="B119" s="17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</x:row>
    <x:row r="120" ht="24" customHeight="1">
      <x:c r="A120" s="17"/>
      <x:c r="B120" s="17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</x:row>
    <x:row r="121" ht="24" customHeight="1">
      <x:c r="A121" s="17"/>
      <x:c r="B121" s="17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</x:row>
    <x:row r="122" ht="24" customHeight="1">
      <x:c r="A122" s="17"/>
      <x:c r="B122" s="17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</x:row>
    <x:row r="123" ht="24" customHeight="1">
      <x:c r="A123" s="17"/>
      <x:c r="B123" s="17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</x:row>
    <x:row r="124" ht="24" customHeight="1">
      <x:c r="A124" s="17"/>
      <x:c r="B124" s="17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</x:row>
    <x:row r="125" ht="24" customHeight="1">
      <x:c r="A125" s="17" t="str">
        <x:v>車種</x:v>
      </x:c>
      <x:c r="B125" s="17" t="str">
        <x:v>List Price 千USD</x:v>
      </x:c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</x:row>
    <x:row r="126" ht="24" customHeight="1">
      <x:c r="A126" s="17" t="str">
        <x:v>Dolphin</x:v>
      </x:c>
      <x:c r="B126" s="17" t="n">
        <x:f>INDEX('価格データ'!$Q$6:$Q$75,MATCH("DOL_SG",'価格データ'!$A$6:$A$75,0))/1000</x:f>
        <x:v>201.1444463590884</x:v>
      </x:c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</x:row>
    <x:row r="127" ht="24" customHeight="1">
      <x:c r="A127" s="17" t="str">
        <x:v>Atto 3 EVO</x:v>
      </x:c>
      <x:c r="B127" s="17" t="n">
        <x:f>INDEX('価格データ'!$Q$6:$Q$75,MATCH("ATT_SG",'価格データ'!$A$6:$A$75,0))/1000</x:f>
        <x:v>201.1444463590884</x:v>
      </x:c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</x:row>
    <x:row r="128" ht="24" customHeight="1">
      <x:c r="A128" s="17" t="str">
        <x:v>Seal</x:v>
      </x:c>
      <x:c r="B128" s="17" t="n">
        <x:f>INDEX('価格データ'!$Q$6:$Q$75,MATCH("SEA_SG",'価格データ'!$A$6:$A$75,0))/1000</x:f>
        <x:v>212.88951306281268</x:v>
      </x:c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</x:row>
    <x:row r="129" ht="24" customHeight="1">
      <x:c r="A129" s="17" t="str">
        <x:v>MG4 Urban</x:v>
      </x:c>
      <x:c r="B129" s="17" t="n">
        <x:f>INDEX('価格データ'!$Q$6:$Q$75,MATCH("URB_SG",'価格データ'!$A$6:$A$75,0))/1000</x:f>
        <x:v>161.99422401334076</x:v>
      </x:c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</x:row>
  </x:sheetData>
  <x:mergeCells>
    <x:mergeCell ref="A1:P1"/>
    <x:mergeCell ref="A2:P3"/>
    <x:mergeCell ref="A24:H25"/>
    <x:mergeCell ref="I24:P25"/>
    <x:mergeCell ref="A46:H48"/>
    <x:mergeCell ref="I46:P48"/>
    <x:mergeCell ref="I52:P53"/>
    <x:mergeCell ref="I61:P65"/>
    <x:mergeCell ref="A72:P72"/>
  </x:mergeCells>
  <x:pageMargins left="0.7" right="0.7" top="0.75" bottom="0.75" header="0.3" footer="0.3"/>
  <x:drawing xmlns:r="http://schemas.openxmlformats.org/officeDocument/2006/relationships" r:id="R043c0797aa1647eb"/>
</x:worksheet>
</file>

<file path=xl/worksheets/sheet3.xml><?xml version="1.0" encoding="utf-8"?>
<x:worksheet xmlns:x="http://schemas.openxmlformats.org/spreadsheetml/2006/main">
  <x:sheetViews>
    <x:sheetView showGridLines="0" workbookViewId="0">
      <x:pane xSplit="4" ySplit="5" topLeftCell="E6" activePane="bottomRight" state="frozen"/>
    </x:sheetView>
  </x:sheetViews>
  <x:sheetFormatPr defaultRowHeight="15"/>
  <x:cols>
    <x:col min="1" max="1" width="11" hidden="0" customWidth="1"/>
    <x:col min="2" max="2" width="15" hidden="0" customWidth="1"/>
    <x:col min="3" max="3" width="17" hidden="0" customWidth="1"/>
    <x:col min="4" max="4" width="24" hidden="0" customWidth="1"/>
    <x:col min="5" max="5" width="22" hidden="0" customWidth="1"/>
    <x:col min="6" max="6" width="27" hidden="0" customWidth="1"/>
    <x:col min="7" max="7" width="8" hidden="0" customWidth="1"/>
    <x:col min="8" max="8" width="10" hidden="0" customWidth="1"/>
    <x:col min="9" max="9" width="10" hidden="0" customWidth="1"/>
    <x:col min="10" max="10" width="19" hidden="0" customWidth="1"/>
    <x:col min="11" max="11" width="19" hidden="0" customWidth="1"/>
    <x:col min="12" max="12" width="35" hidden="0" customWidth="1"/>
    <x:col min="13" max="13" width="35" hidden="0" customWidth="1"/>
    <x:col min="14" max="14" width="22" hidden="0" customWidth="1"/>
    <x:col min="15" max="15" width="14" hidden="0" customWidth="1"/>
    <x:col min="16" max="16" width="14" hidden="0" customWidth="1"/>
    <x:col min="17" max="17" width="17" hidden="0" customWidth="1"/>
    <x:col min="18" max="18" width="17" hidden="0" customWidth="1"/>
    <x:col min="19" max="19" width="17" hidden="0" customWidth="1"/>
    <x:col min="20" max="20" width="25" hidden="0" customWidth="1"/>
    <x:col min="21" max="21" width="70" hidden="0" customWidth="1"/>
    <x:col min="22" max="22" width="3" hidden="0" customWidth="1"/>
    <x:col min="23" max="23" width="75" hidden="0" customWidth="1"/>
    <x:col min="24" max="24" width="75" hidden="0" customWidth="1"/>
  </x:cols>
  <x:sheetData>
    <x:row r="1" ht="24" customHeight="1">
      <x:c r="A1" s="4" t="str">
        <x:v>価格データ：7車種系統 × 10市場</x:v>
      </x:c>
      <x:c r="B1" s="4" t="str">
        <x:v>価格データ：7車種系統 × 10市場</x:v>
      </x:c>
      <x:c r="C1" s="4" t="str">
        <x:v>価格データ：7車種系統 × 10市場</x:v>
      </x:c>
      <x:c r="D1" s="4" t="str">
        <x:v>価格データ：7車種系統 × 10市場</x:v>
      </x:c>
      <x:c r="E1" s="4" t="str">
        <x:v>価格データ：7車種系統 × 10市場</x:v>
      </x:c>
      <x:c r="F1" s="4" t="str">
        <x:v>価格データ：7車種系統 × 10市場</x:v>
      </x:c>
      <x:c r="G1" s="4" t="str">
        <x:v>価格データ：7車種系統 × 10市場</x:v>
      </x:c>
      <x:c r="H1" s="4" t="str">
        <x:v>価格データ：7車種系統 × 10市場</x:v>
      </x:c>
      <x:c r="I1" s="4" t="str">
        <x:v>価格データ：7車種系統 × 10市場</x:v>
      </x:c>
      <x:c r="J1" s="4" t="str">
        <x:v>価格データ：7車種系統 × 10市場</x:v>
      </x:c>
      <x:c r="K1" s="4" t="str">
        <x:v>価格データ：7車種系統 × 10市場</x:v>
      </x:c>
      <x:c r="L1" s="4" t="str">
        <x:v>価格データ：7車種系統 × 10市場</x:v>
      </x:c>
      <x:c r="M1" s="4" t="str">
        <x:v>価格データ：7車種系統 × 10市場</x:v>
      </x:c>
      <x:c r="N1" s="4" t="str">
        <x:v>価格データ：7車種系統 × 10市場</x:v>
      </x:c>
      <x:c r="O1" s="4" t="str">
        <x:v>価格データ：7車種系統 × 10市場</x:v>
      </x:c>
      <x:c r="P1" s="4" t="str">
        <x:v>価格データ：7車種系統 × 10市場</x:v>
      </x:c>
      <x:c r="Q1" s="4" t="str">
        <x:v>価格データ：7車種系統 × 10市場</x:v>
      </x:c>
      <x:c r="R1" s="4" t="str">
        <x:v>価格データ：7車種系統 × 10市場</x:v>
      </x:c>
      <x:c r="S1" s="4" t="str">
        <x:v>価格データ：7車種系統 × 10市場</x:v>
      </x:c>
      <x:c r="T1" s="4" t="str">
        <x:v>価格データ：7車種系統 × 10市場</x:v>
      </x:c>
      <x:c r="U1" s="4" t="str">
        <x:v>価格データ：7車種系統 × 10市場</x:v>
      </x:c>
      <x:c r="V1" s="2"/>
      <x:c r="W1" s="2"/>
      <x:c r="X1" s="2"/>
    </x:row>
    <x:row r="2" ht="24" customHeight="1">
      <x:c r="A2" s="7" t="str">
        <x:v>J列が主比較に使う通常価格。K列は割引・過去・Driveawayなどの参考値で、主比較には使わない。未確認の通常価格は空欄。出典日が空欄の行は公開日不明の現行掲載を確認したもの。取得日と区別。</x:v>
      </x:c>
      <x:c r="B2" s="7" t="str">
        <x:v>J列が主比較に使う通常価格。K列は割引・過去・Driveawayなどの参考値で、主比較には使わない。未確認の通常価格は空欄。出典日が空欄の行は公開日不明の現行掲載を確認したもの。取得日と区別。</x:v>
      </x:c>
      <x:c r="C2" s="7" t="str">
        <x:v>J列が主比較に使う通常価格。K列は割引・過去・Driveawayなどの参考値で、主比較には使わない。未確認の通常価格は空欄。出典日が空欄の行は公開日不明の現行掲載を確認したもの。取得日と区別。</x:v>
      </x:c>
      <x:c r="D2" s="7" t="str">
        <x:v>J列が主比較に使う通常価格。K列は割引・過去・Driveawayなどの参考値で、主比較には使わない。未確認の通常価格は空欄。出典日が空欄の行は公開日不明の現行掲載を確認したもの。取得日と区別。</x:v>
      </x:c>
      <x:c r="E2" s="7" t="str">
        <x:v>J列が主比較に使う通常価格。K列は割引・過去・Driveawayなどの参考値で、主比較には使わない。未確認の通常価格は空欄。出典日が空欄の行は公開日不明の現行掲載を確認したもの。取得日と区別。</x:v>
      </x:c>
      <x:c r="F2" s="7" t="str">
        <x:v>J列が主比較に使う通常価格。K列は割引・過去・Driveawayなどの参考値で、主比較には使わない。未確認の通常価格は空欄。出典日が空欄の行は公開日不明の現行掲載を確認したもの。取得日と区別。</x:v>
      </x:c>
      <x:c r="G2" s="7" t="str">
        <x:v>J列が主比較に使う通常価格。K列は割引・過去・Driveawayなどの参考値で、主比較には使わない。未確認の通常価格は空欄。出典日が空欄の行は公開日不明の現行掲載を確認したもの。取得日と区別。</x:v>
      </x:c>
      <x:c r="H2" s="7" t="str">
        <x:v>J列が主比較に使う通常価格。K列は割引・過去・Driveawayなどの参考値で、主比較には使わない。未確認の通常価格は空欄。出典日が空欄の行は公開日不明の現行掲載を確認したもの。取得日と区別。</x:v>
      </x:c>
      <x:c r="I2" s="7" t="str">
        <x:v>J列が主比較に使う通常価格。K列は割引・過去・Driveawayなどの参考値で、主比較には使わない。未確認の通常価格は空欄。出典日が空欄の行は公開日不明の現行掲載を確認したもの。取得日と区別。</x:v>
      </x:c>
      <x:c r="J2" s="7" t="str">
        <x:v>J列が主比較に使う通常価格。K列は割引・過去・Driveawayなどの参考値で、主比較には使わない。未確認の通常価格は空欄。出典日が空欄の行は公開日不明の現行掲載を確認したもの。取得日と区別。</x:v>
      </x:c>
      <x:c r="K2" s="7" t="str">
        <x:v>J列が主比較に使う通常価格。K列は割引・過去・Driveawayなどの参考値で、主比較には使わない。未確認の通常価格は空欄。出典日が空欄の行は公開日不明の現行掲載を確認したもの。取得日と区別。</x:v>
      </x:c>
      <x:c r="L2" s="7" t="str">
        <x:v>J列が主比較に使う通常価格。K列は割引・過去・Driveawayなどの参考値で、主比較には使わない。未確認の通常価格は空欄。出典日が空欄の行は公開日不明の現行掲載を確認したもの。取得日と区別。</x:v>
      </x:c>
      <x:c r="M2" s="7" t="str">
        <x:v>J列が主比較に使う通常価格。K列は割引・過去・Driveawayなどの参考値で、主比較には使わない。未確認の通常価格は空欄。出典日が空欄の行は公開日不明の現行掲載を確認したもの。取得日と区別。</x:v>
      </x:c>
      <x:c r="N2" s="7" t="str">
        <x:v>J列が主比較に使う通常価格。K列は割引・過去・Driveawayなどの参考値で、主比較には使わない。未確認の通常価格は空欄。出典日が空欄の行は公開日不明の現行掲載を確認したもの。取得日と区別。</x:v>
      </x:c>
      <x:c r="O2" s="7" t="str">
        <x:v>J列が主比較に使う通常価格。K列は割引・過去・Driveawayなどの参考値で、主比較には使わない。未確認の通常価格は空欄。出典日が空欄の行は公開日不明の現行掲載を確認したもの。取得日と区別。</x:v>
      </x:c>
      <x:c r="P2" s="7" t="str">
        <x:v>J列が主比較に使う通常価格。K列は割引・過去・Driveawayなどの参考値で、主比較には使わない。未確認の通常価格は空欄。出典日が空欄の行は公開日不明の現行掲載を確認したもの。取得日と区別。</x:v>
      </x:c>
      <x:c r="Q2" s="7" t="str">
        <x:v>J列が主比較に使う通常価格。K列は割引・過去・Driveawayなどの参考値で、主比較には使わない。未確認の通常価格は空欄。出典日が空欄の行は公開日不明の現行掲載を確認したもの。取得日と区別。</x:v>
      </x:c>
      <x:c r="R2" s="7" t="str">
        <x:v>J列が主比較に使う通常価格。K列は割引・過去・Driveawayなどの参考値で、主比較には使わない。未確認の通常価格は空欄。出典日が空欄の行は公開日不明の現行掲載を確認したもの。取得日と区別。</x:v>
      </x:c>
      <x:c r="S2" s="7" t="str">
        <x:v>J列が主比較に使う通常価格。K列は割引・過去・Driveawayなどの参考値で、主比較には使わない。未確認の通常価格は空欄。出典日が空欄の行は公開日不明の現行掲載を確認したもの。取得日と区別。</x:v>
      </x:c>
      <x:c r="T2" s="7" t="str">
        <x:v>J列が主比較に使う通常価格。K列は割引・過去・Driveawayなどの参考値で、主比較には使わない。未確認の通常価格は空欄。出典日が空欄の行は公開日不明の現行掲載を確認したもの。取得日と区別。</x:v>
      </x:c>
      <x:c r="U2" s="7" t="str">
        <x:v>J列が主比較に使う通常価格。K列は割引・過去・Driveawayなどの参考値で、主比較には使わない。未確認の通常価格は空欄。出典日が空欄の行は公開日不明の現行掲載を確認したもの。取得日と区別。</x:v>
      </x:c>
      <x:c r="V2" s="2"/>
      <x:c r="W2" s="2"/>
      <x:c r="X2" s="2"/>
    </x:row>
    <x:row r="3" ht="24" customHeight="1">
      <x:c r="A3" s="7" t="str">
        <x:v>J列が主比較に使う通常価格。K列は割引・過去・Driveawayなどの参考値で、主比較には使わない。未確認の通常価格は空欄。出典日が空欄の行は公開日不明の現行掲載を確認したもの。取得日と区別。</x:v>
      </x:c>
      <x:c r="B3" s="7" t="str">
        <x:v>J列が主比較に使う通常価格。K列は割引・過去・Driveawayなどの参考値で、主比較には使わない。未確認の通常価格は空欄。出典日が空欄の行は公開日不明の現行掲載を確認したもの。取得日と区別。</x:v>
      </x:c>
      <x:c r="C3" s="7" t="str">
        <x:v>J列が主比較に使う通常価格。K列は割引・過去・Driveawayなどの参考値で、主比較には使わない。未確認の通常価格は空欄。出典日が空欄の行は公開日不明の現行掲載を確認したもの。取得日と区別。</x:v>
      </x:c>
      <x:c r="D3" s="7" t="str">
        <x:v>J列が主比較に使う通常価格。K列は割引・過去・Driveawayなどの参考値で、主比較には使わない。未確認の通常価格は空欄。出典日が空欄の行は公開日不明の現行掲載を確認したもの。取得日と区別。</x:v>
      </x:c>
      <x:c r="E3" s="7" t="str">
        <x:v>J列が主比較に使う通常価格。K列は割引・過去・Driveawayなどの参考値で、主比較には使わない。未確認の通常価格は空欄。出典日が空欄の行は公開日不明の現行掲載を確認したもの。取得日と区別。</x:v>
      </x:c>
      <x:c r="F3" s="7" t="str">
        <x:v>J列が主比較に使う通常価格。K列は割引・過去・Driveawayなどの参考値で、主比較には使わない。未確認の通常価格は空欄。出典日が空欄の行は公開日不明の現行掲載を確認したもの。取得日と区別。</x:v>
      </x:c>
      <x:c r="G3" s="7" t="str">
        <x:v>J列が主比較に使う通常価格。K列は割引・過去・Driveawayなどの参考値で、主比較には使わない。未確認の通常価格は空欄。出典日が空欄の行は公開日不明の現行掲載を確認したもの。取得日と区別。</x:v>
      </x:c>
      <x:c r="H3" s="7" t="str">
        <x:v>J列が主比較に使う通常価格。K列は割引・過去・Driveawayなどの参考値で、主比較には使わない。未確認の通常価格は空欄。出典日が空欄の行は公開日不明の現行掲載を確認したもの。取得日と区別。</x:v>
      </x:c>
      <x:c r="I3" s="7" t="str">
        <x:v>J列が主比較に使う通常価格。K列は割引・過去・Driveawayなどの参考値で、主比較には使わない。未確認の通常価格は空欄。出典日が空欄の行は公開日不明の現行掲載を確認したもの。取得日と区別。</x:v>
      </x:c>
      <x:c r="J3" s="7" t="str">
        <x:v>J列が主比較に使う通常価格。K列は割引・過去・Driveawayなどの参考値で、主比較には使わない。未確認の通常価格は空欄。出典日が空欄の行は公開日不明の現行掲載を確認したもの。取得日と区別。</x:v>
      </x:c>
      <x:c r="K3" s="7" t="str">
        <x:v>J列が主比較に使う通常価格。K列は割引・過去・Driveawayなどの参考値で、主比較には使わない。未確認の通常価格は空欄。出典日が空欄の行は公開日不明の現行掲載を確認したもの。取得日と区別。</x:v>
      </x:c>
      <x:c r="L3" s="7" t="str">
        <x:v>J列が主比較に使う通常価格。K列は割引・過去・Driveawayなどの参考値で、主比較には使わない。未確認の通常価格は空欄。出典日が空欄の行は公開日不明の現行掲載を確認したもの。取得日と区別。</x:v>
      </x:c>
      <x:c r="M3" s="7" t="str">
        <x:v>J列が主比較に使う通常価格。K列は割引・過去・Driveawayなどの参考値で、主比較には使わない。未確認の通常価格は空欄。出典日が空欄の行は公開日不明の現行掲載を確認したもの。取得日と区別。</x:v>
      </x:c>
      <x:c r="N3" s="7" t="str">
        <x:v>J列が主比較に使う通常価格。K列は割引・過去・Driveawayなどの参考値で、主比較には使わない。未確認の通常価格は空欄。出典日が空欄の行は公開日不明の現行掲載を確認したもの。取得日と区別。</x:v>
      </x:c>
      <x:c r="O3" s="7" t="str">
        <x:v>J列が主比較に使う通常価格。K列は割引・過去・Driveawayなどの参考値で、主比較には使わない。未確認の通常価格は空欄。出典日が空欄の行は公開日不明の現行掲載を確認したもの。取得日と区別。</x:v>
      </x:c>
      <x:c r="P3" s="7" t="str">
        <x:v>J列が主比較に使う通常価格。K列は割引・過去・Driveawayなどの参考値で、主比較には使わない。未確認の通常価格は空欄。出典日が空欄の行は公開日不明の現行掲載を確認したもの。取得日と区別。</x:v>
      </x:c>
      <x:c r="Q3" s="7" t="str">
        <x:v>J列が主比較に使う通常価格。K列は割引・過去・Driveawayなどの参考値で、主比較には使わない。未確認の通常価格は空欄。出典日が空欄の行は公開日不明の現行掲載を確認したもの。取得日と区別。</x:v>
      </x:c>
      <x:c r="R3" s="7" t="str">
        <x:v>J列が主比較に使う通常価格。K列は割引・過去・Driveawayなどの参考値で、主比較には使わない。未確認の通常価格は空欄。出典日が空欄の行は公開日不明の現行掲載を確認したもの。取得日と区別。</x:v>
      </x:c>
      <x:c r="S3" s="7" t="str">
        <x:v>J列が主比較に使う通常価格。K列は割引・過去・Driveawayなどの参考値で、主比較には使わない。未確認の通常価格は空欄。出典日が空欄の行は公開日不明の現行掲載を確認したもの。取得日と区別。</x:v>
      </x:c>
      <x:c r="T3" s="7" t="str">
        <x:v>J列が主比較に使う通常価格。K列は割引・過去・Driveawayなどの参考値で、主比較には使わない。未確認の通常価格は空欄。出典日が空欄の行は公開日不明の現行掲載を確認したもの。取得日と区別。</x:v>
      </x:c>
      <x:c r="U3" s="7" t="str">
        <x:v>J列が主比較に使う通常価格。K列は割引・過去・Driveawayなどの参考値で、主比較には使わない。未確認の通常価格は空欄。出典日が空欄の行は公開日不明の現行掲載を確認したもの。取得日と区別。</x:v>
      </x:c>
      <x:c r="V3" s="2"/>
      <x:c r="W3" s="2"/>
      <x:c r="X3" s="2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</x:row>
    <x:row r="5" ht="44" customHeight="1">
      <x:c r="A5" s="10" t="str">
        <x:v>ID</x:v>
      </x:c>
      <x:c r="B5" s="10" t="str">
        <x:v>市場</x:v>
      </x:c>
      <x:c r="C5" s="10" t="str">
        <x:v>企業グループ</x:v>
      </x:c>
      <x:c r="D5" s="10" t="str">
        <x:v>比較車種系統</x:v>
      </x:c>
      <x:c r="E5" s="10" t="str">
        <x:v>現地車名</x:v>
      </x:c>
      <x:c r="F5" s="10" t="str">
        <x:v>採用グレード</x:v>
      </x:c>
      <x:c r="G5" s="10" t="str">
        <x:v>動力</x:v>
      </x:c>
      <x:c r="H5" s="10" t="str">
        <x:v>電池 kWh</x:v>
      </x:c>
      <x:c r="I5" s="10" t="str">
        <x:v>通貨</x:v>
      </x:c>
      <x:c r="J5" s="10" t="str">
        <x:v>通常価格 / 現地</x:v>
      </x:c>
      <x:c r="K5" s="10" t="str">
        <x:v>参考価格 / 現地</x:v>
      </x:c>
      <x:c r="L5" s="10" t="str">
        <x:v>参考価格の条件</x:v>
      </x:c>
      <x:c r="M5" s="10" t="str">
        <x:v>税・費用基準</x:v>
      </x:c>
      <x:c r="N5" s="10" t="str">
        <x:v>情報主体</x:v>
      </x:c>
      <x:c r="O5" s="10" t="str">
        <x:v>資料日</x:v>
      </x:c>
      <x:c r="P5" s="10" t="str">
        <x:v>確認日</x:v>
      </x:c>
      <x:c r="Q5" s="10" t="str">
        <x:v>USD換算</x:v>
      </x:c>
      <x:c r="R5" s="10" t="str">
        <x:v>円換算 万円</x:v>
      </x:c>
      <x:c r="S5" s="10" t="str">
        <x:v>中国=100 指数</x:v>
      </x:c>
      <x:c r="T5" s="10" t="str">
        <x:v>確認状況</x:v>
      </x:c>
      <x:c r="U5" s="10" t="str">
        <x:v>比較上の注意</x:v>
      </x:c>
      <x:c r="V5" s="10" t="str"/>
      <x:c r="W5" s="10" t="str">
        <x:v>出典URL</x:v>
      </x:c>
      <x:c r="X5" s="10" t="str">
        <x:v>補足URL</x:v>
      </x:c>
    </x:row>
    <x:row r="6" ht="68" customHeight="1">
      <x:c r="A6" s="2" t="str">
        <x:v>DOL_VN</x:v>
      </x:c>
      <x:c r="B6" s="2" t="str">
        <x:v>ベトナム</x:v>
      </x:c>
      <x:c r="C6" s="2" t="str">
        <x:v>BYD</x:v>
      </x:c>
      <x:c r="D6" s="2" t="str">
        <x:v>Dolphin</x:v>
      </x:c>
      <x:c r="E6" s="2" t="str">
        <x:v>New Dolphin 2026</x:v>
      </x:c>
      <x:c r="F6" s="2" t="str">
        <x:v>単一仕様</x:v>
      </x:c>
      <x:c r="G6" s="2" t="str">
        <x:v>BEV</x:v>
      </x:c>
      <x:c r="H6" s="18" t="n">
        <x:v>50.25</x:v>
      </x:c>
      <x:c r="I6" s="2" t="str">
        <x:v>VND</x:v>
      </x:c>
      <x:c r="J6" s="19" t="n">
        <x:v>569000000</x:v>
      </x:c>
      <x:c r="K6" s="19"/>
      <x:c r="L6" s="20" t="str"/>
      <x:c r="M6" s="20" t="str">
        <x:v>通常価格 / 登録費等別</x:v>
      </x:c>
      <x:c r="N6" s="20" t="str">
        <x:v>正規販売店</x:v>
      </x:c>
      <x:c r="O6" s="21" t="d">
        <x:v>2026-09-21T00:00:00.000Z</x:v>
      </x:c>
      <x:c r="P6" s="21" t="d">
        <x:v>2026-10-07T00:00:00.000Z</x:v>
      </x:c>
      <x:c r="Q6" s="16" t="n">
        <x:f>IF(J6="","",J6*'為替'!$B$7/INDEX('為替'!$B$6:$B$17,MATCH(I6,'為替'!$A$6:$A$17,0)))</x:f>
        <x:v>22187.56092805615</x:v>
      </x:c>
      <x:c r="R6" s="17" t="n">
        <x:f>IF(J6="","",J6*'為替'!$B$8/INDEX('為替'!$B$6:$B$17,MATCH(I6,'為替'!$A$6:$A$17,0))/10000)</x:f>
        <x:v>350.7599591208806</x:v>
      </x:c>
      <x:c r="S6" s="17" t="n">
        <x:f>IF(OR(Q6="",INDEX('価格データ'!$J$6:$J$75,MATCH("DOL_CN",'価格データ'!$A$6:$A$75,0))=""),"",Q6/INDEX('価格データ'!$Q$6:$Q$75,MATCH("DOL_CN",'価格データ'!$A$6:$A$75,0))*100)</x:f>
        <x:v>149.05656359825468</x:v>
      </x:c>
      <x:c r="T6" s="20" t="str">
        <x:v>正規店掲載</x:v>
      </x:c>
      <x:c r="U6" s="20" t="str">
        <x:v>タイ製。先着1,000台499百万VNDの特価は終了。中国・欧州と仕様差あり。</x:v>
      </x:c>
      <x:c r="V6" s="20"/>
      <x:c r="W6" s="15" t="str">
        <x:v>https://bydgiaiphong.vn/tin-tuc/byd-dolphin-2026-danh-gia-chi-tiet-tu-thiet-ke-den-kha-nang-van-hanh.html</x:v>
      </x:c>
      <x:c r="X6" s="15" t="str">
        <x:v>https://www.bydvn.com.vn/du-toan-chi-phi</x:v>
      </x:c>
    </x:row>
    <x:row r="7" ht="68" customHeight="1">
      <x:c r="A7" s="2" t="str">
        <x:v>DOL_TH</x:v>
      </x:c>
      <x:c r="B7" s="2" t="str">
        <x:v>タイ</x:v>
      </x:c>
      <x:c r="C7" s="2" t="str">
        <x:v>BYD</x:v>
      </x:c>
      <x:c r="D7" s="2" t="str">
        <x:v>Dolphin</x:v>
      </x:c>
      <x:c r="E7" s="2" t="str">
        <x:v>Dolphin</x:v>
      </x:c>
      <x:c r="F7" s="2" t="str">
        <x:v>Standard Range</x:v>
      </x:c>
      <x:c r="G7" s="2" t="str">
        <x:v>BEV</x:v>
      </x:c>
      <x:c r="H7" s="18"/>
      <x:c r="I7" s="2" t="str">
        <x:v>THB</x:v>
      </x:c>
      <x:c r="J7" s="19" t="n">
        <x:v>599900</x:v>
      </x:c>
      <x:c r="K7" s="19" t="n">
        <x:v>509900</x:v>
      </x:c>
      <x:c r="L7" s="20" t="str">
        <x:v>9月キャンペーン / 期限切れ</x:v>
      </x:c>
      <x:c r="M7" s="20" t="str">
        <x:v>通常価格 / EV施策反映後</x:v>
      </x:c>
      <x:c r="N7" s="20" t="str">
        <x:v>メーカー・輸入者</x:v>
      </x:c>
      <x:c r="O7" s="21" t="d">
        <x:v>2026-09-17T00:00:00.000Z</x:v>
      </x:c>
      <x:c r="P7" s="21" t="d">
        <x:v>2026-10-07T00:00:00.000Z</x:v>
      </x:c>
      <x:c r="Q7" s="16" t="n">
        <x:f>IF(J7="","",J7*'為替'!$B$7/INDEX('為替'!$B$6:$B$17,MATCH(I7,'為替'!$A$6:$A$17,0)))</x:f>
        <x:v>17867.303890474683</x:v>
      </x:c>
      <x:c r="R7" s="17" t="n">
        <x:f>IF(J7="","",J7*'為替'!$B$8/INDEX('為替'!$B$6:$B$17,MATCH(I7,'為替'!$A$6:$A$17,0))/10000)</x:f>
        <x:v>282.4616370652289</x:v>
      </x:c>
      <x:c r="S7" s="17" t="n">
        <x:f>IF(OR(Q7="",INDEX('価格データ'!$J$6:$J$75,MATCH("DOL_CN",'価格データ'!$A$6:$A$75,0))=""),"",Q7/INDEX('価格データ'!$Q$6:$Q$75,MATCH("DOL_CN",'価格データ'!$A$6:$A$75,0))*100)</x:f>
        <x:v>120.03297376018558</x:v>
      </x:c>
      <x:c r="T7" s="20" t="str">
        <x:v>公式通常掲載</x:v>
      </x:c>
      <x:c r="U7" s="20" t="str">
        <x:v>9/16–9/30の告知にある割引前価格。10月の販売条件は要再確認。</x:v>
      </x:c>
      <x:c r="V7" s="20"/>
      <x:c r="W7" s="15" t="str">
        <x:v>https://reverautomotive.com/news/byd-dolphin-sept-2026-campaign</x:v>
      </x:c>
      <x:c r="X7" s="15" t="str"/>
    </x:row>
    <x:row r="8" ht="68" customHeight="1">
      <x:c r="A8" s="2" t="str">
        <x:v>DOL_ID</x:v>
      </x:c>
      <x:c r="B8" s="2" t="str">
        <x:v>インドネシア</x:v>
      </x:c>
      <x:c r="C8" s="2" t="str">
        <x:v>BYD</x:v>
      </x:c>
      <x:c r="D8" s="2" t="str">
        <x:v>Dolphin</x:v>
      </x:c>
      <x:c r="E8" s="2" t="str">
        <x:v>Dolphin</x:v>
      </x:c>
      <x:c r="F8" s="2" t="str">
        <x:v>Dynamic Standard Range</x:v>
      </x:c>
      <x:c r="G8" s="2" t="str">
        <x:v>BEV</x:v>
      </x:c>
      <x:c r="H8" s="18"/>
      <x:c r="I8" s="2" t="str">
        <x:v>IDR</x:v>
      </x:c>
      <x:c r="J8" s="19" t="n">
        <x:v>369000000</x:v>
      </x:c>
      <x:c r="K8" s="19"/>
      <x:c r="L8" s="20" t="str"/>
      <x:c r="M8" s="20" t="str">
        <x:v>OTR Jakarta</x:v>
      </x:c>
      <x:c r="N8" s="20" t="str">
        <x:v>正規販売店</x:v>
      </x:c>
      <x:c r="O8" s="21"/>
      <x:c r="P8" s="21" t="d">
        <x:v>2026-10-07T00:00:00.000Z</x:v>
      </x:c>
      <x:c r="Q8" s="16" t="n">
        <x:f>IF(J8="","",J8*'為替'!$B$7/INDEX('為替'!$B$6:$B$17,MATCH(I8,'為替'!$A$6:$A$17,0)))</x:f>
        <x:v>20682.926465321714</x:v>
      </x:c>
      <x:c r="R8" s="17" t="n">
        <x:f>IF(J8="","",J8*'為替'!$B$8/INDEX('為替'!$B$6:$B$17,MATCH(I8,'為替'!$A$6:$A$17,0))/10000)</x:f>
        <x:v>326.97340933508417</x:v>
      </x:c>
      <x:c r="S8" s="17" t="n">
        <x:f>IF(OR(Q8="",INDEX('価格データ'!$J$6:$J$75,MATCH("DOL_CN",'価格データ'!$A$6:$A$75,0))=""),"",Q8/INDEX('価格データ'!$Q$6:$Q$75,MATCH("DOL_CN",'価格データ'!$A$6:$A$75,0))*100)</x:f>
        <x:v>138.94839338459659</x:v>
      </x:c>
      <x:c r="T8" s="20" t="str">
        <x:v>正規店掲載</x:v>
      </x:c>
      <x:c r="U8" s="20" t="str">
        <x:v>正規店Harmony Salembaの通常掲載価格。</x:v>
      </x:c>
      <x:c r="V8" s="20"/>
      <x:c r="W8" s="15" t="str">
        <x:v>https://bydsalemba.id/variant/dolphin/dynamic</x:v>
      </x:c>
      <x:c r="X8" s="15" t="str">
        <x:v>https://bydsalemba.id/</x:v>
      </x:c>
    </x:row>
    <x:row r="9" ht="68" customHeight="1">
      <x:c r="A9" s="2" t="str">
        <x:v>DOL_PH</x:v>
      </x:c>
      <x:c r="B9" s="2" t="str">
        <x:v>フィリピン</x:v>
      </x:c>
      <x:c r="C9" s="2" t="str">
        <x:v>BYD</x:v>
      </x:c>
      <x:c r="D9" s="2" t="str">
        <x:v>Dolphin</x:v>
      </x:c>
      <x:c r="E9" s="2" t="str">
        <x:v>Dolphin</x:v>
      </x:c>
      <x:c r="F9" s="2" t="str">
        <x:v>単一掲載</x:v>
      </x:c>
      <x:c r="G9" s="2" t="str">
        <x:v>BEV</x:v>
      </x:c>
      <x:c r="H9" s="18"/>
      <x:c r="I9" s="2" t="str">
        <x:v>PHP</x:v>
      </x:c>
      <x:c r="J9" s="19" t="n">
        <x:v>1438000</x:v>
      </x:c>
      <x:c r="K9" s="19"/>
      <x:c r="L9" s="20" t="str"/>
      <x:c r="M9" s="20" t="str">
        <x:v>SRP / 地域物流費別</x:v>
      </x:c>
      <x:c r="N9" s="20" t="str">
        <x:v>メーカー・輸入者</x:v>
      </x:c>
      <x:c r="O9" s="21" t="d">
        <x:v>2026-07-28T00:00:00.000Z</x:v>
      </x:c>
      <x:c r="P9" s="21" t="d">
        <x:v>2026-10-07T00:00:00.000Z</x:v>
      </x:c>
      <x:c r="Q9" s="16" t="n">
        <x:f>IF(J9="","",J9*'為替'!$B$7/INDEX('為替'!$B$6:$B$17,MATCH(I9,'為替'!$A$6:$A$17,0)))</x:f>
        <x:v>22919.891940822043</x:v>
      </x:c>
      <x:c r="R9" s="17" t="n">
        <x:f>IF(J9="","",J9*'為替'!$B$8/INDEX('為替'!$B$6:$B$17,MATCH(I9,'為替'!$A$6:$A$17,0))/10000)</x:f>
        <x:v>362.337274758847</x:v>
      </x:c>
      <x:c r="S9" s="17" t="n">
        <x:f>IF(OR(Q9="",INDEX('価格データ'!$J$6:$J$75,MATCH("DOL_CN",'価格データ'!$A$6:$A$75,0))=""),"",Q9/INDEX('価格データ'!$Q$6:$Q$75,MATCH("DOL_CN",'価格データ'!$A$6:$A$75,0))*100)</x:f>
        <x:v>153.9763808117494</x:v>
      </x:c>
      <x:c r="T9" s="20" t="str">
        <x:v>公式通常掲載</x:v>
      </x:c>
      <x:c r="U9" s="20" t="str"/>
      <x:c r="V9" s="20"/>
      <x:c r="W9" s="15" t="str">
        <x:v>https://bydcarsphilippines.com/pricelist</x:v>
      </x:c>
      <x:c r="X9" s="15" t="str"/>
    </x:row>
    <x:row r="10" ht="68" customHeight="1">
      <x:c r="A10" s="2" t="str">
        <x:v>DOL_MY</x:v>
      </x:c>
      <x:c r="B10" s="2" t="str">
        <x:v>マレーシア</x:v>
      </x:c>
      <x:c r="C10" s="2" t="str">
        <x:v>BYD</x:v>
      </x:c>
      <x:c r="D10" s="2" t="str">
        <x:v>Dolphin</x:v>
      </x:c>
      <x:c r="E10" s="2" t="str">
        <x:v>Dolphin</x:v>
      </x:c>
      <x:c r="F10" s="2" t="str">
        <x:v>最低掲載価格</x:v>
      </x:c>
      <x:c r="G10" s="2" t="str">
        <x:v>BEV</x:v>
      </x:c>
      <x:c r="H10" s="18"/>
      <x:c r="I10" s="2" t="str">
        <x:v>MYR</x:v>
      </x:c>
      <x:c r="J10" s="19" t="n">
        <x:v>100000</x:v>
      </x:c>
      <x:c r="K10" s="19"/>
      <x:c r="L10" s="20" t="str"/>
      <x:c r="M10" s="20" t="str">
        <x:v>公式Starting price / 費用内訳未確認</x:v>
      </x:c>
      <x:c r="N10" s="20" t="str">
        <x:v>メーカー・輸入者</x:v>
      </x:c>
      <x:c r="O10" s="21"/>
      <x:c r="P10" s="21" t="d">
        <x:v>2026-10-07T00:00:00.000Z</x:v>
      </x:c>
      <x:c r="Q10" s="16" t="n">
        <x:f>IF(J10="","",J10*'為替'!$B$7/INDEX('為替'!$B$6:$B$17,MATCH(I10,'為替'!$A$6:$A$17,0)))</x:f>
        <x:v>24479.732371725248</x:v>
      </x:c>
      <x:c r="R10" s="17" t="n">
        <x:f>IF(J10="","",J10*'為替'!$B$8/INDEX('為替'!$B$6:$B$17,MATCH(I10,'為替'!$A$6:$A$17,0))/10000)</x:f>
        <x:v>386.9965677542686</x:v>
      </x:c>
      <x:c r="S10" s="17" t="n">
        <x:f>IF(OR(Q10="",INDEX('価格データ'!$J$6:$J$75,MATCH("DOL_CN",'価格データ'!$A$6:$A$75,0))=""),"",Q10/INDEX('価格データ'!$Q$6:$Q$75,MATCH("DOL_CN",'価格データ'!$A$6:$A$75,0))*100)</x:f>
        <x:v>164.4554260365019</x:v>
      </x:c>
      <x:c r="T10" s="20" t="str">
        <x:v>公式通常掲載</x:v>
      </x:c>
      <x:c r="U10" s="20" t="str">
        <x:v>現行ページの100,000を採用。旧99,900は採用せず。</x:v>
      </x:c>
      <x:c r="V10" s="20"/>
      <x:c r="W10" s="15" t="str">
        <x:v>https://byd.simemotors.my/models/byd-dolphin.html</x:v>
      </x:c>
      <x:c r="X10" s="15" t="str"/>
    </x:row>
    <x:row r="11" ht="68" customHeight="1">
      <x:c r="A11" s="2" t="str">
        <x:v>DOL_SG</x:v>
      </x:c>
      <x:c r="B11" s="2" t="str">
        <x:v>シンガポール</x:v>
      </x:c>
      <x:c r="C11" s="2" t="str">
        <x:v>BYD</x:v>
      </x:c>
      <x:c r="D11" s="2" t="str">
        <x:v>Dolphin</x:v>
      </x:c>
      <x:c r="E11" s="2" t="str">
        <x:v>Dolphin</x:v>
      </x:c>
      <x:c r="F11" s="2" t="str">
        <x:v>Premium / COE A</x:v>
      </x:c>
      <x:c r="G11" s="2" t="str">
        <x:v>BEV</x:v>
      </x:c>
      <x:c r="H11" s="18"/>
      <x:c r="I11" s="2" t="str">
        <x:v>SGD</x:v>
      </x:c>
      <x:c r="J11" s="19" t="n">
        <x:v>256888</x:v>
      </x:c>
      <x:c r="K11" s="19" t="n">
        <x:v>181888</x:v>
      </x:c>
      <x:c r="L11" s="20" t="str">
        <x:v>Savers非保証COE / 融資・保険・下取条件付</x:v>
      </x:c>
      <x:c r="M11" s="20" t="str">
        <x:v>List Price / COE市場・適用補助後</x:v>
      </x:c>
      <x:c r="N11" s="20" t="str">
        <x:v>メーカー・輸入者</x:v>
      </x:c>
      <x:c r="O11" s="21" t="d">
        <x:v>2026-09-24T00:00:00.000Z</x:v>
      </x:c>
      <x:c r="P11" s="21" t="d">
        <x:v>2026-10-07T00:00:00.000Z</x:v>
      </x:c>
      <x:c r="Q11" s="16" t="n">
        <x:f>IF(J11="","",J11*'為替'!$B$7/INDEX('為替'!$B$6:$B$17,MATCH(I11,'為替'!$A$6:$A$17,0)))</x:f>
        <x:v>201144.44635908838</x:v>
      </x:c>
      <x:c r="R11" s="17" t="n">
        <x:f>IF(J11="","",J11*'為替'!$B$8/INDEX('為替'!$B$6:$B$17,MATCH(I11,'為替'!$A$6:$A$17,0))/10000)</x:f>
        <x:v>3179.8636186770427</x:v>
      </x:c>
      <x:c r="S11" s="17" t="n">
        <x:f>IF(OR(Q11="",INDEX('価格データ'!$J$6:$J$75,MATCH("DOL_CN",'価格データ'!$A$6:$A$75,0))=""),"",Q11/INDEX('価格データ'!$Q$6:$Q$75,MATCH("DOL_CN",'価格データ'!$A$6:$A$75,0))*100)</x:f>
        <x:v>1351.2931889348458</x:v>
      </x:c>
      <x:c r="T11" s="20" t="str">
        <x:v>公式通常掲載</x:v>
      </x:c>
      <x:c r="U11" s="20" t="str">
        <x:v>Sime E-Auto公式価格表p1。9/24–10/7正午有効。条件付パッケージのfromは除外。</x:v>
      </x:c>
      <x:c r="V11" s="20"/>
      <x:c r="W11" s="15" t="str">
        <x:v>https://media.i-sgcm.com/public/new-cars/pricelist/81/2026-09-24.pdf</x:v>
      </x:c>
      <x:c r="X11" s="15" t="str"/>
    </x:row>
    <x:row r="12" ht="68" customHeight="1">
      <x:c r="A12" s="2" t="str">
        <x:v>DOL_CN</x:v>
      </x:c>
      <x:c r="B12" s="2" t="str">
        <x:v>中国</x:v>
      </x:c>
      <x:c r="C12" s="2" t="str">
        <x:v>BYD</x:v>
      </x:c>
      <x:c r="D12" s="2" t="str">
        <x:v>Dolphin</x:v>
      </x:c>
      <x:c r="E12" s="2" t="str">
        <x:v>海豚</x:v>
      </x:c>
      <x:c r="F12" s="2" t="str">
        <x:v>2025款 / 最低掲載</x:v>
      </x:c>
      <x:c r="G12" s="2" t="str">
        <x:v>BEV</x:v>
      </x:c>
      <x:c r="H12" s="18"/>
      <x:c r="I12" s="2" t="str">
        <x:v>CNY</x:v>
      </x:c>
      <x:c r="J12" s="19" t="n">
        <x:v>99800</x:v>
      </x:c>
      <x:c r="K12" s="19"/>
      <x:c r="L12" s="20" t="str"/>
      <x:c r="M12" s="20" t="str">
        <x:v>メーカー指導価格 / 登録・購入税別</x:v>
      </x:c>
      <x:c r="N12" s="20" t="str">
        <x:v>メーカー・輸入者</x:v>
      </x:c>
      <x:c r="O12" s="21"/>
      <x:c r="P12" s="21" t="d">
        <x:v>2026-10-07T00:00:00.000Z</x:v>
      </x:c>
      <x:c r="Q12" s="16" t="n">
        <x:f>IF(J12="","",J12*'為替'!$B$7/INDEX('為替'!$B$6:$B$17,MATCH(I12,'為替'!$A$6:$A$17,0)))</x:f>
        <x:v>14885.32969796437</x:v>
      </x:c>
      <x:c r="R12" s="17" t="n">
        <x:f>IF(J12="","",J12*'為替'!$B$8/INDEX('為替'!$B$6:$B$17,MATCH(I12,'為替'!$A$6:$A$17,0))/10000)</x:f>
        <x:v>235.32003600074117</x:v>
      </x:c>
      <x:c r="S12" s="17" t="n">
        <x:f>IF(OR(Q12="",INDEX('価格データ'!$J$6:$J$75,MATCH("DOL_CN",'価格データ'!$A$6:$A$75,0))=""),"",Q12/INDEX('価格データ'!$Q$6:$Q$75,MATCH("DOL_CN",'価格データ'!$A$6:$A$75,0))*100)</x:f>
        <x:v>100</x:v>
      </x:c>
      <x:c r="T12" s="20" t="str">
        <x:v>公式通常掲載</x:v>
      </x:c>
      <x:c r="U12" s="20" t="str">
        <x:v>公式ページの2025款価格。輸出仕様と電池・装備が完全一致する比較ではない。</x:v>
      </x:c>
      <x:c r="V12" s="20"/>
      <x:c r="W12" s="15" t="str">
        <x:v>https://www.byd.com/cn/ocean-home/models/haitun/2025haitun</x:v>
      </x:c>
      <x:c r="X12" s="15" t="str"/>
    </x:row>
    <x:row r="13" ht="68" customHeight="1">
      <x:c r="A13" s="2" t="str">
        <x:v>DOL_DE</x:v>
      </x:c>
      <x:c r="B13" s="2" t="str">
        <x:v>ドイツ</x:v>
      </x:c>
      <x:c r="C13" s="2" t="str">
        <x:v>BYD</x:v>
      </x:c>
      <x:c r="D13" s="2" t="str">
        <x:v>Dolphin</x:v>
      </x:c>
      <x:c r="E13" s="2" t="str">
        <x:v>Dolphin</x:v>
      </x:c>
      <x:c r="F13" s="2" t="str">
        <x:v>Comfort</x:v>
      </x:c>
      <x:c r="G13" s="2" t="str">
        <x:v>BEV</x:v>
      </x:c>
      <x:c r="H13" s="18"/>
      <x:c r="I13" s="2" t="str">
        <x:v>EUR</x:v>
      </x:c>
      <x:c r="J13" s="19" t="n">
        <x:v>33990</x:v>
      </x:c>
      <x:c r="K13" s="19"/>
      <x:c r="L13" s="20" t="str"/>
      <x:c r="M13" s="20" t="str">
        <x:v>VAT込 / 配送・登録別 / 割引前</x:v>
      </x:c>
      <x:c r="N13" s="20" t="str">
        <x:v>メーカー・輸入者</x:v>
      </x:c>
      <x:c r="O13" s="21"/>
      <x:c r="P13" s="21" t="d">
        <x:v>2026-10-07T00:00:00.000Z</x:v>
      </x:c>
      <x:c r="Q13" s="16" t="n">
        <x:f>IF(J13="","",J13*'為替'!$B$7/INDEX('為替'!$B$6:$B$17,MATCH(I13,'為替'!$A$6:$A$17,0)))</x:f>
        <x:v>38303.331</x:v>
      </x:c>
      <x:c r="R13" s="17" t="n">
        <x:f>IF(J13="","",J13*'為替'!$B$8/INDEX('為替'!$B$6:$B$17,MATCH(I13,'為替'!$A$6:$A$17,0))/10000)</x:f>
        <x:v>605.53185</x:v>
      </x:c>
      <x:c r="S13" s="17" t="n">
        <x:f>IF(OR(Q13="",INDEX('価格データ'!$J$6:$J$75,MATCH("DOL_CN",'価格データ'!$A$6:$A$75,0))=""),"",Q13/INDEX('価格データ'!$Q$6:$Q$75,MATCH("DOL_CN",'価格データ'!$A$6:$A$75,0))*100)</x:f>
        <x:v>257.3226913827655</x:v>
      </x:c>
      <x:c r="T13" s="20" t="str">
        <x:v>公式通常掲載</x:v>
      </x:c>
      <x:c r="U13" s="20" t="str">
        <x:v>10/2026の公式金融条件に記載する割引前価格。政府補助最大6,000やE-Bonus控除前。</x:v>
      </x:c>
      <x:c r="V13" s="20"/>
      <x:c r="W13" s="15" t="str">
        <x:v>https://www.byd.com/de/angebot-2026/dolphin</x:v>
      </x:c>
      <x:c r="X13" s="15" t="str"/>
    </x:row>
    <x:row r="14" ht="68" customHeight="1">
      <x:c r="A14" s="2" t="str">
        <x:v>DOL_BR</x:v>
      </x:c>
      <x:c r="B14" s="2" t="str">
        <x:v>ブラジル</x:v>
      </x:c>
      <x:c r="C14" s="2" t="str">
        <x:v>BYD</x:v>
      </x:c>
      <x:c r="D14" s="2" t="str">
        <x:v>Dolphin</x:v>
      </x:c>
      <x:c r="E14" s="2" t="str">
        <x:v>Dolphin</x:v>
      </x:c>
      <x:c r="F14" s="2" t="str">
        <x:v>GS 2026/2027</x:v>
      </x:c>
      <x:c r="G14" s="2" t="str">
        <x:v>BEV</x:v>
      </x:c>
      <x:c r="H14" s="18"/>
      <x:c r="I14" s="2" t="str">
        <x:v>BRL</x:v>
      </x:c>
      <x:c r="J14" s="19" t="n">
        <x:v>149990</x:v>
      </x:c>
      <x:c r="K14" s="19"/>
      <x:c r="L14" s="20" t="str"/>
      <x:c r="M14" s="20" t="str">
        <x:v>Preço sugerido / 割引前</x:v>
      </x:c>
      <x:c r="N14" s="20" t="str">
        <x:v>メーカー・輸入者</x:v>
      </x:c>
      <x:c r="O14" s="21"/>
      <x:c r="P14" s="21" t="d">
        <x:v>2026-10-07T00:00:00.000Z</x:v>
      </x:c>
      <x:c r="Q14" s="16" t="n">
        <x:f>IF(J14="","",J14*'為替'!$B$7/INDEX('為替'!$B$6:$B$17,MATCH(I14,'為替'!$A$6:$A$17,0)))</x:f>
        <x:v>30187.660695468916</x:v>
      </x:c>
      <x:c r="R14" s="17" t="n">
        <x:f>IF(J14="","",J14*'為替'!$B$8/INDEX('為替'!$B$6:$B$17,MATCH(I14,'為替'!$A$6:$A$17,0))/10000)</x:f>
        <x:v>477.2323855619653</x:v>
      </x:c>
      <x:c r="S14" s="17" t="n">
        <x:f>IF(OR(Q14="",INDEX('価格データ'!$J$6:$J$75,MATCH("DOL_CN",'価格データ'!$A$6:$A$75,0))=""),"",Q14/INDEX('価格データ'!$Q$6:$Q$75,MATCH("DOL_CN",'価格データ'!$A$6:$A$75,0))*100)</x:f>
        <x:v>202.8014246778639</x:v>
      </x:c>
      <x:c r="T14" s="20" t="str">
        <x:v>公式通常掲載</x:v>
      </x:c>
      <x:c r="U14" s="20" t="str">
        <x:v>公式の2026/2027条件にある希望小売価格。Dolphin MiniやPlusとは区別。</x:v>
      </x:c>
      <x:c r="V14" s="20"/>
      <x:c r="W14" s="15" t="str">
        <x:v>https://www.byd.com/br/historico-condicoes</x:v>
      </x:c>
      <x:c r="X14" s="15" t="str"/>
    </x:row>
    <x:row r="15" ht="68" customHeight="1">
      <x:c r="A15" s="2" t="str">
        <x:v>DOL_AU</x:v>
      </x:c>
      <x:c r="B15" s="2" t="str">
        <x:v>豪州</x:v>
      </x:c>
      <x:c r="C15" s="2" t="str">
        <x:v>BYD</x:v>
      </x:c>
      <x:c r="D15" s="2" t="str">
        <x:v>Dolphin</x:v>
      </x:c>
      <x:c r="E15" s="2" t="str">
        <x:v>Dolphin</x:v>
      </x:c>
      <x:c r="F15" s="2" t="str">
        <x:v>Essential</x:v>
      </x:c>
      <x:c r="G15" s="2" t="str">
        <x:v>BEV</x:v>
      </x:c>
      <x:c r="H15" s="18"/>
      <x:c r="I15" s="2" t="str">
        <x:v>AUD</x:v>
      </x:c>
      <x:c r="J15" s="19" t="n">
        <x:v>29990</x:v>
      </x:c>
      <x:c r="K15" s="19"/>
      <x:c r="L15" s="20" t="str"/>
      <x:c r="M15" s="20" t="str">
        <x:v>車両本体価格 / on-road別</x:v>
      </x:c>
      <x:c r="N15" s="20" t="str">
        <x:v>メーカー・輸入者</x:v>
      </x:c>
      <x:c r="O15" s="21"/>
      <x:c r="P15" s="21" t="d">
        <x:v>2026-10-07T00:00:00.000Z</x:v>
      </x:c>
      <x:c r="Q15" s="16" t="n">
        <x:f>IF(J15="","",J15*'為替'!$B$7/INDEX('為替'!$B$6:$B$17,MATCH(I15,'為替'!$A$6:$A$17,0)))</x:f>
        <x:v>20939.114622057</x:v>
      </x:c>
      <x:c r="R15" s="17" t="n">
        <x:f>IF(J15="","",J15*'為替'!$B$8/INDEX('為替'!$B$6:$B$17,MATCH(I15,'為替'!$A$6:$A$17,0))/10000)</x:f>
        <x:v>331.02345105328374</x:v>
      </x:c>
      <x:c r="S15" s="17" t="n">
        <x:f>IF(OR(Q15="",INDEX('価格データ'!$J$6:$J$75,MATCH("DOL_CN",'価格データ'!$A$6:$A$75,0))=""),"",Q15/INDEX('価格データ'!$Q$6:$Q$75,MATCH("DOL_CN",'価格データ'!$A$6:$A$75,0))*100)</x:f>
        <x:v>140.6694715329047</x:v>
      </x:c>
      <x:c r="T15" s="20" t="str">
        <x:v>公式通常掲載</x:v>
      </x:c>
      <x:c r="U15" s="20" t="str">
        <x:v>メーカーサイトからリンクする販売Configurator。所在地入力前のベース価格。</x:v>
      </x:c>
      <x:c r="V15" s="20"/>
      <x:c r="W15" s="15" t="str">
        <x:v>https://evdealergroup-byd.com.au/configurator/byd-dolphin</x:v>
      </x:c>
      <x:c r="X15" s="15" t="str"/>
    </x:row>
    <x:row r="16" ht="68" customHeight="1">
      <x:c r="A16" s="2" t="str">
        <x:v>ATT_VN</x:v>
      </x:c>
      <x:c r="B16" s="2" t="str">
        <x:v>ベトナム</x:v>
      </x:c>
      <x:c r="C16" s="2" t="str">
        <x:v>BYD</x:v>
      </x:c>
      <x:c r="D16" s="2" t="str">
        <x:v>Atto 3 / Yuan Plus</x:v>
      </x:c>
      <x:c r="E16" s="2" t="str">
        <x:v>Atto 3</x:v>
      </x:c>
      <x:c r="F16" s="2" t="str">
        <x:v>最低掲載価格</x:v>
      </x:c>
      <x:c r="G16" s="2" t="str">
        <x:v>BEV</x:v>
      </x:c>
      <x:c r="H16" s="18"/>
      <x:c r="I16" s="2" t="str">
        <x:v>VND</x:v>
      </x:c>
      <x:c r="J16" s="19" t="n">
        <x:v>766000000</x:v>
      </x:c>
      <x:c r="K16" s="19"/>
      <x:c r="L16" s="20" t="str"/>
      <x:c r="M16" s="20" t="str">
        <x:v>通常from / 登録費等別</x:v>
      </x:c>
      <x:c r="N16" s="20" t="str">
        <x:v>正規販売店</x:v>
      </x:c>
      <x:c r="O16" s="21"/>
      <x:c r="P16" s="21" t="d">
        <x:v>2026-10-07T00:00:00.000Z</x:v>
      </x:c>
      <x:c r="Q16" s="16" t="n">
        <x:f>IF(J16="","",J16*'為替'!$B$7/INDEX('為替'!$B$6:$B$17,MATCH(I16,'為替'!$A$6:$A$17,0)))</x:f>
        <x:v>29869.37024761162</x:v>
      </x:c>
      <x:c r="R16" s="17" t="n">
        <x:f>IF(J16="","",J16*'為替'!$B$8/INDEX('為替'!$B$6:$B$17,MATCH(I16,'為替'!$A$6:$A$17,0))/10000)</x:f>
        <x:v>472.2005776565809</x:v>
      </x:c>
      <x:c r="S16" s="17" t="n">
        <x:f>IF(OR(Q16="",INDEX('価格データ'!$J$6:$J$75,MATCH("ATT_CN",'価格データ'!$A$6:$A$75,0))=""),"",Q16/INDEX('価格データ'!$Q$6:$Q$75,MATCH("ATT_CN",'価格データ'!$A$6:$A$75,0))*100)</x:f>
        <x:v>167.02403300470155</x:v>
      </x:c>
      <x:c r="T16" s="20" t="str">
        <x:v>正規店掲載</x:v>
      </x:c>
      <x:c r="U16" s="20" t="str">
        <x:v>BITCARの掲載価格。最安グレード名は当該価格表に記載なし。</x:v>
      </x:c>
      <x:c r="V16" s="20"/>
      <x:c r="W16" s="15" t="str">
        <x:v>https://www.bydvn.com.vn/du-toan-chi-phi</x:v>
      </x:c>
      <x:c r="X16" s="15" t="str"/>
    </x:row>
    <x:row r="17" ht="68" customHeight="1">
      <x:c r="A17" s="2" t="str">
        <x:v>ATT_TH</x:v>
      </x:c>
      <x:c r="B17" s="2" t="str">
        <x:v>タイ</x:v>
      </x:c>
      <x:c r="C17" s="2" t="str">
        <x:v>BYD</x:v>
      </x:c>
      <x:c r="D17" s="2" t="str">
        <x:v>Atto 3 / Yuan Plus</x:v>
      </x:c>
      <x:c r="E17" s="2" t="str">
        <x:v>Atto 3</x:v>
      </x:c>
      <x:c r="F17" s="2" t="str">
        <x:v>Premium</x:v>
      </x:c>
      <x:c r="G17" s="2" t="str">
        <x:v>BEV</x:v>
      </x:c>
      <x:c r="H17" s="18"/>
      <x:c r="I17" s="2" t="str">
        <x:v>THB</x:v>
      </x:c>
      <x:c r="J17" s="19" t="n">
        <x:v>799900</x:v>
      </x:c>
      <x:c r="K17" s="19" t="n">
        <x:v>669900</x:v>
      </x:c>
      <x:c r="L17" s="20" t="str">
        <x:v>9月キャンペーン / 期限切れ</x:v>
      </x:c>
      <x:c r="M17" s="20" t="str">
        <x:v>通常価格 / EV施策反映後</x:v>
      </x:c>
      <x:c r="N17" s="20" t="str">
        <x:v>メーカー・輸入者</x:v>
      </x:c>
      <x:c r="O17" s="21" t="d">
        <x:v>2026-09-03T00:00:00.000Z</x:v>
      </x:c>
      <x:c r="P17" s="21" t="d">
        <x:v>2026-10-07T00:00:00.000Z</x:v>
      </x:c>
      <x:c r="Q17" s="16" t="n">
        <x:f>IF(J17="","",J17*'為替'!$B$7/INDEX('為替'!$B$6:$B$17,MATCH(I17,'為替'!$A$6:$A$17,0)))</x:f>
        <x:v>23824.064647425734</x:v>
      </x:c>
      <x:c r="R17" s="17" t="n">
        <x:f>IF(J17="","",J17*'為替'!$B$8/INDEX('為替'!$B$6:$B$17,MATCH(I17,'為替'!$A$6:$A$17,0))/10000)</x:f>
        <x:v>376.63121101596363</x:v>
      </x:c>
      <x:c r="S17" s="17" t="n">
        <x:f>IF(OR(Q17="",INDEX('価格データ'!$J$6:$J$75,MATCH("ATT_CN",'価格データ'!$A$6:$A$75,0))=""),"",Q17/INDEX('価格データ'!$Q$6:$Q$75,MATCH("ATT_CN",'価格データ'!$A$6:$A$75,0))*100)</x:f>
        <x:v>133.21979429063987</x:v>
      </x:c>
      <x:c r="T17" s="20" t="str">
        <x:v>公式通常掲載</x:v>
      </x:c>
      <x:c r="U17" s="20" t="str">
        <x:v>9月告知の通常価格。EVOではない。10月の販売条件は要再確認。</x:v>
      </x:c>
      <x:c r="V17" s="20"/>
      <x:c r="W17" s="15" t="str">
        <x:v>https://www.reverautomotive.com/news/byd-atto-3-sep-2026-campaign</x:v>
      </x:c>
      <x:c r="X17" s="15" t="str"/>
    </x:row>
    <x:row r="18" ht="68" customHeight="1">
      <x:c r="A18" s="2" t="str">
        <x:v>ATT_ID</x:v>
      </x:c>
      <x:c r="B18" s="2" t="str">
        <x:v>インドネシア</x:v>
      </x:c>
      <x:c r="C18" s="2" t="str">
        <x:v>BYD</x:v>
      </x:c>
      <x:c r="D18" s="2" t="str">
        <x:v>Atto 3 / Yuan Plus</x:v>
      </x:c>
      <x:c r="E18" s="2" t="str">
        <x:v>Atto 3</x:v>
      </x:c>
      <x:c r="F18" s="2" t="str">
        <x:v>Advanced Plus</x:v>
      </x:c>
      <x:c r="G18" s="2" t="str">
        <x:v>BEV</x:v>
      </x:c>
      <x:c r="H18" s="18"/>
      <x:c r="I18" s="2" t="str">
        <x:v>IDR</x:v>
      </x:c>
      <x:c r="J18" s="19" t="n">
        <x:v>415000000</x:v>
      </x:c>
      <x:c r="K18" s="19"/>
      <x:c r="L18" s="20" t="str"/>
      <x:c r="M18" s="20" t="str">
        <x:v>OTR Jakarta</x:v>
      </x:c>
      <x:c r="N18" s="20" t="str">
        <x:v>正規販売店</x:v>
      </x:c>
      <x:c r="O18" s="21"/>
      <x:c r="P18" s="21" t="d">
        <x:v>2026-10-07T00:00:00.000Z</x:v>
      </x:c>
      <x:c r="Q18" s="16" t="n">
        <x:f>IF(J18="","",J18*'為替'!$B$7/INDEX('為替'!$B$6:$B$17,MATCH(I18,'為替'!$A$6:$A$17,0)))</x:f>
        <x:v>23261.28586208269</x:v>
      </x:c>
      <x:c r="R18" s="17" t="n">
        <x:f>IF(J18="","",J18*'為替'!$B$8/INDEX('為替'!$B$6:$B$17,MATCH(I18,'為替'!$A$6:$A$17,0))/10000)</x:f>
        <x:v>367.73432215192395</x:v>
      </x:c>
      <x:c r="S18" s="17" t="n">
        <x:f>IF(OR(Q18="",INDEX('価格データ'!$J$6:$J$75,MATCH("ATT_CN",'価格データ'!$A$6:$A$75,0))=""),"",Q18/INDEX('価格データ'!$Q$6:$Q$75,MATCH("ATT_CN",'価格データ'!$A$6:$A$75,0))*100)</x:f>
        <x:v>130.0728386756316</x:v>
      </x:c>
      <x:c r="T18" s="20" t="str">
        <x:v>正規店掲載</x:v>
      </x:c>
      <x:c r="U18" s="20" t="str">
        <x:v>現行価格表の最安。旧Advanced STD 390百万の他店掲載もあり、在庫・販売継続は未確定。</x:v>
      </x:c>
      <x:c r="V18" s="20"/>
      <x:c r="W18" s="15" t="str">
        <x:v>https://bydsalemba.id/</x:v>
      </x:c>
      <x:c r="X18" s="15" t="str"/>
    </x:row>
    <x:row r="19" ht="68" customHeight="1">
      <x:c r="A19" s="2" t="str">
        <x:v>ATT_PH</x:v>
      </x:c>
      <x:c r="B19" s="2" t="str">
        <x:v>フィリピン</x:v>
      </x:c>
      <x:c r="C19" s="2" t="str">
        <x:v>BYD</x:v>
      </x:c>
      <x:c r="D19" s="2" t="str">
        <x:v>Atto 3 / Yuan Plus</x:v>
      </x:c>
      <x:c r="E19" s="2" t="str">
        <x:v>Atto 3</x:v>
      </x:c>
      <x:c r="F19" s="2" t="str">
        <x:v>Dynamic</x:v>
      </x:c>
      <x:c r="G19" s="2" t="str">
        <x:v>BEV</x:v>
      </x:c>
      <x:c r="H19" s="18"/>
      <x:c r="I19" s="2" t="str">
        <x:v>PHP</x:v>
      </x:c>
      <x:c r="J19" s="19" t="n">
        <x:v>1638000</x:v>
      </x:c>
      <x:c r="K19" s="19"/>
      <x:c r="L19" s="20" t="str"/>
      <x:c r="M19" s="20" t="str">
        <x:v>SRP / 地域物流費別</x:v>
      </x:c>
      <x:c r="N19" s="20" t="str">
        <x:v>メーカー・輸入者</x:v>
      </x:c>
      <x:c r="O19" s="21" t="d">
        <x:v>2026-07-28T00:00:00.000Z</x:v>
      </x:c>
      <x:c r="P19" s="21" t="d">
        <x:v>2026-10-07T00:00:00.000Z</x:v>
      </x:c>
      <x:c r="Q19" s="16" t="n">
        <x:f>IF(J19="","",J19*'為替'!$B$7/INDEX('為替'!$B$6:$B$17,MATCH(I19,'為替'!$A$6:$A$17,0)))</x:f>
        <x:v>26107.63769058867</x:v>
      </x:c>
      <x:c r="R19" s="17" t="n">
        <x:f>IF(J19="","",J19*'為替'!$B$8/INDEX('為替'!$B$6:$B$17,MATCH(I19,'為替'!$A$6:$A$17,0))/10000)</x:f>
        <x:v>412.73188877259486</x:v>
      </x:c>
      <x:c r="S19" s="17" t="n">
        <x:f>IF(OR(Q19="",INDEX('価格データ'!$J$6:$J$75,MATCH("ATT_CN",'価格データ'!$A$6:$A$75,0))=""),"",Q19/INDEX('価格データ'!$Q$6:$Q$75,MATCH("ATT_CN",'価格データ'!$A$6:$A$75,0))*100)</x:f>
        <x:v>145.98911537669093</x:v>
      </x:c>
      <x:c r="T19" s="20" t="str">
        <x:v>公式通常掲載</x:v>
      </x:c>
      <x:c r="U19" s="20" t="str"/>
      <x:c r="V19" s="20"/>
      <x:c r="W19" s="15" t="str">
        <x:v>https://bydcarsphilippines.com/pricelist</x:v>
      </x:c>
      <x:c r="X19" s="15" t="str"/>
    </x:row>
    <x:row r="20" ht="68" customHeight="1">
      <x:c r="A20" s="2" t="str">
        <x:v>ATT_MY</x:v>
      </x:c>
      <x:c r="B20" s="2" t="str">
        <x:v>マレーシア</x:v>
      </x:c>
      <x:c r="C20" s="2" t="str">
        <x:v>BYD</x:v>
      </x:c>
      <x:c r="D20" s="2" t="str">
        <x:v>Atto 3 / Yuan Plus</x:v>
      </x:c>
      <x:c r="E20" s="2" t="str">
        <x:v>Atto 3</x:v>
      </x:c>
      <x:c r="F20" s="2" t="str">
        <x:v>Ultra（最低掲載）</x:v>
      </x:c>
      <x:c r="G20" s="2" t="str">
        <x:v>BEV</x:v>
      </x:c>
      <x:c r="H20" s="18"/>
      <x:c r="I20" s="2" t="str">
        <x:v>MYR</x:v>
      </x:c>
      <x:c r="J20" s="19" t="n">
        <x:v>125800</x:v>
      </x:c>
      <x:c r="K20" s="19"/>
      <x:c r="L20" s="20" t="str"/>
      <x:c r="M20" s="20" t="str">
        <x:v>公式Starting price / 費用内訳未確認</x:v>
      </x:c>
      <x:c r="N20" s="20" t="str">
        <x:v>メーカー・輸入者</x:v>
      </x:c>
      <x:c r="O20" s="21"/>
      <x:c r="P20" s="21" t="d">
        <x:v>2026-10-07T00:00:00.000Z</x:v>
      </x:c>
      <x:c r="Q20" s="16" t="n">
        <x:f>IF(J20="","",J20*'為替'!$B$7/INDEX('為替'!$B$6:$B$17,MATCH(I20,'為替'!$A$6:$A$17,0)))</x:f>
        <x:v>30795.50332363036</x:v>
      </x:c>
      <x:c r="R20" s="17" t="n">
        <x:f>IF(J20="","",J20*'為替'!$B$8/INDEX('為替'!$B$6:$B$17,MATCH(I20,'為替'!$A$6:$A$17,0))/10000)</x:f>
        <x:v>486.8416822348699</x:v>
      </x:c>
      <x:c r="S20" s="17" t="n">
        <x:f>IF(OR(Q20="",INDEX('価格データ'!$J$6:$J$75,MATCH("ATT_CN",'価格データ'!$A$6:$A$75,0))=""),"",Q20/INDEX('価格データ'!$Q$6:$Q$75,MATCH("ATT_CN",'価格データ'!$A$6:$A$75,0))*100)</x:f>
        <x:v>172.2027990842465</x:v>
      </x:c>
      <x:c r="T20" s="20" t="str">
        <x:v>公式通常掲載</x:v>
      </x:c>
      <x:c r="U20" s="20" t="str">
        <x:v>現行公式from。旧モデルの過去価格は除外。</x:v>
      </x:c>
      <x:c r="V20" s="20"/>
      <x:c r="W20" s="15" t="str">
        <x:v>https://byd.simemotors.my/byd-atto-3</x:v>
      </x:c>
      <x:c r="X20" s="15" t="str"/>
    </x:row>
    <x:row r="21" ht="68" customHeight="1">
      <x:c r="A21" s="2" t="str">
        <x:v>ATT_SG</x:v>
      </x:c>
      <x:c r="B21" s="2" t="str">
        <x:v>シンガポール</x:v>
      </x:c>
      <x:c r="C21" s="2" t="str">
        <x:v>BYD</x:v>
      </x:c>
      <x:c r="D21" s="2" t="str">
        <x:v>Atto 3 / Yuan Plus</x:v>
      </x:c>
      <x:c r="E21" s="2" t="str">
        <x:v>Atto 3 EVO</x:v>
      </x:c>
      <x:c r="F21" s="2" t="str">
        <x:v>Dynamic / COE A</x:v>
      </x:c>
      <x:c r="G21" s="2" t="str">
        <x:v>BEV</x:v>
      </x:c>
      <x:c r="H21" s="18"/>
      <x:c r="I21" s="2" t="str">
        <x:v>SGD</x:v>
      </x:c>
      <x:c r="J21" s="19" t="n">
        <x:v>256888</x:v>
      </x:c>
      <x:c r="K21" s="19" t="n">
        <x:v>181888</x:v>
      </x:c>
      <x:c r="L21" s="20" t="str">
        <x:v>Savers非保証COE / 融資・保険・下取条件付</x:v>
      </x:c>
      <x:c r="M21" s="20" t="str">
        <x:v>List Price / COE市場・適用補助後</x:v>
      </x:c>
      <x:c r="N21" s="20" t="str">
        <x:v>メーカー・輸入者</x:v>
      </x:c>
      <x:c r="O21" s="21" t="d">
        <x:v>2026-09-24T00:00:00.000Z</x:v>
      </x:c>
      <x:c r="P21" s="21" t="d">
        <x:v>2026-10-07T00:00:00.000Z</x:v>
      </x:c>
      <x:c r="Q21" s="16" t="n">
        <x:f>IF(J21="","",J21*'為替'!$B$7/INDEX('為替'!$B$6:$B$17,MATCH(I21,'為替'!$A$6:$A$17,0)))</x:f>
        <x:v>201144.44635908838</x:v>
      </x:c>
      <x:c r="R21" s="17" t="n">
        <x:f>IF(J21="","",J21*'為替'!$B$8/INDEX('為替'!$B$6:$B$17,MATCH(I21,'為替'!$A$6:$A$17,0))/10000)</x:f>
        <x:v>3179.8636186770427</x:v>
      </x:c>
      <x:c r="S21" s="17" t="n">
        <x:f>IF(OR(Q21="",INDEX('価格データ'!$J$6:$J$75,MATCH("ATT_CN",'価格データ'!$A$6:$A$75,0))=""),"",Q21/INDEX('価格データ'!$Q$6:$Q$75,MATCH("ATT_CN",'価格データ'!$A$6:$A$75,0))*100)</x:f>
        <x:v>1124.76280446787</x:v>
      </x:c>
      <x:c r="T21" s="20" t="str">
        <x:v>公式通常掲載</x:v>
      </x:c>
      <x:c r="U21" s="20" t="str">
        <x:v>価格表p1。ASEANの旧FWD Atto 3とEVOの仕様・世代差あり。</x:v>
      </x:c>
      <x:c r="V21" s="20"/>
      <x:c r="W21" s="15" t="str">
        <x:v>https://media.i-sgcm.com/public/new-cars/pricelist/81/2026-09-24.pdf</x:v>
      </x:c>
      <x:c r="X21" s="15" t="str"/>
    </x:row>
    <x:row r="22" ht="68" customHeight="1">
      <x:c r="A22" s="2" t="str">
        <x:v>ATT_CN</x:v>
      </x:c>
      <x:c r="B22" s="2" t="str">
        <x:v>中国</x:v>
      </x:c>
      <x:c r="C22" s="2" t="str">
        <x:v>BYD</x:v>
      </x:c>
      <x:c r="D22" s="2" t="str">
        <x:v>Atto 3 / Yuan Plus</x:v>
      </x:c>
      <x:c r="E22" s="2" t="str">
        <x:v>元PLUS</x:v>
      </x:c>
      <x:c r="F22" s="2" t="str">
        <x:v>第三代 / 最低仕様</x:v>
      </x:c>
      <x:c r="G22" s="2" t="str">
        <x:v>BEV</x:v>
      </x:c>
      <x:c r="H22" s="18"/>
      <x:c r="I22" s="2" t="str">
        <x:v>CNY</x:v>
      </x:c>
      <x:c r="J22" s="22" t="n">
        <x:v>119900</x:v>
      </x:c>
      <x:c r="K22" s="19"/>
      <x:c r="L22" s="20" t="str"/>
      <x:c r="M22" s="20" t="str">
        <x:v>メーカー指導価格（新華社報道）</x:v>
      </x:c>
      <x:c r="N22" s="20" t="str">
        <x:v>二次資料・一次未確認</x:v>
      </x:c>
      <x:c r="O22" s="21" t="d">
        <x:v>2026-05-25T00:00:00.000Z</x:v>
      </x:c>
      <x:c r="P22" s="21" t="d">
        <x:v>2026-10-07T00:00:00.000Z</x:v>
      </x:c>
      <x:c r="Q22" s="16" t="n">
        <x:f>IF(J22="","",J22*'為替'!$B$7/INDEX('為替'!$B$6:$B$17,MATCH(I22,'為替'!$A$6:$A$17,0)))</x:f>
        <x:v>17883.276861582446</x:v>
      </x:c>
      <x:c r="R22" s="17" t="n">
        <x:f>IF(J22="","",J22*'為替'!$B$8/INDEX('為替'!$B$6:$B$17,MATCH(I22,'為替'!$A$6:$A$17,0))/10000)</x:f>
        <x:v>282.71415146782437</x:v>
      </x:c>
      <x:c r="S22" s="17" t="n">
        <x:f>IF(OR(Q22="",INDEX('価格データ'!$J$6:$J$75,MATCH("ATT_CN",'価格データ'!$A$6:$A$75,0))=""),"",Q22/INDEX('価格データ'!$Q$6:$Q$75,MATCH("ATT_CN",'価格データ'!$A$6:$A$75,0))*100)</x:f>
        <x:v>100</x:v>
      </x:c>
      <x:c r="T22" s="20" t="str">
        <x:v>二次資料・要一次確認</x:v>
      </x:c>
      <x:c r="U22" s="20" t="str">
        <x:v>5/21発売の第三代。旧第二代115,800は採用せず。輸出旧Atto 3と世代差。</x:v>
      </x:c>
      <x:c r="V22" s="20"/>
      <x:c r="W22" s="15" t="str">
        <x:v>https://www.xinhuanet.com/auto/20260525/63682501133a454eb7118a80df3f9482/c.html</x:v>
      </x:c>
      <x:c r="X22" s="15" t="str"/>
    </x:row>
    <x:row r="23" ht="68" customHeight="1">
      <x:c r="A23" s="2" t="str">
        <x:v>ATT_DE</x:v>
      </x:c>
      <x:c r="B23" s="2" t="str">
        <x:v>ドイツ</x:v>
      </x:c>
      <x:c r="C23" s="2" t="str">
        <x:v>BYD</x:v>
      </x:c>
      <x:c r="D23" s="2" t="str">
        <x:v>Atto 3 / Yuan Plus</x:v>
      </x:c>
      <x:c r="E23" s="2" t="str">
        <x:v>Atto 3 EVO</x:v>
      </x:c>
      <x:c r="F23" s="2" t="str">
        <x:v>Design</x:v>
      </x:c>
      <x:c r="G23" s="2" t="str">
        <x:v>BEV</x:v>
      </x:c>
      <x:c r="H23" s="18" t="n">
        <x:v>74.8</x:v>
      </x:c>
      <x:c r="I23" s="2" t="str">
        <x:v>EUR</x:v>
      </x:c>
      <x:c r="J23" s="19" t="n">
        <x:v>44990</x:v>
      </x:c>
      <x:c r="K23" s="19"/>
      <x:c r="L23" s="20" t="str"/>
      <x:c r="M23" s="20" t="str">
        <x:v>VAT込 / 配送・登録別 / UPE</x:v>
      </x:c>
      <x:c r="N23" s="20" t="str">
        <x:v>メーカー・輸入者</x:v>
      </x:c>
      <x:c r="O23" s="21" t="d">
        <x:v>2026-02-10T00:00:00.000Z</x:v>
      </x:c>
      <x:c r="P23" s="21" t="d">
        <x:v>2026-10-07T00:00:00.000Z</x:v>
      </x:c>
      <x:c r="Q23" s="16" t="n">
        <x:f>IF(J23="","",J23*'為替'!$B$7/INDEX('為替'!$B$6:$B$17,MATCH(I23,'為替'!$A$6:$A$17,0)))</x:f>
        <x:v>50699.231</x:v>
      </x:c>
      <x:c r="R23" s="17" t="n">
        <x:f>IF(J23="","",J23*'為替'!$B$8/INDEX('為替'!$B$6:$B$17,MATCH(I23,'為替'!$A$6:$A$17,0))/10000)</x:f>
        <x:v>801.49685</x:v>
      </x:c>
      <x:c r="S23" s="17" t="n">
        <x:f>IF(OR(Q23="",INDEX('価格データ'!$J$6:$J$75,MATCH("ATT_CN",'価格データ'!$A$6:$A$75,0))=""),"",Q23/INDEX('価格データ'!$Q$6:$Q$75,MATCH("ATT_CN",'価格データ'!$A$6:$A$75,0))*100)</x:f>
        <x:v>283.50078899082564</x:v>
      </x:c>
      <x:c r="T23" s="20" t="str">
        <x:v>公式通常掲載</x:v>
      </x:c>
      <x:c r="U23" s="20" t="str">
        <x:v>EVOはRWD・74.8kWh。旧Atto 3 FWDと車名ファミリーのみ共通。</x:v>
      </x:c>
      <x:c r="V23" s="20"/>
      <x:c r="W23" s="15" t="str">
        <x:v>https://www.byd.com/de/presse/byd-atto-3-evo-2026</x:v>
      </x:c>
      <x:c r="X23" s="15" t="str"/>
    </x:row>
    <x:row r="24" ht="68" customHeight="1">
      <x:c r="A24" s="2" t="str">
        <x:v>ATT_BR</x:v>
      </x:c>
      <x:c r="B24" s="2" t="str">
        <x:v>ブラジル</x:v>
      </x:c>
      <x:c r="C24" s="2" t="str">
        <x:v>BYD</x:v>
      </x:c>
      <x:c r="D24" s="2" t="str">
        <x:v>Atto 3 / Yuan Plus</x:v>
      </x:c>
      <x:c r="E24" s="2" t="str">
        <x:v>Yuan Plus 2027</x:v>
      </x:c>
      <x:c r="F24" s="2" t="str">
        <x:v>AWD</x:v>
      </x:c>
      <x:c r="G24" s="2" t="str">
        <x:v>BEV</x:v>
      </x:c>
      <x:c r="H24" s="18"/>
      <x:c r="I24" s="2" t="str">
        <x:v>BRL</x:v>
      </x:c>
      <x:c r="J24" s="19" t="n">
        <x:v>269990</x:v>
      </x:c>
      <x:c r="K24" s="19"/>
      <x:c r="L24" s="20" t="str"/>
      <x:c r="M24" s="20" t="str">
        <x:v>メーカー発表価格</x:v>
      </x:c>
      <x:c r="N24" s="20" t="str">
        <x:v>メーカー・輸入者</x:v>
      </x:c>
      <x:c r="O24" s="21"/>
      <x:c r="P24" s="21" t="d">
        <x:v>2026-10-07T00:00:00.000Z</x:v>
      </x:c>
      <x:c r="Q24" s="16" t="n">
        <x:f>IF(J24="","",J24*'為替'!$B$7/INDEX('為替'!$B$6:$B$17,MATCH(I24,'為替'!$A$6:$A$17,0)))</x:f>
        <x:v>54339.39936775554</x:v>
      </x:c>
      <x:c r="R24" s="17" t="n">
        <x:f>IF(J24="","",J24*'為替'!$B$8/INDEX('為替'!$B$6:$B$17,MATCH(I24,'為替'!$A$6:$A$17,0))/10000)</x:f>
        <x:v>859.0437481023737</x:v>
      </x:c>
      <x:c r="S24" s="17" t="n">
        <x:f>IF(OR(Q24="",INDEX('価格データ'!$J$6:$J$75,MATCH("ATT_CN",'価格データ'!$A$6:$A$75,0))=""),"",Q24/INDEX('価格データ'!$Q$6:$Q$75,MATCH("ATT_CN",'価格データ'!$A$6:$A$75,0))*100)</x:f>
        <x:v>303.8559419973504</x:v>
      </x:c>
      <x:c r="T24" s="20" t="str">
        <x:v>公式通常掲載</x:v>
      </x:c>
      <x:c r="U24" s="20" t="str">
        <x:v>現行2027 AWD。旧235,800やYuan Pro（Atto 2）は採用せず。ASEAN旧FWDと仕様差。</x:v>
      </x:c>
      <x:c r="V24" s="20"/>
      <x:c r="W24" s="15" t="str">
        <x:v>https://www.byd.com/br/byd-lan%C3%A7a-dolphin-special-edition-e-yuan-plus-2027-tra%C3%A7%C3%A3o-integral</x:v>
      </x:c>
      <x:c r="X24" s="15" t="str"/>
    </x:row>
    <x:row r="25" ht="68" customHeight="1">
      <x:c r="A25" s="2" t="str">
        <x:v>ATT_AU</x:v>
      </x:c>
      <x:c r="B25" s="2" t="str">
        <x:v>豪州</x:v>
      </x:c>
      <x:c r="C25" s="2" t="str">
        <x:v>BYD</x:v>
      </x:c>
      <x:c r="D25" s="2" t="str">
        <x:v>Atto 3 / Yuan Plus</x:v>
      </x:c>
      <x:c r="E25" s="2" t="str">
        <x:v>Atto 3</x:v>
      </x:c>
      <x:c r="F25" s="2" t="str">
        <x:v>Essential</x:v>
      </x:c>
      <x:c r="G25" s="2" t="str">
        <x:v>BEV</x:v>
      </x:c>
      <x:c r="H25" s="18"/>
      <x:c r="I25" s="2" t="str">
        <x:v>AUD</x:v>
      </x:c>
      <x:c r="J25" s="19" t="n">
        <x:v>39990</x:v>
      </x:c>
      <x:c r="K25" s="19"/>
      <x:c r="L25" s="20" t="str"/>
      <x:c r="M25" s="20" t="str">
        <x:v>車両本体価格 / on-road別</x:v>
      </x:c>
      <x:c r="N25" s="20" t="str">
        <x:v>メーカー・輸入者</x:v>
      </x:c>
      <x:c r="O25" s="21"/>
      <x:c r="P25" s="21" t="d">
        <x:v>2026-10-07T00:00:00.000Z</x:v>
      </x:c>
      <x:c r="Q25" s="16" t="n">
        <x:f>IF(J25="","",J25*'為替'!$B$7/INDEX('為替'!$B$6:$B$17,MATCH(I25,'為替'!$A$6:$A$17,0)))</x:f>
        <x:v>27921.146840148696</x:v>
      </x:c>
      <x:c r="R25" s="17" t="n">
        <x:f>IF(J25="","",J25*'為替'!$B$8/INDEX('為替'!$B$6:$B$17,MATCH(I25,'為替'!$A$6:$A$17,0))/10000)</x:f>
        <x:v>441.40139405204457</x:v>
      </x:c>
      <x:c r="S25" s="17" t="n">
        <x:f>IF(OR(Q25="",INDEX('価格データ'!$J$6:$J$75,MATCH("ATT_CN",'価格データ'!$A$6:$A$75,0))=""),"",Q25/INDEX('価格データ'!$Q$6:$Q$75,MATCH("ATT_CN",'価格データ'!$A$6:$A$75,0))*100)</x:f>
        <x:v>156.12992549553374</x:v>
      </x:c>
      <x:c r="T25" s="20" t="str">
        <x:v>公式通常掲載</x:v>
      </x:c>
      <x:c r="U25" s="20" t="str">
        <x:v>同Configuratorには旧EssentialとEVO併売。EVO Dynamic 41,990より安い旧Essentialを採用。</x:v>
      </x:c>
      <x:c r="V25" s="20"/>
      <x:c r="W25" s="15" t="str">
        <x:v>https://evdealergroup-byd.com.au/configurator/byd-atto-3-evo</x:v>
      </x:c>
      <x:c r="X25" s="15" t="str"/>
    </x:row>
    <x:row r="26" ht="68" customHeight="1">
      <x:c r="A26" s="2" t="str">
        <x:v>SEA_VN</x:v>
      </x:c>
      <x:c r="B26" s="2" t="str">
        <x:v>ベトナム</x:v>
      </x:c>
      <x:c r="C26" s="2" t="str">
        <x:v>BYD</x:v>
      </x:c>
      <x:c r="D26" s="2" t="str">
        <x:v>Seal</x:v>
      </x:c>
      <x:c r="E26" s="2" t="str">
        <x:v>Seal</x:v>
      </x:c>
      <x:c r="F26" s="2" t="str">
        <x:v>最低掲載価格</x:v>
      </x:c>
      <x:c r="G26" s="2" t="str">
        <x:v>BEV</x:v>
      </x:c>
      <x:c r="H26" s="18"/>
      <x:c r="I26" s="2" t="str">
        <x:v>VND</x:v>
      </x:c>
      <x:c r="J26" s="19" t="n">
        <x:v>1119000000</x:v>
      </x:c>
      <x:c r="K26" s="19"/>
      <x:c r="L26" s="20" t="str"/>
      <x:c r="M26" s="20" t="str">
        <x:v>通常from / 登録費等別</x:v>
      </x:c>
      <x:c r="N26" s="20" t="str">
        <x:v>正規販売店</x:v>
      </x:c>
      <x:c r="O26" s="21"/>
      <x:c r="P26" s="21" t="d">
        <x:v>2026-10-07T00:00:00.000Z</x:v>
      </x:c>
      <x:c r="Q26" s="16" t="n">
        <x:f>IF(J26="","",J26*'為替'!$B$7/INDEX('為替'!$B$6:$B$17,MATCH(I26,'為替'!$A$6:$A$17,0)))</x:f>
        <x:v>43634.23669331254</x:v>
      </x:c>
      <x:c r="R26" s="17" t="n">
        <x:f>IF(J26="","",J26*'為替'!$B$8/INDEX('為替'!$B$6:$B$17,MATCH(I26,'為替'!$A$6:$A$17,0))/10000)</x:f>
        <x:v>689.8073712763891</x:v>
      </x:c>
      <x:c r="S26" s="17" t="str">
        <x:f>IF(OR(Q26="",INDEX('価格データ'!$J$6:$J$75,MATCH("SEA_CN",'価格データ'!$A$6:$A$75,0))=""),"",Q26/INDEX('価格データ'!$Q$6:$Q$75,MATCH("SEA_CN",'価格データ'!$A$6:$A$75,0))*100)</x:f>
      </x:c>
      <x:c r="T26" s="20" t="str">
        <x:v>正規店掲載</x:v>
      </x:c>
      <x:c r="U26" s="20" t="str">
        <x:v>BITCARの掲載価格。最安グレード名は当該価格表に記載なし。</x:v>
      </x:c>
      <x:c r="V26" s="20"/>
      <x:c r="W26" s="15" t="str">
        <x:v>https://www.bydvn.com.vn/du-toan-chi-phi</x:v>
      </x:c>
      <x:c r="X26" s="15" t="str"/>
    </x:row>
    <x:row r="27" ht="68" customHeight="1">
      <x:c r="A27" s="2" t="str">
        <x:v>SEA_TH</x:v>
      </x:c>
      <x:c r="B27" s="2" t="str">
        <x:v>タイ</x:v>
      </x:c>
      <x:c r="C27" s="2" t="str">
        <x:v>BYD</x:v>
      </x:c>
      <x:c r="D27" s="2" t="str">
        <x:v>Seal</x:v>
      </x:c>
      <x:c r="E27" s="2" t="str">
        <x:v>Seal</x:v>
      </x:c>
      <x:c r="F27" s="2" t="str">
        <x:v>Dynamic</x:v>
      </x:c>
      <x:c r="G27" s="2" t="str">
        <x:v>BEV</x:v>
      </x:c>
      <x:c r="H27" s="18"/>
      <x:c r="I27" s="2" t="str">
        <x:v>THB</x:v>
      </x:c>
      <x:c r="J27" s="19" t="n">
        <x:v>1325000</x:v>
      </x:c>
      <x:c r="K27" s="19" t="n">
        <x:v>989900</x:v>
      </x:c>
      <x:c r="L27" s="20" t="str">
        <x:v>2月キャンペーン / 期限切れ</x:v>
      </x:c>
      <x:c r="M27" s="20" t="str">
        <x:v>通常価格 / EV施策反映後</x:v>
      </x:c>
      <x:c r="N27" s="20" t="str">
        <x:v>メーカー・輸入者</x:v>
      </x:c>
      <x:c r="O27" s="21" t="d">
        <x:v>2026-02-05T00:00:00.000Z</x:v>
      </x:c>
      <x:c r="P27" s="21" t="d">
        <x:v>2026-10-07T00:00:00.000Z</x:v>
      </x:c>
      <x:c r="Q27" s="16" t="n">
        <x:f>IF(J27="","",J27*'為替'!$B$7/INDEX('為替'!$B$6:$B$17,MATCH(I27,'為替'!$A$6:$A$17,0)))</x:f>
        <x:v>39463.54001480072</x:v>
      </x:c>
      <x:c r="R27" s="17" t="n">
        <x:f>IF(J27="","",J27*'為替'!$B$8/INDEX('為替'!$B$6:$B$17,MATCH(I27,'為替'!$A$6:$A$17,0))/10000)</x:f>
        <x:v>623.8734274236177</x:v>
      </x:c>
      <x:c r="S27" s="17" t="str">
        <x:f>IF(OR(Q27="",INDEX('価格データ'!$J$6:$J$75,MATCH("SEA_CN",'価格データ'!$A$6:$A$75,0))=""),"",Q27/INDEX('価格データ'!$Q$6:$Q$75,MATCH("SEA_CN",'価格データ'!$A$6:$A$75,0))*100)</x:f>
      </x:c>
      <x:c r="T27" s="20" t="str">
        <x:v>公式通常掲載</x:v>
      </x:c>
      <x:c r="U27" s="20" t="str">
        <x:v>2月告知の通常価格。現行製品ページのfrom 1,325,000と一致。割引条件は期限切れ。</x:v>
      </x:c>
      <x:c r="V27" s="20"/>
      <x:c r="W27" s="15" t="str">
        <x:v>https://www.reverautomotive.com/en/news/byd-seal-feb-2026-campaign</x:v>
      </x:c>
      <x:c r="X27" s="15" t="str">
        <x:v>https://www.reverautomotive.com/model/seal/overview</x:v>
      </x:c>
    </x:row>
    <x:row r="28" ht="68" customHeight="1">
      <x:c r="A28" s="2" t="str">
        <x:v>SEA_ID</x:v>
      </x:c>
      <x:c r="B28" s="2" t="str">
        <x:v>インドネシア</x:v>
      </x:c>
      <x:c r="C28" s="2" t="str">
        <x:v>BYD</x:v>
      </x:c>
      <x:c r="D28" s="2" t="str">
        <x:v>Seal</x:v>
      </x:c>
      <x:c r="E28" s="2" t="str">
        <x:v>Seal</x:v>
      </x:c>
      <x:c r="F28" s="2" t="str">
        <x:v>Extended Range Premium</x:v>
      </x:c>
      <x:c r="G28" s="2" t="str">
        <x:v>BEV</x:v>
      </x:c>
      <x:c r="H28" s="18"/>
      <x:c r="I28" s="2" t="str">
        <x:v>IDR</x:v>
      </x:c>
      <x:c r="J28" s="19" t="n">
        <x:v>639000000</x:v>
      </x:c>
      <x:c r="K28" s="19"/>
      <x:c r="L28" s="20" t="str"/>
      <x:c r="M28" s="20" t="str">
        <x:v>OTR Jakarta</x:v>
      </x:c>
      <x:c r="N28" s="20" t="str">
        <x:v>正規販売店</x:v>
      </x:c>
      <x:c r="O28" s="21"/>
      <x:c r="P28" s="21" t="d">
        <x:v>2026-10-07T00:00:00.000Z</x:v>
      </x:c>
      <x:c r="Q28" s="16" t="n">
        <x:f>IF(J28="","",J28*'為替'!$B$7/INDEX('為替'!$B$6:$B$17,MATCH(I28,'為替'!$A$6:$A$17,0)))</x:f>
        <x:v>35816.775098483944</x:v>
      </x:c>
      <x:c r="R28" s="17" t="n">
        <x:f>IF(J28="","",J28*'為替'!$B$8/INDEX('為替'!$B$6:$B$17,MATCH(I28,'為替'!$A$6:$A$17,0))/10000)</x:f>
        <x:v>566.2222454339262</x:v>
      </x:c>
      <x:c r="S28" s="17" t="str">
        <x:f>IF(OR(Q28="",INDEX('価格データ'!$J$6:$J$75,MATCH("SEA_CN",'価格データ'!$A$6:$A$75,0))=""),"",Q28/INDEX('価格データ'!$Q$6:$Q$75,MATCH("SEA_CN",'価格データ'!$A$6:$A$75,0))*100)</x:f>
      </x:c>
      <x:c r="T28" s="20" t="str">
        <x:v>正規店掲載</x:v>
      </x:c>
      <x:c r="U28" s="20" t="str">
        <x:v>中国・タイの小容量エントリーとは仕様差。</x:v>
      </x:c>
      <x:c r="V28" s="20"/>
      <x:c r="W28" s="15" t="str">
        <x:v>https://bydsalemba.id/</x:v>
      </x:c>
      <x:c r="X28" s="15" t="str"/>
    </x:row>
    <x:row r="29" ht="68" customHeight="1">
      <x:c r="A29" s="2" t="str">
        <x:v>SEA_PH</x:v>
      </x:c>
      <x:c r="B29" s="2" t="str">
        <x:v>フィリピン</x:v>
      </x:c>
      <x:c r="C29" s="2" t="str">
        <x:v>BYD</x:v>
      </x:c>
      <x:c r="D29" s="2" t="str">
        <x:v>Seal</x:v>
      </x:c>
      <x:c r="E29" s="2" t="str">
        <x:v>Seal</x:v>
      </x:c>
      <x:c r="F29" s="2" t="str">
        <x:v>Advanced</x:v>
      </x:c>
      <x:c r="G29" s="2" t="str">
        <x:v>BEV</x:v>
      </x:c>
      <x:c r="H29" s="18"/>
      <x:c r="I29" s="2" t="str">
        <x:v>PHP</x:v>
      </x:c>
      <x:c r="J29" s="19" t="n">
        <x:v>2098000</x:v>
      </x:c>
      <x:c r="K29" s="19"/>
      <x:c r="L29" s="20" t="str"/>
      <x:c r="M29" s="20" t="str">
        <x:v>SRP / 地域物流費別</x:v>
      </x:c>
      <x:c r="N29" s="20" t="str">
        <x:v>メーカー・輸入者</x:v>
      </x:c>
      <x:c r="O29" s="21" t="d">
        <x:v>2026-07-28T00:00:00.000Z</x:v>
      </x:c>
      <x:c r="P29" s="21" t="d">
        <x:v>2026-10-07T00:00:00.000Z</x:v>
      </x:c>
      <x:c r="Q29" s="16" t="n">
        <x:f>IF(J29="","",J29*'為替'!$B$7/INDEX('為替'!$B$6:$B$17,MATCH(I29,'為替'!$A$6:$A$17,0)))</x:f>
        <x:v>33439.45291505191</x:v>
      </x:c>
      <x:c r="R29" s="17" t="n">
        <x:f>IF(J29="","",J29*'為替'!$B$8/INDEX('為替'!$B$6:$B$17,MATCH(I29,'為替'!$A$6:$A$17,0))/10000)</x:f>
        <x:v>528.6395010042148</x:v>
      </x:c>
      <x:c r="S29" s="17" t="str">
        <x:f>IF(OR(Q29="",INDEX('価格データ'!$J$6:$J$75,MATCH("SEA_CN",'価格データ'!$A$6:$A$75,0))=""),"",Q29/INDEX('価格データ'!$Q$6:$Q$75,MATCH("SEA_CN",'価格データ'!$A$6:$A$75,0))*100)</x:f>
      </x:c>
      <x:c r="T29" s="20" t="str">
        <x:v>公式通常掲載</x:v>
      </x:c>
      <x:c r="U29" s="20" t="str"/>
      <x:c r="V29" s="20"/>
      <x:c r="W29" s="15" t="str">
        <x:v>https://bydcarsphilippines.com/pricelist</x:v>
      </x:c>
      <x:c r="X29" s="15" t="str"/>
    </x:row>
    <x:row r="30" ht="68" customHeight="1">
      <x:c r="A30" s="2" t="str">
        <x:v>SEA_MY</x:v>
      </x:c>
      <x:c r="B30" s="2" t="str">
        <x:v>マレーシア</x:v>
      </x:c>
      <x:c r="C30" s="2" t="str">
        <x:v>BYD</x:v>
      </x:c>
      <x:c r="D30" s="2" t="str">
        <x:v>Seal</x:v>
      </x:c>
      <x:c r="E30" s="2" t="str">
        <x:v>Seal</x:v>
      </x:c>
      <x:c r="F30" s="2" t="str">
        <x:v>Premium</x:v>
      </x:c>
      <x:c r="G30" s="2" t="str">
        <x:v>BEV</x:v>
      </x:c>
      <x:c r="H30" s="18" t="n">
        <x:v>82.56</x:v>
      </x:c>
      <x:c r="I30" s="2" t="str">
        <x:v>MYR</x:v>
      </x:c>
      <x:c r="J30" s="19" t="n">
        <x:v>171800</x:v>
      </x:c>
      <x:c r="K30" s="19"/>
      <x:c r="L30" s="20" t="str"/>
      <x:c r="M30" s="20" t="str">
        <x:v>公式Starting price / 費用内訳未確認</x:v>
      </x:c>
      <x:c r="N30" s="20" t="str">
        <x:v>メーカー・輸入者</x:v>
      </x:c>
      <x:c r="O30" s="21"/>
      <x:c r="P30" s="21" t="d">
        <x:v>2026-10-07T00:00:00.000Z</x:v>
      </x:c>
      <x:c r="Q30" s="16" t="n">
        <x:f>IF(J30="","",J30*'為替'!$B$7/INDEX('為替'!$B$6:$B$17,MATCH(I30,'為替'!$A$6:$A$17,0)))</x:f>
        <x:v>42056.18021462398</x:v>
      </x:c>
      <x:c r="R30" s="17" t="n">
        <x:f>IF(J30="","",J30*'為替'!$B$8/INDEX('為替'!$B$6:$B$17,MATCH(I30,'為替'!$A$6:$A$17,0))/10000)</x:f>
        <x:v>664.8601034018335</x:v>
      </x:c>
      <x:c r="S30" s="17" t="str">
        <x:f>IF(OR(Q30="",INDEX('価格データ'!$J$6:$J$75,MATCH("SEA_CN",'価格データ'!$A$6:$A$75,0))=""),"",Q30/INDEX('価格データ'!$Q$6:$Q$75,MATCH("SEA_CN",'価格データ'!$A$6:$A$75,0))*100)</x:f>
      </x:c>
      <x:c r="T30" s="20" t="str">
        <x:v>公式通常掲載</x:v>
      </x:c>
      <x:c r="U30" s="20" t="str">
        <x:v>現行の最安はPremium。中国・タイの低容量エントリーとの単純差は仕様を含む。</x:v>
      </x:c>
      <x:c r="V30" s="20"/>
      <x:c r="W30" s="15" t="str">
        <x:v>https://byd.simemotors.my/models/byd-seal.html</x:v>
      </x:c>
      <x:c r="X30" s="15" t="str"/>
    </x:row>
    <x:row r="31" ht="68" customHeight="1">
      <x:c r="A31" s="2" t="str">
        <x:v>SEA_SG</x:v>
      </x:c>
      <x:c r="B31" s="2" t="str">
        <x:v>シンガポール</x:v>
      </x:c>
      <x:c r="C31" s="2" t="str">
        <x:v>BYD</x:v>
      </x:c>
      <x:c r="D31" s="2" t="str">
        <x:v>Seal</x:v>
      </x:c>
      <x:c r="E31" s="2" t="str">
        <x:v>Seal</x:v>
      </x:c>
      <x:c r="F31" s="2" t="str">
        <x:v>Dynamic / COE A</x:v>
      </x:c>
      <x:c r="G31" s="2" t="str">
        <x:v>BEV</x:v>
      </x:c>
      <x:c r="H31" s="18"/>
      <x:c r="I31" s="2" t="str">
        <x:v>SGD</x:v>
      </x:c>
      <x:c r="J31" s="19" t="n">
        <x:v>271888</x:v>
      </x:c>
      <x:c r="K31" s="19" t="n">
        <x:v>196888</x:v>
      </x:c>
      <x:c r="L31" s="20" t="str">
        <x:v>Savers非保証COE / 融資・保険・下取条件付</x:v>
      </x:c>
      <x:c r="M31" s="20" t="str">
        <x:v>List Price / COE市場・適用補助後</x:v>
      </x:c>
      <x:c r="N31" s="20" t="str">
        <x:v>メーカー・輸入者</x:v>
      </x:c>
      <x:c r="O31" s="21" t="d">
        <x:v>2026-09-24T00:00:00.000Z</x:v>
      </x:c>
      <x:c r="P31" s="21" t="d">
        <x:v>2026-10-07T00:00:00.000Z</x:v>
      </x:c>
      <x:c r="Q31" s="16" t="n">
        <x:f>IF(J31="","",J31*'為替'!$B$7/INDEX('為替'!$B$6:$B$17,MATCH(I31,'為替'!$A$6:$A$17,0)))</x:f>
        <x:v>212889.51306281268</x:v>
      </x:c>
      <x:c r="R31" s="17" t="n">
        <x:f>IF(J31="","",J31*'為替'!$B$8/INDEX('為替'!$B$6:$B$17,MATCH(I31,'為替'!$A$6:$A$17,0))/10000)</x:f>
        <x:v>3365.539688715953</x:v>
      </x:c>
      <x:c r="S31" s="17" t="str">
        <x:f>IF(OR(Q31="",INDEX('価格データ'!$J$6:$J$75,MATCH("SEA_CN",'価格データ'!$A$6:$A$75,0))=""),"",Q31/INDEX('価格データ'!$Q$6:$Q$75,MATCH("SEA_CN",'価格データ'!$A$6:$A$75,0))*100)</x:f>
      </x:c>
      <x:c r="T31" s="20" t="str">
        <x:v>公式通常掲載</x:v>
      </x:c>
      <x:c r="U31" s="20" t="str">
        <x:v>価格表p1。Premium COE BのList 292,388より安いDynamicを採用。</x:v>
      </x:c>
      <x:c r="V31" s="20"/>
      <x:c r="W31" s="15" t="str">
        <x:v>https://media.i-sgcm.com/public/new-cars/pricelist/81/2026-09-24.pdf</x:v>
      </x:c>
      <x:c r="X31" s="15" t="str"/>
    </x:row>
    <x:row r="32" ht="68" customHeight="1">
      <x:c r="A32" s="2" t="str">
        <x:v>SEA_CN</x:v>
      </x:c>
      <x:c r="B32" s="2" t="str">
        <x:v>中国</x:v>
      </x:c>
      <x:c r="C32" s="2" t="str">
        <x:v>BYD</x:v>
      </x:c>
      <x:c r="D32" s="2" t="str">
        <x:v>Seal</x:v>
      </x:c>
      <x:c r="E32" s="2" t="str">
        <x:v>海豹（BEV）</x:v>
      </x:c>
      <x:c r="F32" s="2" t="str">
        <x:v>2025款 510智航版</x:v>
      </x:c>
      <x:c r="G32" s="2" t="str">
        <x:v>BEV</x:v>
      </x:c>
      <x:c r="H32" s="18"/>
      <x:c r="I32" s="2" t="str">
        <x:v>CNY</x:v>
      </x:c>
      <x:c r="J32" s="22"/>
      <x:c r="K32" s="19" t="n">
        <x:v>175800</x:v>
      </x:c>
      <x:c r="L32" s="20" t="str">
        <x:v>2025款の指導価格 / 現行販売未確定</x:v>
      </x:c>
      <x:c r="M32" s="20" t="str">
        <x:v>現行の公式掲載を未確認</x:v>
      </x:c>
      <x:c r="N32" s="20" t="str">
        <x:v>二次資料・一次未確認</x:v>
      </x:c>
      <x:c r="O32" s="21"/>
      <x:c r="P32" s="21" t="d">
        <x:v>2026-10-07T00:00:00.000Z</x:v>
      </x:c>
      <x:c r="Q32" s="16" t="str">
        <x:f>IF(J32="","",J32*'為替'!$B$7/INDEX('為替'!$B$6:$B$17,MATCH(I32,'為替'!$A$6:$A$17,0)))</x:f>
      </x:c>
      <x:c r="R32" s="17" t="str">
        <x:f>IF(J32="","",J32*'為替'!$B$8/INDEX('為替'!$B$6:$B$17,MATCH(I32,'為替'!$A$6:$A$17,0))/10000)</x:f>
      </x:c>
      <x:c r="S32" s="17" t="str">
        <x:f>IF(OR(Q32="",INDEX('価格データ'!$J$6:$J$75,MATCH("SEA_CN",'価格データ'!$A$6:$A$75,0))=""),"",Q32/INDEX('価格データ'!$Q$6:$Q$75,MATCH("SEA_CN",'価格データ'!$A$6:$A$75,0))*100)</x:f>
      </x:c>
      <x:c r="T32" s="23" t="str">
        <x:v>主比較対象外</x:v>
      </x:c>
      <x:c r="U32" s="20" t="str">
        <x:v>二次データに175,800。中国公式では海豹06/07/08等も掲載。元のSealの現行販売・世代対応を確定できず主表除外。</x:v>
      </x:c>
      <x:c r="V32" s="20"/>
      <x:c r="W32" s="15" t="str">
        <x:v>https://price.pcauto.com.cn/s48573/config.html</x:v>
      </x:c>
      <x:c r="X32" s="15" t="str"/>
    </x:row>
    <x:row r="33" ht="68" customHeight="1">
      <x:c r="A33" s="2" t="str">
        <x:v>SEA_DE</x:v>
      </x:c>
      <x:c r="B33" s="2" t="str">
        <x:v>ドイツ</x:v>
      </x:c>
      <x:c r="C33" s="2" t="str">
        <x:v>BYD</x:v>
      </x:c>
      <x:c r="D33" s="2" t="str">
        <x:v>Seal</x:v>
      </x:c>
      <x:c r="E33" s="2" t="str">
        <x:v>Seal MY26</x:v>
      </x:c>
      <x:c r="F33" s="2" t="str">
        <x:v>Comfort</x:v>
      </x:c>
      <x:c r="G33" s="2" t="str">
        <x:v>BEV</x:v>
      </x:c>
      <x:c r="H33" s="18" t="n">
        <x:v>61.4</x:v>
      </x:c>
      <x:c r="I33" s="2" t="str">
        <x:v>EUR</x:v>
      </x:c>
      <x:c r="J33" s="19" t="n">
        <x:v>47990</x:v>
      </x:c>
      <x:c r="K33" s="19" t="n">
        <x:v>34981</x:v>
      </x:c>
      <x:c r="L33" s="20" t="str">
        <x:v>正規店現金特価 / 補助金控除前</x:v>
      </x:c>
      <x:c r="M33" s="20" t="str">
        <x:v>VAT込 / 配送・登録別 / 割引前</x:v>
      </x:c>
      <x:c r="N33" s="20" t="str">
        <x:v>メーカー・輸入者</x:v>
      </x:c>
      <x:c r="O33" s="21"/>
      <x:c r="P33" s="21" t="d">
        <x:v>2026-10-07T00:00:00.000Z</x:v>
      </x:c>
      <x:c r="Q33" s="16" t="n">
        <x:f>IF(J33="","",J33*'為替'!$B$7/INDEX('為替'!$B$6:$B$17,MATCH(I33,'為替'!$A$6:$A$17,0)))</x:f>
        <x:v>54079.931000000004</x:v>
      </x:c>
      <x:c r="R33" s="17" t="n">
        <x:f>IF(J33="","",J33*'為替'!$B$8/INDEX('為替'!$B$6:$B$17,MATCH(I33,'為替'!$A$6:$A$17,0))/10000)</x:f>
        <x:v>854.94185</x:v>
      </x:c>
      <x:c r="S33" s="17" t="str">
        <x:f>IF(OR(Q33="",INDEX('価格データ'!$J$6:$J$75,MATCH("SEA_CN",'価格データ'!$A$6:$A$75,0))=""),"",Q33/INDEX('価格データ'!$Q$6:$Q$75,MATCH("SEA_CN",'価格データ'!$A$6:$A$75,0))*100)</x:f>
      </x:c>
      <x:c r="T33" s="20" t="str">
        <x:v>公式通常掲載</x:v>
      </x:c>
      <x:c r="U33" s="20" t="str">
        <x:v>公式金融条件に割引前47,990。正規店Listenpreisでも一致。割引後34,981は別欄。</x:v>
      </x:c>
      <x:c r="V33" s="20"/>
      <x:c r="W33" s="15" t="str">
        <x:v>https://www.byd.com/de/angebot-2026/seal</x:v>
      </x:c>
      <x:c r="X33" s="15" t="str">
        <x:v>https://onlinesale.jacobs-gruppe.de/fahrzeuge/seal-2026-comfort</x:v>
      </x:c>
    </x:row>
    <x:row r="34" ht="68" customHeight="1">
      <x:c r="A34" s="2" t="str">
        <x:v>SEA_BR</x:v>
      </x:c>
      <x:c r="B34" s="2" t="str">
        <x:v>ブラジル</x:v>
      </x:c>
      <x:c r="C34" s="2" t="str">
        <x:v>BYD</x:v>
      </x:c>
      <x:c r="D34" s="2" t="str">
        <x:v>Seal</x:v>
      </x:c>
      <x:c r="E34" s="2" t="str">
        <x:v>Seal</x:v>
      </x:c>
      <x:c r="F34" s="2" t="str">
        <x:v>2026/2027</x:v>
      </x:c>
      <x:c r="G34" s="2" t="str">
        <x:v>BEV</x:v>
      </x:c>
      <x:c r="H34" s="18"/>
      <x:c r="I34" s="2" t="str">
        <x:v>BRL</x:v>
      </x:c>
      <x:c r="J34" s="19" t="n">
        <x:v>299990</x:v>
      </x:c>
      <x:c r="K34" s="19"/>
      <x:c r="L34" s="20" t="str"/>
      <x:c r="M34" s="20" t="str">
        <x:v>Preço sugerido / 下取割引前</x:v>
      </x:c>
      <x:c r="N34" s="20" t="str">
        <x:v>メーカー・輸入者</x:v>
      </x:c>
      <x:c r="O34" s="21"/>
      <x:c r="P34" s="21" t="d">
        <x:v>2026-10-07T00:00:00.000Z</x:v>
      </x:c>
      <x:c r="Q34" s="16" t="n">
        <x:f>IF(J34="","",J34*'為替'!$B$7/INDEX('為替'!$B$6:$B$17,MATCH(I34,'為替'!$A$6:$A$17,0)))</x:f>
        <x:v>60377.33403582719</x:v>
      </x:c>
      <x:c r="R34" s="17" t="n">
        <x:f>IF(J34="","",J34*'為替'!$B$8/INDEX('為替'!$B$6:$B$17,MATCH(I34,'為替'!$A$6:$A$17,0))/10000)</x:f>
        <x:v>954.4965887374757</x:v>
      </x:c>
      <x:c r="S34" s="17" t="str">
        <x:f>IF(OR(Q34="",INDEX('価格データ'!$J$6:$J$75,MATCH("SEA_CN",'価格データ'!$A$6:$A$75,0))=""),"",Q34/INDEX('価格データ'!$Q$6:$Q$75,MATCH("SEA_CN",'価格データ'!$A$6:$A$75,0))*100)</x:f>
      </x:c>
      <x:c r="T34" s="20" t="str">
        <x:v>公式通常掲載</x:v>
      </x:c>
      <x:c r="U34" s="20" t="str">
        <x:v>旧299,800ではなく公式2026/2027価格。グレードは当該条件欄で特定せず。</x:v>
      </x:c>
      <x:c r="V34" s="20"/>
      <x:c r="W34" s="15" t="str">
        <x:v>https://www.byd.com/br/historico-condicoes</x:v>
      </x:c>
      <x:c r="X34" s="15" t="str"/>
    </x:row>
    <x:row r="35" ht="68" customHeight="1">
      <x:c r="A35" s="2" t="str">
        <x:v>SEA_AU</x:v>
      </x:c>
      <x:c r="B35" s="2" t="str">
        <x:v>豪州</x:v>
      </x:c>
      <x:c r="C35" s="2" t="str">
        <x:v>BYD</x:v>
      </x:c>
      <x:c r="D35" s="2" t="str">
        <x:v>Seal</x:v>
      </x:c>
      <x:c r="E35" s="2" t="str">
        <x:v>Seal</x:v>
      </x:c>
      <x:c r="F35" s="2" t="str">
        <x:v>Premium</x:v>
      </x:c>
      <x:c r="G35" s="2" t="str">
        <x:v>BEV</x:v>
      </x:c>
      <x:c r="H35" s="18"/>
      <x:c r="I35" s="2" t="str">
        <x:v>AUD</x:v>
      </x:c>
      <x:c r="J35" s="19" t="n">
        <x:v>52990</x:v>
      </x:c>
      <x:c r="K35" s="19"/>
      <x:c r="L35" s="20" t="str"/>
      <x:c r="M35" s="20" t="str">
        <x:v>車両本体価格 / on-road別</x:v>
      </x:c>
      <x:c r="N35" s="20" t="str">
        <x:v>メーカー・輸入者</x:v>
      </x:c>
      <x:c r="O35" s="21"/>
      <x:c r="P35" s="21" t="d">
        <x:v>2026-10-07T00:00:00.000Z</x:v>
      </x:c>
      <x:c r="Q35" s="16" t="n">
        <x:f>IF(J35="","",J35*'為替'!$B$7/INDEX('為替'!$B$6:$B$17,MATCH(I35,'為替'!$A$6:$A$17,0)))</x:f>
        <x:v>36997.78872366791</x:v>
      </x:c>
      <x:c r="R35" s="17" t="n">
        <x:f>IF(J35="","",J35*'為替'!$B$8/INDEX('為替'!$B$6:$B$17,MATCH(I35,'為替'!$A$6:$A$17,0))/10000)</x:f>
        <x:v>584.8927199504336</x:v>
      </x:c>
      <x:c r="S35" s="17" t="str">
        <x:f>IF(OR(Q35="",INDEX('価格データ'!$J$6:$J$75,MATCH("SEA_CN",'価格データ'!$A$6:$A$75,0))=""),"",Q35/INDEX('価格データ'!$Q$6:$Q$75,MATCH("SEA_CN",'価格データ'!$A$6:$A$75,0))*100)</x:f>
      </x:c>
      <x:c r="T35" s="20" t="str">
        <x:v>公式通常掲載</x:v>
      </x:c>
      <x:c r="U35" s="20" t="str">
        <x:v>現行ConfiguratorはPremium / Performance。廃止されたDynamic 46,990は採用せず。</x:v>
      </x:c>
      <x:c r="V35" s="20"/>
      <x:c r="W35" s="15" t="str">
        <x:v>https://evdealergroup-byd.com.au/configurator/byd-seal</x:v>
      </x:c>
      <x:c r="X35" s="15" t="str"/>
    </x:row>
    <x:row r="36" ht="68" customHeight="1">
      <x:c r="A36" s="2" t="str">
        <x:v>MG4_VN</x:v>
      </x:c>
      <x:c r="B36" s="2" t="str">
        <x:v>ベトナム</x:v>
      </x:c>
      <x:c r="C36" s="2" t="str">
        <x:v>SAIC / MG</x:v>
      </x:c>
      <x:c r="D36" s="2" t="str">
        <x:v>MG4 EV（RWD系）</x:v>
      </x:c>
      <x:c r="E36" s="2" t="str">
        <x:v>MG4 EV</x:v>
      </x:c>
      <x:c r="F36" s="2" t="str">
        <x:v>DEL / 51kWh</x:v>
      </x:c>
      <x:c r="G36" s="2" t="str">
        <x:v>BEV</x:v>
      </x:c>
      <x:c r="H36" s="18" t="n">
        <x:v>51</x:v>
      </x:c>
      <x:c r="I36" s="2" t="str">
        <x:v>VND</x:v>
      </x:c>
      <x:c r="J36" s="19" t="n">
        <x:v>828000000</x:v>
      </x:c>
      <x:c r="K36" s="19"/>
      <x:c r="L36" s="20" t="str"/>
      <x:c r="M36" s="20" t="str">
        <x:v>公式価格 / 登録費等別</x:v>
      </x:c>
      <x:c r="N36" s="20" t="str">
        <x:v>メーカー・輸入者</x:v>
      </x:c>
      <x:c r="O36" s="21"/>
      <x:c r="P36" s="21" t="d">
        <x:v>2026-10-07T00:00:00.000Z</x:v>
      </x:c>
      <x:c r="Q36" s="16" t="n">
        <x:f>IF(J36="","",J36*'為替'!$B$7/INDEX('為替'!$B$6:$B$17,MATCH(I36,'為替'!$A$6:$A$17,0)))</x:f>
        <x:v>32286.995515695067</x:v>
      </x:c>
      <x:c r="R36" s="17" t="n">
        <x:f>IF(J36="","",J36*'為替'!$B$8/INDEX('為替'!$B$6:$B$17,MATCH(I36,'為替'!$A$6:$A$17,0))/10000)</x:f>
        <x:v>510.420467754111</x:v>
      </x:c>
      <x:c r="S36" s="17" t="str">
        <x:f>IF(OR(Q36="",INDEX('価格データ'!$J$6:$J$75,MATCH("MG4_CN",'価格データ'!$A$6:$A$75,0))=""),"",Q36/INDEX('価格データ'!$Q$6:$Q$75,MATCH("MG4_CN",'価格データ'!$A$6:$A$75,0))*100)</x:f>
      </x:c>
      <x:c r="T36" s="20" t="str">
        <x:v>公式通常掲載</x:v>
      </x:c>
      <x:c r="U36" s="20" t="str">
        <x:v>旧RWD系。中国の新MG4（Urban系）と別の行で管理。</x:v>
      </x:c>
      <x:c r="V36" s="20"/>
      <x:c r="W36" s="15" t="str">
        <x:v>https://mgmotor.vn/san-pham/mg4/</x:v>
      </x:c>
      <x:c r="X36" s="15" t="str"/>
    </x:row>
    <x:row r="37" ht="68" customHeight="1">
      <x:c r="A37" s="2" t="str">
        <x:v>MG4_TH</x:v>
      </x:c>
      <x:c r="B37" s="2" t="str">
        <x:v>タイ</x:v>
      </x:c>
      <x:c r="C37" s="2" t="str">
        <x:v>SAIC / MG</x:v>
      </x:c>
      <x:c r="D37" s="2" t="str">
        <x:v>MG4 EV（RWD系）</x:v>
      </x:c>
      <x:c r="E37" s="2" t="str">
        <x:v>New MG4 MY2026</x:v>
      </x:c>
      <x:c r="F37" s="2" t="str">
        <x:v>D Standard Range</x:v>
      </x:c>
      <x:c r="G37" s="2" t="str">
        <x:v>BEV</x:v>
      </x:c>
      <x:c r="H37" s="18"/>
      <x:c r="I37" s="2" t="str">
        <x:v>THB</x:v>
      </x:c>
      <x:c r="J37" s="19" t="n">
        <x:v>669900</x:v>
      </x:c>
      <x:c r="K37" s="19" t="n">
        <x:v>599900</x:v>
      </x:c>
      <x:c r="L37" s="20" t="str">
        <x:v>掲載キャンペーン価格</x:v>
      </x:c>
      <x:c r="M37" s="20" t="str">
        <x:v>通常価格 / EV3.5施策反映後</x:v>
      </x:c>
      <x:c r="N37" s="20" t="str">
        <x:v>メーカー・輸入者</x:v>
      </x:c>
      <x:c r="O37" s="21" t="d">
        <x:v>2026-09-01T00:00:00.000Z</x:v>
      </x:c>
      <x:c r="P37" s="21" t="d">
        <x:v>2026-10-07T00:00:00.000Z</x:v>
      </x:c>
      <x:c r="Q37" s="16" t="n">
        <x:f>IF(J37="","",J37*'為替'!$B$7/INDEX('為替'!$B$6:$B$17,MATCH(I37,'為替'!$A$6:$A$17,0)))</x:f>
        <x:v>19952.17015540755</x:v>
      </x:c>
      <x:c r="R37" s="17" t="n">
        <x:f>IF(J37="","",J37*'為替'!$B$8/INDEX('為替'!$B$6:$B$17,MATCH(I37,'為替'!$A$6:$A$17,0))/10000)</x:f>
        <x:v>315.420987947986</x:v>
      </x:c>
      <x:c r="S37" s="17" t="str">
        <x:f>IF(OR(Q37="",INDEX('価格データ'!$J$6:$J$75,MATCH("MG4_CN",'価格データ'!$A$6:$A$75,0))=""),"",Q37/INDEX('価格データ'!$Q$6:$Q$75,MATCH("MG4_CN",'価格データ'!$A$6:$A$75,0))*100)</x:f>
      </x:c>
      <x:c r="T37" s="20" t="str">
        <x:v>公式通常掲載</x:v>
      </x:c>
      <x:c r="U37" s="20" t="str">
        <x:v>改良RWD系。通常669,900と特価599,900を区別。</x:v>
      </x:c>
      <x:c r="V37" s="20"/>
      <x:c r="W37" s="15" t="str">
        <x:v>https://www.mgcars.com/en/promotions/New-MG4-MY2026</x:v>
      </x:c>
      <x:c r="X37" s="15" t="str"/>
    </x:row>
    <x:row r="38" ht="68" customHeight="1">
      <x:c r="A38" s="2" t="str">
        <x:v>MG4_ID</x:v>
      </x:c>
      <x:c r="B38" s="2" t="str">
        <x:v>インドネシア</x:v>
      </x:c>
      <x:c r="C38" s="2" t="str">
        <x:v>SAIC / MG</x:v>
      </x:c>
      <x:c r="D38" s="2" t="str">
        <x:v>MG4 EV（RWD系）</x:v>
      </x:c>
      <x:c r="E38" s="2" t="str">
        <x:v>MG4 EV</x:v>
      </x:c>
      <x:c r="F38" s="2" t="str">
        <x:v>CKD</x:v>
      </x:c>
      <x:c r="G38" s="2" t="str">
        <x:v>BEV</x:v>
      </x:c>
      <x:c r="H38" s="18"/>
      <x:c r="I38" s="2" t="str">
        <x:v>IDR</x:v>
      </x:c>
      <x:c r="J38" s="19"/>
      <x:c r="K38" s="19" t="n">
        <x:v>433000000</x:v>
      </x:c>
      <x:c r="L38" s="20" t="str">
        <x:v>2024/1/10発売価格・OTR Jakarta</x:v>
      </x:c>
      <x:c r="M38" s="20" t="str">
        <x:v>現行通常価格を未確認</x:v>
      </x:c>
      <x:c r="N38" s="20" t="str">
        <x:v>メーカー・輸入者</x:v>
      </x:c>
      <x:c r="O38" s="21" t="d">
        <x:v>2024-01-10T00:00:00.000Z</x:v>
      </x:c>
      <x:c r="P38" s="21" t="d">
        <x:v>2026-10-07T00:00:00.000Z</x:v>
      </x:c>
      <x:c r="Q38" s="16" t="str">
        <x:f>IF(J38="","",J38*'為替'!$B$7/INDEX('為替'!$B$6:$B$17,MATCH(I38,'為替'!$A$6:$A$17,0)))</x:f>
      </x:c>
      <x:c r="R38" s="17" t="str">
        <x:f>IF(J38="","",J38*'為替'!$B$8/INDEX('為替'!$B$6:$B$17,MATCH(I38,'為替'!$A$6:$A$17,0))/10000)</x:f>
      </x:c>
      <x:c r="S38" s="17" t="str">
        <x:f>IF(OR(Q38="",INDEX('価格データ'!$J$6:$J$75,MATCH("MG4_CN",'価格データ'!$A$6:$A$75,0))=""),"",Q38/INDEX('価格データ'!$Q$6:$Q$75,MATCH("MG4_CN",'価格データ'!$A$6:$A$75,0))*100)</x:f>
      </x:c>
      <x:c r="T38" s="23" t="str">
        <x:v>主比較対象外</x:v>
      </x:c>
      <x:c r="U38" s="20" t="str">
        <x:v>現行製品ページは最新価格を正規店に照会するよう案内。2024年発売価格を主表に転用しない。</x:v>
      </x:c>
      <x:c r="V38" s="20"/>
      <x:c r="W38" s="15" t="str">
        <x:v>https://www.mgmotor.id/news/mg-4-ev-dan-mg-zs-ev-buatan-anak-negeri-mengaspal-di-tanah-air</x:v>
      </x:c>
      <x:c r="X38" s="15" t="str">
        <x:v>https://www.mgmotor.id/mgmodels/mg4ev</x:v>
      </x:c>
    </x:row>
    <x:row r="39" ht="68" customHeight="1">
      <x:c r="A39" s="2" t="str">
        <x:v>MG4_PH</x:v>
      </x:c>
      <x:c r="B39" s="2" t="str">
        <x:v>フィリピン</x:v>
      </x:c>
      <x:c r="C39" s="2" t="str">
        <x:v>SAIC / MG</x:v>
      </x:c>
      <x:c r="D39" s="2" t="str">
        <x:v>MG4 EV（RWD系）</x:v>
      </x:c>
      <x:c r="E39" s="2" t="str">
        <x:v>MG4 EV</x:v>
      </x:c>
      <x:c r="F39" s="2" t="str">
        <x:v>STD / 51kWh</x:v>
      </x:c>
      <x:c r="G39" s="2" t="str">
        <x:v>BEV</x:v>
      </x:c>
      <x:c r="H39" s="18" t="n">
        <x:v>51</x:v>
      </x:c>
      <x:c r="I39" s="2" t="str">
        <x:v>PHP</x:v>
      </x:c>
      <x:c r="J39" s="19" t="n">
        <x:v>1468888</x:v>
      </x:c>
      <x:c r="K39" s="19"/>
      <x:c r="L39" s="20" t="str"/>
      <x:c r="M39" s="20" t="str">
        <x:v>メーカーSRP</x:v>
      </x:c>
      <x:c r="N39" s="20" t="str">
        <x:v>メーカー・輸入者</x:v>
      </x:c>
      <x:c r="O39" s="21"/>
      <x:c r="P39" s="21" t="d">
        <x:v>2026-10-07T00:00:00.000Z</x:v>
      </x:c>
      <x:c r="Q39" s="16" t="n">
        <x:f>IF(J39="","",J39*'為替'!$B$7/INDEX('為替'!$B$6:$B$17,MATCH(I39,'為替'!$A$6:$A$17,0)))</x:f>
        <x:v>23412.207394416</x:v>
      </x:c>
      <x:c r="R39" s="17" t="n">
        <x:f>IF(J39="","",J39*'為替'!$B$8/INDEX('為替'!$B$6:$B$17,MATCH(I39,'為替'!$A$6:$A$17,0))/10000)</x:f>
        <x:v>370.12021894713024</x:v>
      </x:c>
      <x:c r="S39" s="17" t="str">
        <x:f>IF(OR(Q39="",INDEX('価格データ'!$J$6:$J$75,MATCH("MG4_CN",'価格データ'!$A$6:$A$75,0))=""),"",Q39/INDEX('価格データ'!$Q$6:$Q$75,MATCH("MG4_CN",'価格データ'!$A$6:$A$75,0))*100)</x:f>
      </x:c>
      <x:c r="T39" s="20" t="str">
        <x:v>公式通常掲載</x:v>
      </x:c>
      <x:c r="U39" s="20" t="str">
        <x:v>Urbanは別行。</x:v>
      </x:c>
      <x:c r="V39" s="20"/>
      <x:c r="W39" s="15" t="str">
        <x:v>https://mgmotor.com.ph/pricelist</x:v>
      </x:c>
      <x:c r="X39" s="15" t="str"/>
    </x:row>
    <x:row r="40" ht="68" customHeight="1">
      <x:c r="A40" s="2" t="str">
        <x:v>MG4_MY</x:v>
      </x:c>
      <x:c r="B40" s="2" t="str">
        <x:v>マレーシア</x:v>
      </x:c>
      <x:c r="C40" s="2" t="str">
        <x:v>SAIC / MG</x:v>
      </x:c>
      <x:c r="D40" s="2" t="str">
        <x:v>MG4 EV（RWD系）</x:v>
      </x:c>
      <x:c r="E40" s="2" t="str">
        <x:v>MG4 EV</x:v>
      </x:c>
      <x:c r="F40" s="2" t="str">
        <x:v>Lux</x:v>
      </x:c>
      <x:c r="G40" s="2" t="str">
        <x:v>BEV</x:v>
      </x:c>
      <x:c r="H40" s="18"/>
      <x:c r="I40" s="2" t="str">
        <x:v>MYR</x:v>
      </x:c>
      <x:c r="J40" s="19" t="n">
        <x:v>100888</x:v>
      </x:c>
      <x:c r="K40" s="19"/>
      <x:c r="L40" s="20" t="str"/>
      <x:c r="M40" s="20" t="str">
        <x:v>メーカー改定価格</x:v>
      </x:c>
      <x:c r="N40" s="20" t="str">
        <x:v>メーカー・輸入者</x:v>
      </x:c>
      <x:c r="O40" s="21" t="d">
        <x:v>2025-10-01T00:00:00.000Z</x:v>
      </x:c>
      <x:c r="P40" s="21" t="d">
        <x:v>2026-10-07T00:00:00.000Z</x:v>
      </x:c>
      <x:c r="Q40" s="16" t="n">
        <x:f>IF(J40="","",J40*'為替'!$B$7/INDEX('為替'!$B$6:$B$17,MATCH(I40,'為替'!$A$6:$A$17,0)))</x:f>
        <x:v>24697.11239518617</x:v>
      </x:c>
      <x:c r="R40" s="17" t="n">
        <x:f>IF(J40="","",J40*'為替'!$B$8/INDEX('為替'!$B$6:$B$17,MATCH(I40,'為替'!$A$6:$A$17,0))/10000)</x:f>
        <x:v>390.4330972759265</x:v>
      </x:c>
      <x:c r="S40" s="17" t="str">
        <x:f>IF(OR(Q40="",INDEX('価格データ'!$J$6:$J$75,MATCH("MG4_CN",'価格データ'!$A$6:$A$75,0))=""),"",Q40/INDEX('価格データ'!$Q$6:$Q$75,MATCH("MG4_CN",'価格データ'!$A$6:$A$75,0))*100)</x:f>
      </x:c>
      <x:c r="T40" s="20" t="str">
        <x:v>過去発表・要更新</x:v>
      </x:c>
      <x:c r="U40" s="20" t="str">
        <x:v>公式2025/10恒常値下げ。2026の再改定有無は要更新。</x:v>
      </x:c>
      <x:c r="V40" s="20"/>
      <x:c r="W40" s="15" t="str">
        <x:v>https://www.mgmalaysia.com/2025/10/01/mg-motor-malaysia-announces-mg4-the-hottest-ev-hatchback-with-a-stronger-value-proposition/</x:v>
      </x:c>
      <x:c r="X40" s="15" t="str"/>
    </x:row>
    <x:row r="41" ht="68" customHeight="1">
      <x:c r="A41" s="2" t="str">
        <x:v>MG4_SG</x:v>
      </x:c>
      <x:c r="B41" s="2" t="str">
        <x:v>シンガポール</x:v>
      </x:c>
      <x:c r="C41" s="2" t="str">
        <x:v>SAIC / MG</x:v>
      </x:c>
      <x:c r="D41" s="2" t="str">
        <x:v>MG4 EV（RWD系）</x:v>
      </x:c>
      <x:c r="E41" s="2" t="str">
        <x:v>MG4 EV</x:v>
      </x:c>
      <x:c r="F41" s="2" t="str">
        <x:v>旧RWD系</x:v>
      </x:c>
      <x:c r="G41" s="2" t="str">
        <x:v>BEV</x:v>
      </x:c>
      <x:c r="H41" s="18"/>
      <x:c r="I41" s="2" t="str">
        <x:v>SGD</x:v>
      </x:c>
      <x:c r="J41" s="19"/>
      <x:c r="K41" s="19"/>
      <x:c r="L41" s="20" t="str"/>
      <x:c r="M41" s="20" t="str">
        <x:v>最新価格表に記載なし</x:v>
      </x:c>
      <x:c r="N41" s="20" t="str">
        <x:v>メーカー・輸入者</x:v>
      </x:c>
      <x:c r="O41" s="21" t="d">
        <x:v>2026-09-24T00:00:00.000Z</x:v>
      </x:c>
      <x:c r="P41" s="21" t="d">
        <x:v>2026-10-07T00:00:00.000Z</x:v>
      </x:c>
      <x:c r="Q41" s="16" t="str">
        <x:f>IF(J41="","",J41*'為替'!$B$7/INDEX('為替'!$B$6:$B$17,MATCH(I41,'為替'!$A$6:$A$17,0)))</x:f>
      </x:c>
      <x:c r="R41" s="17" t="str">
        <x:f>IF(J41="","",J41*'為替'!$B$8/INDEX('為替'!$B$6:$B$17,MATCH(I41,'為替'!$A$6:$A$17,0))/10000)</x:f>
      </x:c>
      <x:c r="S41" s="17" t="str">
        <x:f>IF(OR(Q41="",INDEX('価格データ'!$J$6:$J$75,MATCH("MG4_CN",'価格データ'!$A$6:$A$75,0))=""),"",Q41/INDEX('価格データ'!$Q$6:$Q$75,MATCH("MG4_CN",'価格データ'!$A$6:$A$75,0))*100)</x:f>
      </x:c>
      <x:c r="T41" s="23" t="str">
        <x:v>主比較対象外</x:v>
      </x:c>
      <x:c r="U41" s="20" t="str">
        <x:v>最新Eurokars価格表はMG4 Urbanのみ。旧Trophyの過去価格は採用せず。</x:v>
      </x:c>
      <x:c r="V41" s="20"/>
      <x:c r="W41" s="15" t="str">
        <x:v>https://media.i-sgcm.com/public/new-cars/pricelist/82/2026-09-25.pdf</x:v>
      </x:c>
      <x:c r="X41" s="15" t="str"/>
    </x:row>
    <x:row r="42" ht="68" customHeight="1">
      <x:c r="A42" s="2" t="str">
        <x:v>MG4_CN</x:v>
      </x:c>
      <x:c r="B42" s="2" t="str">
        <x:v>中国</x:v>
      </x:c>
      <x:c r="C42" s="2" t="str">
        <x:v>SAIC / MG</x:v>
      </x:c>
      <x:c r="D42" s="2" t="str">
        <x:v>MG4 EV（RWD系）</x:v>
      </x:c>
      <x:c r="E42" s="2" t="str">
        <x:v>MG4 EV / MULAN</x:v>
      </x:c>
      <x:c r="F42" s="2" t="str">
        <x:v>旧RWD系</x:v>
      </x:c>
      <x:c r="G42" s="2" t="str">
        <x:v>BEV</x:v>
      </x:c>
      <x:c r="H42" s="18"/>
      <x:c r="I42" s="2" t="str">
        <x:v>CNY</x:v>
      </x:c>
      <x:c r="J42" s="19"/>
      <x:c r="K42" s="19"/>
      <x:c r="L42" s="20" t="str"/>
      <x:c r="M42" s="20" t="str">
        <x:v>現行価格未確認</x:v>
      </x:c>
      <x:c r="N42" s="20" t="str">
        <x:v>メーカー・輸入者</x:v>
      </x:c>
      <x:c r="O42" s="21"/>
      <x:c r="P42" s="21" t="d">
        <x:v>2026-10-07T00:00:00.000Z</x:v>
      </x:c>
      <x:c r="Q42" s="16" t="str">
        <x:f>IF(J42="","",J42*'為替'!$B$7/INDEX('為替'!$B$6:$B$17,MATCH(I42,'為替'!$A$6:$A$17,0)))</x:f>
      </x:c>
      <x:c r="R42" s="17" t="str">
        <x:f>IF(J42="","",J42*'為替'!$B$8/INDEX('為替'!$B$6:$B$17,MATCH(I42,'為替'!$A$6:$A$17,0))/10000)</x:f>
      </x:c>
      <x:c r="S42" s="17" t="str">
        <x:f>IF(OR(Q42="",INDEX('価格データ'!$J$6:$J$75,MATCH("MG4_CN",'価格データ'!$A$6:$A$75,0))=""),"",Q42/INDEX('価格データ'!$Q$6:$Q$75,MATCH("MG4_CN",'価格データ'!$A$6:$A$75,0))*100)</x:f>
      </x:c>
      <x:c r="T42" s="23" t="str">
        <x:v>主比較対象外</x:v>
      </x:c>
      <x:c r="U42" s="20" t="str">
        <x:v>現行中国MG4は新FWD系。旧MULANの価格を新MG4と混同しない。</x:v>
      </x:c>
      <x:c r="V42" s="20"/>
      <x:c r="W42" s="15" t="str">
        <x:v>https://www.saicmg.com/</x:v>
      </x:c>
      <x:c r="X42" s="15" t="str"/>
    </x:row>
    <x:row r="43" ht="68" customHeight="1">
      <x:c r="A43" s="2" t="str">
        <x:v>MG4_DE</x:v>
      </x:c>
      <x:c r="B43" s="2" t="str">
        <x:v>ドイツ</x:v>
      </x:c>
      <x:c r="C43" s="2" t="str">
        <x:v>SAIC / MG</x:v>
      </x:c>
      <x:c r="D43" s="2" t="str">
        <x:v>MG4 EV（RWD系）</x:v>
      </x:c>
      <x:c r="E43" s="2" t="str">
        <x:v>MG4 EV MY26</x:v>
      </x:c>
      <x:c r="F43" s="2" t="str">
        <x:v>Premium / 64kWh</x:v>
      </x:c>
      <x:c r="G43" s="2" t="str">
        <x:v>BEV</x:v>
      </x:c>
      <x:c r="H43" s="18" t="n">
        <x:v>64</x:v>
      </x:c>
      <x:c r="I43" s="2" t="str">
        <x:v>EUR</x:v>
      </x:c>
      <x:c r="J43" s="19" t="n">
        <x:v>42990</x:v>
      </x:c>
      <x:c r="K43" s="19"/>
      <x:c r="L43" s="20" t="str"/>
      <x:c r="M43" s="20" t="str">
        <x:v>VAT込 / 配送等別 / UPE</x:v>
      </x:c>
      <x:c r="N43" s="20" t="str">
        <x:v>メーカー・輸入者</x:v>
      </x:c>
      <x:c r="O43" s="21" t="d">
        <x:v>2026-03-16T00:00:00.000Z</x:v>
      </x:c>
      <x:c r="P43" s="21" t="d">
        <x:v>2026-10-07T00:00:00.000Z</x:v>
      </x:c>
      <x:c r="Q43" s="16" t="n">
        <x:f>IF(J43="","",J43*'為替'!$B$7/INDEX('為替'!$B$6:$B$17,MATCH(I43,'為替'!$A$6:$A$17,0)))</x:f>
        <x:v>48445.431000000004</x:v>
      </x:c>
      <x:c r="R43" s="17" t="n">
        <x:f>IF(J43="","",J43*'為替'!$B$8/INDEX('為替'!$B$6:$B$17,MATCH(I43,'為替'!$A$6:$A$17,0))/10000)</x:f>
        <x:v>765.86685</x:v>
      </x:c>
      <x:c r="S43" s="17" t="str">
        <x:f>IF(OR(Q43="",INDEX('価格データ'!$J$6:$J$75,MATCH("MG4_CN",'価格データ'!$A$6:$A$75,0))=""),"",Q43/INDEX('価格データ'!$Q$6:$Q$75,MATCH("MG4_CN",'価格データ'!$A$6:$A$75,0))*100)</x:f>
      </x:c>
      <x:c r="T43" s="20" t="str">
        <x:v>公式通常掲載</x:v>
      </x:c>
      <x:c r="U43" s="20" t="str">
        <x:v>64kWhから。51kWh開始の他市場との差は電池・装備を含む。</x:v>
      </x:c>
      <x:c r="V43" s="20"/>
      <x:c r="W43" s="15" t="str">
        <x:v>https://mgmotor.media/elektro-offensive-deutschland-start-von-mg4-ev-und-mgs6-ev/</x:v>
      </x:c>
      <x:c r="X43" s="15" t="str"/>
    </x:row>
    <x:row r="44" ht="68" customHeight="1">
      <x:c r="A44" s="2" t="str">
        <x:v>MG4_BR</x:v>
      </x:c>
      <x:c r="B44" s="2" t="str">
        <x:v>ブラジル</x:v>
      </x:c>
      <x:c r="C44" s="2" t="str">
        <x:v>SAIC / MG</x:v>
      </x:c>
      <x:c r="D44" s="2" t="str">
        <x:v>MG4 EV（RWD系）</x:v>
      </x:c>
      <x:c r="E44" s="2" t="str">
        <x:v>MG4</x:v>
      </x:c>
      <x:c r="F44" s="2" t="str">
        <x:v>Comfort 26/27</x:v>
      </x:c>
      <x:c r="G44" s="2" t="str">
        <x:v>BEV</x:v>
      </x:c>
      <x:c r="H44" s="18"/>
      <x:c r="I44" s="2" t="str">
        <x:v>BRL</x:v>
      </x:c>
      <x:c r="J44" s="19" t="n">
        <x:v>184600</x:v>
      </x:c>
      <x:c r="K44" s="19" t="n">
        <x:v>169600</x:v>
      </x:c>
      <x:c r="L44" s="20" t="str">
        <x:v>10月特価 / 融資条件掲載</x:v>
      </x:c>
      <x:c r="M44" s="20" t="str">
        <x:v>通常価格（De） / 割引前</x:v>
      </x:c>
      <x:c r="N44" s="20" t="str">
        <x:v>メーカー・輸入者</x:v>
      </x:c>
      <x:c r="O44" s="21"/>
      <x:c r="P44" s="21" t="d">
        <x:v>2026-10-07T00:00:00.000Z</x:v>
      </x:c>
      <x:c r="Q44" s="16" t="n">
        <x:f>IF(J44="","",J44*'為替'!$B$7/INDEX('為替'!$B$6:$B$17,MATCH(I44,'為替'!$A$6:$A$17,0)))</x:f>
        <x:v>37153.42465753425</x:v>
      </x:c>
      <x:c r="R44" s="17" t="n">
        <x:f>IF(J44="","",J44*'為替'!$B$8/INDEX('為替'!$B$6:$B$17,MATCH(I44,'為替'!$A$6:$A$17,0))/10000)</x:f>
        <x:v>587.353146041328</x:v>
      </x:c>
      <x:c r="S44" s="17" t="str">
        <x:f>IF(OR(Q44="",INDEX('価格データ'!$J$6:$J$75,MATCH("MG4_CN",'価格データ'!$A$6:$A$75,0))=""),"",Q44/INDEX('価格データ'!$Q$6:$Q$75,MATCH("MG4_CN",'価格データ'!$A$6:$A$75,0))*100)</x:f>
      </x:c>
      <x:c r="T44" s="20" t="str">
        <x:v>公式通常掲載</x:v>
      </x:c>
      <x:c r="U44" s="20" t="str">
        <x:v>10月の公式広告でDe184,600 / por169,600。希望通常価格を採用。</x:v>
      </x:c>
      <x:c r="V44" s="20"/>
      <x:c r="W44" s="15" t="str">
        <x:v>https://mgmotoroficial.com.br/oferta/mg4/</x:v>
      </x:c>
      <x:c r="X44" s="15" t="str"/>
    </x:row>
    <x:row r="45" ht="68" customHeight="1">
      <x:c r="A45" s="2" t="str">
        <x:v>MG4_AU</x:v>
      </x:c>
      <x:c r="B45" s="2" t="str">
        <x:v>豪州</x:v>
      </x:c>
      <x:c r="C45" s="2" t="str">
        <x:v>SAIC / MG</x:v>
      </x:c>
      <x:c r="D45" s="2" t="str">
        <x:v>MG4 EV（RWD系）</x:v>
      </x:c>
      <x:c r="E45" s="2" t="str">
        <x:v>MG4 EV MY26</x:v>
      </x:c>
      <x:c r="F45" s="2" t="str">
        <x:v>Essence 64</x:v>
      </x:c>
      <x:c r="G45" s="2" t="str">
        <x:v>BEV</x:v>
      </x:c>
      <x:c r="H45" s="18" t="n">
        <x:v>64</x:v>
      </x:c>
      <x:c r="I45" s="2" t="str">
        <x:v>AUD</x:v>
      </x:c>
      <x:c r="J45" s="19"/>
      <x:c r="K45" s="19" t="n">
        <x:v>39990</x:v>
      </x:c>
      <x:c r="L45" s="20" t="str">
        <x:v>公式Driveaway / 9月条件の残存掲載</x:v>
      </x:c>
      <x:c r="M45" s="20" t="str">
        <x:v>MSRPを未確認 / DAPのみ公開</x:v>
      </x:c>
      <x:c r="N45" s="20" t="str">
        <x:v>メーカー・輸入者</x:v>
      </x:c>
      <x:c r="O45" s="21"/>
      <x:c r="P45" s="21" t="d">
        <x:v>2026-10-07T00:00:00.000Z</x:v>
      </x:c>
      <x:c r="Q45" s="16" t="str">
        <x:f>IF(J45="","",J45*'為替'!$B$7/INDEX('為替'!$B$6:$B$17,MATCH(I45,'為替'!$A$6:$A$17,0)))</x:f>
      </x:c>
      <x:c r="R45" s="17" t="str">
        <x:f>IF(J45="","",J45*'為替'!$B$8/INDEX('為替'!$B$6:$B$17,MATCH(I45,'為替'!$A$6:$A$17,0))/10000)</x:f>
      </x:c>
      <x:c r="S45" s="17" t="str">
        <x:f>IF(OR(Q45="",INDEX('価格データ'!$J$6:$J$75,MATCH("MG4_CN",'価格データ'!$A$6:$A$75,0))=""),"",Q45/INDEX('価格データ'!$Q$6:$Q$75,MATCH("MG4_CN",'価格データ'!$A$6:$A$75,0))*100)</x:f>
      </x:c>
      <x:c r="T45" s="23" t="str">
        <x:v>主比較対象外</x:v>
      </x:c>
      <x:c r="U45" s="20" t="str">
        <x:v>39,990はDriveaway。登録・CTP・印紙・配送を含み本体MSRPとは区別。</x:v>
      </x:c>
      <x:c r="V45" s="20"/>
      <x:c r="W45" s="15" t="str">
        <x:v>https://mgmotor.com.au/configurator/mg4-ev</x:v>
      </x:c>
      <x:c r="X45" s="15"/>
    </x:row>
    <x:row r="46" ht="68" customHeight="1">
      <x:c r="A46" s="2" t="str">
        <x:v>URB_VN</x:v>
      </x:c>
      <x:c r="B46" s="2" t="str">
        <x:v>ベトナム</x:v>
      </x:c>
      <x:c r="C46" s="2" t="str">
        <x:v>SAIC / MG</x:v>
      </x:c>
      <x:c r="D46" s="2" t="str">
        <x:v>MG4 Urban（FWD系）</x:v>
      </x:c>
      <x:c r="E46" s="2" t="str">
        <x:v>MG4 Urban（FWD系）</x:v>
      </x:c>
      <x:c r="F46" s="2" t="str">
        <x:v>未確認</x:v>
      </x:c>
      <x:c r="G46" s="2" t="str">
        <x:v>BEV</x:v>
      </x:c>
      <x:c r="H46" s="18"/>
      <x:c r="I46" s="2" t="str">
        <x:v>VND</x:v>
      </x:c>
      <x:c r="J46" s="19"/>
      <x:c r="K46" s="19"/>
      <x:c r="L46" s="20" t="str"/>
      <x:c r="M46" s="20" t="str">
        <x:v>同系統の通常価格未確認</x:v>
      </x:c>
      <x:c r="N46" s="20" t="str">
        <x:v>未確認</x:v>
      </x:c>
      <x:c r="O46" s="21"/>
      <x:c r="P46" s="21" t="d">
        <x:v>2026-10-07T00:00:00.000Z</x:v>
      </x:c>
      <x:c r="Q46" s="16" t="str">
        <x:f>IF(J46="","",J46*'為替'!$B$7/INDEX('為替'!$B$6:$B$17,MATCH(I46,'為替'!$A$6:$A$17,0)))</x:f>
      </x:c>
      <x:c r="R46" s="17" t="str">
        <x:f>IF(J46="","",J46*'為替'!$B$8/INDEX('為替'!$B$6:$B$17,MATCH(I46,'為替'!$A$6:$A$17,0))/10000)</x:f>
      </x:c>
      <x:c r="S46" s="17" t="str">
        <x:f>IF(OR(Q46="",INDEX('価格データ'!$J$6:$J$75,MATCH("URB_CN",'価格データ'!$A$6:$A$75,0))=""),"",Q46/INDEX('価格データ'!$Q$6:$Q$75,MATCH("URB_CN",'価格データ'!$A$6:$A$75,0))*100)</x:f>
      </x:c>
      <x:c r="T46" s="23" t="str">
        <x:v>主比較対象外</x:v>
      </x:c>
      <x:c r="U46" s="20" t="str">
        <x:v>ベトナム公式でUrbanの通常価格を確認できず。旧MG4 EVと混同しない。</x:v>
      </x:c>
      <x:c r="V46" s="20"/>
      <x:c r="W46" s="15" t="str">
        <x:v>https://mgmotor.vn/</x:v>
      </x:c>
      <x:c r="X46" s="15" t="str"/>
    </x:row>
    <x:row r="47" ht="68" customHeight="1">
      <x:c r="A47" s="2" t="str">
        <x:v>URB_TH</x:v>
      </x:c>
      <x:c r="B47" s="2" t="str">
        <x:v>タイ</x:v>
      </x:c>
      <x:c r="C47" s="2" t="str">
        <x:v>SAIC / MG</x:v>
      </x:c>
      <x:c r="D47" s="2" t="str">
        <x:v>MG4 Urban（FWD系）</x:v>
      </x:c>
      <x:c r="E47" s="2" t="str">
        <x:v>MG Urban</x:v>
      </x:c>
      <x:c r="F47" s="2" t="str">
        <x:v>最低掲載仕様</x:v>
      </x:c>
      <x:c r="G47" s="2" t="str">
        <x:v>BEV</x:v>
      </x:c>
      <x:c r="H47" s="18"/>
      <x:c r="I47" s="2" t="str">
        <x:v>THB</x:v>
      </x:c>
      <x:c r="J47" s="19" t="n">
        <x:v>579900</x:v>
      </x:c>
      <x:c r="K47" s="19" t="n">
        <x:v>549900</x:v>
      </x:c>
      <x:c r="L47" s="20" t="str">
        <x:v>掲載キャンペーン価格</x:v>
      </x:c>
      <x:c r="M47" s="20" t="str">
        <x:v>メーカー通常from</x:v>
      </x:c>
      <x:c r="N47" s="20" t="str">
        <x:v>メーカー・輸入者</x:v>
      </x:c>
      <x:c r="O47" s="21"/>
      <x:c r="P47" s="21" t="d">
        <x:v>2026-10-07T00:00:00.000Z</x:v>
      </x:c>
      <x:c r="Q47" s="16" t="n">
        <x:f>IF(J47="","",J47*'為替'!$B$7/INDEX('為替'!$B$6:$B$17,MATCH(I47,'為替'!$A$6:$A$17,0)))</x:f>
        <x:v>17271.62781477958</x:v>
      </x:c>
      <x:c r="R47" s="17" t="n">
        <x:f>IF(J47="","",J47*'為替'!$B$8/INDEX('為替'!$B$6:$B$17,MATCH(I47,'為替'!$A$6:$A$17,0))/10000)</x:f>
        <x:v>273.0446796701554</x:v>
      </x:c>
      <x:c r="S47" s="17" t="n">
        <x:f>IF(OR(Q47="",INDEX('価格データ'!$J$6:$J$75,MATCH("URB_CN",'価格データ'!$A$6:$A$75,0))=""),"",Q47/INDEX('価格データ'!$Q$6:$Q$75,MATCH("URB_CN",'価格データ'!$A$6:$A$75,0))*100)</x:f>
        <x:v>168.31271113151743</x:v>
      </x:c>
      <x:c r="T47" s="20" t="str">
        <x:v>公式通常掲載</x:v>
      </x:c>
      <x:c r="U47" s="20" t="str">
        <x:v>旧MG4とは別モデル。掲載キャンペーン549,900は別。</x:v>
      </x:c>
      <x:c r="V47" s="20"/>
      <x:c r="W47" s="15" t="str">
        <x:v>https://www.mgcars.com/en/cars/mg-urban</x:v>
      </x:c>
      <x:c r="X47" s="15" t="str"/>
    </x:row>
    <x:row r="48" ht="68" customHeight="1">
      <x:c r="A48" s="2" t="str">
        <x:v>URB_ID</x:v>
      </x:c>
      <x:c r="B48" s="2" t="str">
        <x:v>インドネシア</x:v>
      </x:c>
      <x:c r="C48" s="2" t="str">
        <x:v>SAIC / MG</x:v>
      </x:c>
      <x:c r="D48" s="2" t="str">
        <x:v>MG4 Urban（FWD系）</x:v>
      </x:c>
      <x:c r="E48" s="2" t="str">
        <x:v>MG4 Urban（FWD系）</x:v>
      </x:c>
      <x:c r="F48" s="2" t="str">
        <x:v>未確認</x:v>
      </x:c>
      <x:c r="G48" s="2" t="str">
        <x:v>BEV</x:v>
      </x:c>
      <x:c r="H48" s="18"/>
      <x:c r="I48" s="2" t="str">
        <x:v>IDR</x:v>
      </x:c>
      <x:c r="J48" s="19"/>
      <x:c r="K48" s="19"/>
      <x:c r="L48" s="20" t="str"/>
      <x:c r="M48" s="20" t="str">
        <x:v>同系統の通常価格未確認</x:v>
      </x:c>
      <x:c r="N48" s="20" t="str">
        <x:v>未確認</x:v>
      </x:c>
      <x:c r="O48" s="21"/>
      <x:c r="P48" s="21" t="d">
        <x:v>2026-10-07T00:00:00.000Z</x:v>
      </x:c>
      <x:c r="Q48" s="16" t="str">
        <x:f>IF(J48="","",J48*'為替'!$B$7/INDEX('為替'!$B$6:$B$17,MATCH(I48,'為替'!$A$6:$A$17,0)))</x:f>
      </x:c>
      <x:c r="R48" s="17" t="str">
        <x:f>IF(J48="","",J48*'為替'!$B$8/INDEX('為替'!$B$6:$B$17,MATCH(I48,'為替'!$A$6:$A$17,0))/10000)</x:f>
      </x:c>
      <x:c r="S48" s="17" t="str">
        <x:f>IF(OR(Q48="",INDEX('価格データ'!$J$6:$J$75,MATCH("URB_CN",'価格データ'!$A$6:$A$75,0))=""),"",Q48/INDEX('価格データ'!$Q$6:$Q$75,MATCH("URB_CN",'価格データ'!$A$6:$A$75,0))*100)</x:f>
      </x:c>
      <x:c r="T48" s="23" t="str">
        <x:v>主比較対象外</x:v>
      </x:c>
      <x:c r="U48" s="20" t="str">
        <x:v>インドネシア公式で新FWD Urbanの通常価格を確認できず。</x:v>
      </x:c>
      <x:c r="V48" s="20"/>
      <x:c r="W48" s="15" t="str">
        <x:v>https://www.mgmotor.id/</x:v>
      </x:c>
      <x:c r="X48" s="15" t="str"/>
    </x:row>
    <x:row r="49" ht="68" customHeight="1">
      <x:c r="A49" s="2" t="str">
        <x:v>URB_PH</x:v>
      </x:c>
      <x:c r="B49" s="2" t="str">
        <x:v>フィリピン</x:v>
      </x:c>
      <x:c r="C49" s="2" t="str">
        <x:v>SAIC / MG</x:v>
      </x:c>
      <x:c r="D49" s="2" t="str">
        <x:v>MG4 Urban（FWD系）</x:v>
      </x:c>
      <x:c r="E49" s="2" t="str">
        <x:v>MG4 Urban</x:v>
      </x:c>
      <x:c r="F49" s="2" t="str">
        <x:v>最低掲載仕様</x:v>
      </x:c>
      <x:c r="G49" s="2" t="str">
        <x:v>BEV</x:v>
      </x:c>
      <x:c r="H49" s="18"/>
      <x:c r="I49" s="2" t="str">
        <x:v>PHP</x:v>
      </x:c>
      <x:c r="J49" s="19" t="n">
        <x:v>1198888</x:v>
      </x:c>
      <x:c r="K49" s="19" t="n">
        <x:v>1148888</x:v>
      </x:c>
      <x:c r="L49" s="20" t="str">
        <x:v>初回100台特価</x:v>
      </x:c>
      <x:c r="M49" s="20" t="str">
        <x:v>メーカーSRP</x:v>
      </x:c>
      <x:c r="N49" s="20" t="str">
        <x:v>メーカー・輸入者</x:v>
      </x:c>
      <x:c r="O49" s="21"/>
      <x:c r="P49" s="21" t="d">
        <x:v>2026-10-07T00:00:00.000Z</x:v>
      </x:c>
      <x:c r="Q49" s="16" t="n">
        <x:f>IF(J49="","",J49*'為替'!$B$7/INDEX('為替'!$B$6:$B$17,MATCH(I49,'為替'!$A$6:$A$17,0)))</x:f>
        <x:v>19108.750632231055</x:v>
      </x:c>
      <x:c r="R49" s="17" t="n">
        <x:f>IF(J49="","",J49*'為替'!$B$8/INDEX('為替'!$B$6:$B$17,MATCH(I49,'為替'!$A$6:$A$17,0))/10000)</x:f>
        <x:v>302.08749002857064</x:v>
      </x:c>
      <x:c r="S49" s="17" t="n">
        <x:f>IF(OR(Q49="",INDEX('価格データ'!$J$6:$J$75,MATCH("URB_CN",'価格データ'!$A$6:$A$75,0))=""),"",Q49/INDEX('価格データ'!$Q$6:$Q$75,MATCH("URB_CN",'価格データ'!$A$6:$A$75,0))*100)</x:f>
        <x:v>186.2155472395439</x:v>
      </x:c>
      <x:c r="T49" s="20" t="str">
        <x:v>公式通常掲載</x:v>
      </x:c>
      <x:c r="U49" s="20" t="str">
        <x:v>初回100台特価を除く。旧MG4 RWDと別モデル。</x:v>
      </x:c>
      <x:c r="V49" s="20"/>
      <x:c r="W49" s="15" t="str">
        <x:v>https://mgmotor.com.ph/pricelist</x:v>
      </x:c>
      <x:c r="X49" s="15" t="str"/>
    </x:row>
    <x:row r="50" ht="68" customHeight="1">
      <x:c r="A50" s="2" t="str">
        <x:v>URB_MY</x:v>
      </x:c>
      <x:c r="B50" s="2" t="str">
        <x:v>マレーシア</x:v>
      </x:c>
      <x:c r="C50" s="2" t="str">
        <x:v>SAIC / MG</x:v>
      </x:c>
      <x:c r="D50" s="2" t="str">
        <x:v>MG4 Urban（FWD系）</x:v>
      </x:c>
      <x:c r="E50" s="2" t="str">
        <x:v>MG4 Urban（FWD系）</x:v>
      </x:c>
      <x:c r="F50" s="2" t="str">
        <x:v>未確認</x:v>
      </x:c>
      <x:c r="G50" s="2" t="str">
        <x:v>BEV</x:v>
      </x:c>
      <x:c r="H50" s="18"/>
      <x:c r="I50" s="2" t="str">
        <x:v>MYR</x:v>
      </x:c>
      <x:c r="J50" s="19"/>
      <x:c r="K50" s="19"/>
      <x:c r="L50" s="20" t="str"/>
      <x:c r="M50" s="20" t="str">
        <x:v>同系統の通常価格未確認</x:v>
      </x:c>
      <x:c r="N50" s="20" t="str">
        <x:v>未確認</x:v>
      </x:c>
      <x:c r="O50" s="21"/>
      <x:c r="P50" s="21" t="d">
        <x:v>2026-10-07T00:00:00.000Z</x:v>
      </x:c>
      <x:c r="Q50" s="16" t="str">
        <x:f>IF(J50="","",J50*'為替'!$B$7/INDEX('為替'!$B$6:$B$17,MATCH(I50,'為替'!$A$6:$A$17,0)))</x:f>
      </x:c>
      <x:c r="R50" s="17" t="str">
        <x:f>IF(J50="","",J50*'為替'!$B$8/INDEX('為替'!$B$6:$B$17,MATCH(I50,'為替'!$A$6:$A$17,0))/10000)</x:f>
      </x:c>
      <x:c r="S50" s="17" t="str">
        <x:f>IF(OR(Q50="",INDEX('価格データ'!$J$6:$J$75,MATCH("URB_CN",'価格データ'!$A$6:$A$75,0))=""),"",Q50/INDEX('価格データ'!$Q$6:$Q$75,MATCH("URB_CN",'価格データ'!$A$6:$A$75,0))*100)</x:f>
      </x:c>
      <x:c r="T50" s="23" t="str">
        <x:v>主比較対象外</x:v>
      </x:c>
      <x:c r="U50" s="20" t="str">
        <x:v>マレーシア公式でUrbanの通常価格を確認できず。</x:v>
      </x:c>
      <x:c r="V50" s="20"/>
      <x:c r="W50" s="15" t="str">
        <x:v>https://www.mgmalaysia.com/</x:v>
      </x:c>
      <x:c r="X50" s="15" t="str"/>
    </x:row>
    <x:row r="51" ht="68" customHeight="1">
      <x:c r="A51" s="2" t="str">
        <x:v>URB_SG</x:v>
      </x:c>
      <x:c r="B51" s="2" t="str">
        <x:v>シンガポール</x:v>
      </x:c>
      <x:c r="C51" s="2" t="str">
        <x:v>SAIC / MG</x:v>
      </x:c>
      <x:c r="D51" s="2" t="str">
        <x:v>MG4 Urban（FWD系）</x:v>
      </x:c>
      <x:c r="E51" s="2" t="str">
        <x:v>MG4 Urban</x:v>
      </x:c>
      <x:c r="F51" s="2" t="str">
        <x:v>COE A</x:v>
      </x:c>
      <x:c r="G51" s="2" t="str">
        <x:v>BEV</x:v>
      </x:c>
      <x:c r="H51" s="18"/>
      <x:c r="I51" s="2" t="str">
        <x:v>SGD</x:v>
      </x:c>
      <x:c r="J51" s="19" t="n">
        <x:v>206888</x:v>
      </x:c>
      <x:c r="K51" s="19" t="n">
        <x:v>193888</x:v>
      </x:c>
      <x:c r="L51" s="20" t="str">
        <x:v>非保証COE / 融資・下取・保険条件付</x:v>
      </x:c>
      <x:c r="M51" s="20" t="str">
        <x:v>List Price / COE・税・登録込</x:v>
      </x:c>
      <x:c r="N51" s="20" t="str">
        <x:v>メーカー・輸入者</x:v>
      </x:c>
      <x:c r="O51" s="21" t="d">
        <x:v>2026-09-24T00:00:00.000Z</x:v>
      </x:c>
      <x:c r="P51" s="21" t="d">
        <x:v>2026-10-07T00:00:00.000Z</x:v>
      </x:c>
      <x:c r="Q51" s="16" t="n">
        <x:f>IF(J51="","",J51*'為替'!$B$7/INDEX('為替'!$B$6:$B$17,MATCH(I51,'為替'!$A$6:$A$17,0)))</x:f>
        <x:v>161994.22401334075</x:v>
      </x:c>
      <x:c r="R51" s="17" t="n">
        <x:f>IF(J51="","",J51*'為替'!$B$8/INDEX('為替'!$B$6:$B$17,MATCH(I51,'為替'!$A$6:$A$17,0))/10000)</x:f>
        <x:v>2560.9433852140082</x:v>
      </x:c>
      <x:c r="S51" s="17" t="n">
        <x:f>IF(OR(Q51="",INDEX('価格データ'!$J$6:$J$75,MATCH("URB_CN",'価格データ'!$A$6:$A$75,0))=""),"",Q51/INDEX('価格データ'!$Q$6:$Q$75,MATCH("URB_CN",'価格データ'!$A$6:$A$75,0))*100)</x:f>
        <x:v>1578.6402604159935</x:v>
      </x:c>
      <x:c r="T51" s="20" t="str">
        <x:v>公式通常掲載</x:v>
      </x:c>
      <x:c r="U51" s="20" t="str">
        <x:v>Eurokars価格表p1。9/24–10/7正午有効。融資5,000・下取4,000・保険1,000控除前。</x:v>
      </x:c>
      <x:c r="V51" s="20"/>
      <x:c r="W51" s="15" t="str">
        <x:v>https://media.i-sgcm.com/public/new-cars/pricelist/82/2026-09-25.pdf</x:v>
      </x:c>
      <x:c r="X51" s="15" t="str"/>
    </x:row>
    <x:row r="52" ht="68" customHeight="1">
      <x:c r="A52" s="2" t="str">
        <x:v>URB_CN</x:v>
      </x:c>
      <x:c r="B52" s="2" t="str">
        <x:v>中国</x:v>
      </x:c>
      <x:c r="C52" s="2" t="str">
        <x:v>SAIC / MG</x:v>
      </x:c>
      <x:c r="D52" s="2" t="str">
        <x:v>MG4 Urban（FWD系）</x:v>
      </x:c>
      <x:c r="E52" s="2" t="str">
        <x:v>全新MG4 2026</x:v>
      </x:c>
      <x:c r="F52" s="2" t="str">
        <x:v>437km 随心版</x:v>
      </x:c>
      <x:c r="G52" s="2" t="str">
        <x:v>BEV</x:v>
      </x:c>
      <x:c r="H52" s="18"/>
      <x:c r="I52" s="2" t="str">
        <x:v>CNY</x:v>
      </x:c>
      <x:c r="J52" s="19" t="n">
        <x:v>68800</x:v>
      </x:c>
      <x:c r="K52" s="19" t="n">
        <x:v>65800</x:v>
      </x:c>
      <x:c r="L52" s="20" t="str">
        <x:v>限時補助3,000控除後</x:v>
      </x:c>
      <x:c r="M52" s="20" t="str">
        <x:v>メーカー指導価格（正規店掲載）</x:v>
      </x:c>
      <x:c r="N52" s="20" t="str">
        <x:v>正規販売店</x:v>
      </x:c>
      <x:c r="O52" s="21" t="d">
        <x:v>2026-04-24T00:00:00.000Z</x:v>
      </x:c>
      <x:c r="P52" s="21" t="d">
        <x:v>2026-10-07T00:00:00.000Z</x:v>
      </x:c>
      <x:c r="Q52" s="16" t="n">
        <x:f>IF(J52="","",J52*'為替'!$B$7/INDEX('為替'!$B$6:$B$17,MATCH(I52,'為替'!$A$6:$A$17,0)))</x:f>
        <x:v>10261.630092384255</x:v>
      </x:c>
      <x:c r="R52" s="17" t="n">
        <x:f>IF(J52="","",J52*'為替'!$B$8/INDEX('為替'!$B$6:$B$17,MATCH(I52,'為替'!$A$6:$A$17,0))/10000)</x:f>
        <x:v>162.2246340365831</x:v>
      </x:c>
      <x:c r="S52" s="17" t="n">
        <x:f>IF(OR(Q52="",INDEX('価格データ'!$J$6:$J$75,MATCH("URB_CN",'価格データ'!$A$6:$A$75,0))=""),"",Q52/INDEX('価格データ'!$Q$6:$Q$75,MATCH("URB_CN",'価格データ'!$A$6:$A$75,0))*100)</x:f>
        <x:v>100</x:v>
      </x:c>
      <x:c r="T52" s="20" t="str">
        <x:v>正規店掲載</x:v>
      </x:c>
      <x:c r="U52" s="20" t="str">
        <x:v>新FWD系。6.58万は補助3,000控除後。通常6.88万を採用。</x:v>
      </x:c>
      <x:c r="V52" s="20"/>
      <x:c r="W52" s="15" t="str">
        <x:v>https://dealer.yiche.com/100264046/news/202604/1392945894.html</x:v>
      </x:c>
      <x:c r="X52" s="15" t="str">
        <x:v>https://www.saicmg.com/vehicles/sedan/mg4new.html</x:v>
      </x:c>
    </x:row>
    <x:row r="53" ht="68" customHeight="1">
      <x:c r="A53" s="2" t="str">
        <x:v>URB_DE</x:v>
      </x:c>
      <x:c r="B53" s="2" t="str">
        <x:v>ドイツ</x:v>
      </x:c>
      <x:c r="C53" s="2" t="str">
        <x:v>SAIC / MG</x:v>
      </x:c>
      <x:c r="D53" s="2" t="str">
        <x:v>MG4 Urban（FWD系）</x:v>
      </x:c>
      <x:c r="E53" s="2" t="str">
        <x:v>MG4 EV Urban</x:v>
      </x:c>
      <x:c r="F53" s="2" t="str">
        <x:v>Active / 43kWh</x:v>
      </x:c>
      <x:c r="G53" s="2" t="str">
        <x:v>BEV</x:v>
      </x:c>
      <x:c r="H53" s="18" t="n">
        <x:v>43</x:v>
      </x:c>
      <x:c r="I53" s="2" t="str">
        <x:v>EUR</x:v>
      </x:c>
      <x:c r="J53" s="19" t="n">
        <x:v>24990</x:v>
      </x:c>
      <x:c r="K53" s="19"/>
      <x:c r="L53" s="20" t="str"/>
      <x:c r="M53" s="20" t="str">
        <x:v>VAT込 / 配送等別 / UPE</x:v>
      </x:c>
      <x:c r="N53" s="20" t="str">
        <x:v>メーカー・輸入者</x:v>
      </x:c>
      <x:c r="O53" s="21" t="d">
        <x:v>2026-04-20T00:00:00.000Z</x:v>
      </x:c>
      <x:c r="P53" s="21" t="d">
        <x:v>2026-10-07T00:00:00.000Z</x:v>
      </x:c>
      <x:c r="Q53" s="16" t="n">
        <x:f>IF(J53="","",J53*'為替'!$B$7/INDEX('為替'!$B$6:$B$17,MATCH(I53,'為替'!$A$6:$A$17,0)))</x:f>
        <x:v>28161.231</x:v>
      </x:c>
      <x:c r="R53" s="17" t="n">
        <x:f>IF(J53="","",J53*'為替'!$B$8/INDEX('為替'!$B$6:$B$17,MATCH(I53,'為替'!$A$6:$A$17,0))/10000)</x:f>
        <x:v>445.19685</x:v>
      </x:c>
      <x:c r="S53" s="17" t="n">
        <x:f>IF(OR(Q53="",INDEX('価格データ'!$J$6:$J$75,MATCH("URB_CN",'価格データ'!$A$6:$A$75,0))=""),"",Q53/INDEX('価格データ'!$Q$6:$Q$75,MATCH("URB_CN",'価格データ'!$A$6:$A$75,0))*100)</x:f>
        <x:v>274.43233430232556</x:v>
      </x:c>
      <x:c r="T53" s="20" t="str">
        <x:v>公式通常掲載</x:v>
      </x:c>
      <x:c r="U53" s="20" t="str">
        <x:v>中国の新MG4と同じFWD系ファミリー。電池・認証仕様は市場ごとに異なる。</x:v>
      </x:c>
      <x:c r="V53" s="20"/>
      <x:c r="W53" s="15" t="str">
        <x:v>https://mgmotor.media/der-neue-mg4-ev-urban-mehr-stadt-wagen/</x:v>
      </x:c>
      <x:c r="X53" s="15" t="str"/>
    </x:row>
    <x:row r="54" ht="68" customHeight="1">
      <x:c r="A54" s="2" t="str">
        <x:v>URB_BR</x:v>
      </x:c>
      <x:c r="B54" s="2" t="str">
        <x:v>ブラジル</x:v>
      </x:c>
      <x:c r="C54" s="2" t="str">
        <x:v>SAIC / MG</x:v>
      </x:c>
      <x:c r="D54" s="2" t="str">
        <x:v>MG4 Urban（FWD系）</x:v>
      </x:c>
      <x:c r="E54" s="2" t="str">
        <x:v>MG4 Urban</x:v>
      </x:c>
      <x:c r="F54" s="2" t="str">
        <x:v>Comfort / 43kWh</x:v>
      </x:c>
      <x:c r="G54" s="2" t="str">
        <x:v>BEV</x:v>
      </x:c>
      <x:c r="H54" s="18" t="n">
        <x:v>43</x:v>
      </x:c>
      <x:c r="I54" s="2" t="str">
        <x:v>BRL</x:v>
      </x:c>
      <x:c r="J54" s="19" t="n">
        <x:v>134990</x:v>
      </x:c>
      <x:c r="K54" s="19"/>
      <x:c r="L54" s="20" t="str"/>
      <x:c r="M54" s="20" t="str">
        <x:v>公式掲載価格 / 10月条件</x:v>
      </x:c>
      <x:c r="N54" s="20" t="str">
        <x:v>メーカー・輸入者</x:v>
      </x:c>
      <x:c r="O54" s="21"/>
      <x:c r="P54" s="21" t="d">
        <x:v>2026-10-07T00:00:00.000Z</x:v>
      </x:c>
      <x:c r="Q54" s="16" t="n">
        <x:f>IF(J54="","",J54*'為替'!$B$7/INDEX('為替'!$B$6:$B$17,MATCH(I54,'為替'!$A$6:$A$17,0)))</x:f>
        <x:v>27168.69336143309</x:v>
      </x:c>
      <x:c r="R54" s="17" t="n">
        <x:f>IF(J54="","",J54*'為替'!$B$8/INDEX('為替'!$B$6:$B$17,MATCH(I54,'為替'!$A$6:$A$17,0))/10000)</x:f>
        <x:v>429.5059652444143</x:v>
      </x:c>
      <x:c r="S54" s="17" t="n">
        <x:f>IF(OR(Q54="",INDEX('価格データ'!$J$6:$J$75,MATCH("URB_CN",'価格データ'!$A$6:$A$75,0))=""),"",Q54/INDEX('価格データ'!$Q$6:$Q$75,MATCH("URB_CN",'価格データ'!$A$6:$A$75,0))*100)</x:f>
        <x:v>264.7600148985738</x:v>
      </x:c>
      <x:c r="T54" s="20" t="str">
        <x:v>公式通常掲載</x:v>
      </x:c>
      <x:c r="U54" s="20" t="str">
        <x:v>10月公式掲載。ページに通常価格との差引表示なし。融資条件60%頭金等併記。</x:v>
      </x:c>
      <x:c r="V54" s="20"/>
      <x:c r="W54" s="15" t="str">
        <x:v>https://mgmotoroficial.com.br/oferta/mg4urban/</x:v>
      </x:c>
      <x:c r="X54" s="15" t="str"/>
    </x:row>
    <x:row r="55" ht="68" customHeight="1">
      <x:c r="A55" s="2" t="str">
        <x:v>URB_AU</x:v>
      </x:c>
      <x:c r="B55" s="2" t="str">
        <x:v>豪州</x:v>
      </x:c>
      <x:c r="C55" s="2" t="str">
        <x:v>SAIC / MG</x:v>
      </x:c>
      <x:c r="D55" s="2" t="str">
        <x:v>MG4 Urban（FWD系）</x:v>
      </x:c>
      <x:c r="E55" s="2" t="str">
        <x:v>MG4 EV Urban</x:v>
      </x:c>
      <x:c r="F55" s="2" t="str">
        <x:v>Essence 43</x:v>
      </x:c>
      <x:c r="G55" s="2" t="str">
        <x:v>BEV</x:v>
      </x:c>
      <x:c r="H55" s="18" t="n">
        <x:v>43</x:v>
      </x:c>
      <x:c r="I55" s="2" t="str">
        <x:v>AUD</x:v>
      </x:c>
      <x:c r="J55" s="19"/>
      <x:c r="K55" s="19" t="n">
        <x:v>31990</x:v>
      </x:c>
      <x:c r="L55" s="20" t="str">
        <x:v>公式Driveaway / 費用込</x:v>
      </x:c>
      <x:c r="M55" s="20" t="str">
        <x:v>MSRPを未確認 / DAPのみ公開</x:v>
      </x:c>
      <x:c r="N55" s="20" t="str">
        <x:v>メーカー・輸入者</x:v>
      </x:c>
      <x:c r="O55" s="21"/>
      <x:c r="P55" s="21" t="d">
        <x:v>2026-10-07T00:00:00.000Z</x:v>
      </x:c>
      <x:c r="Q55" s="16" t="str">
        <x:f>IF(J55="","",J55*'為替'!$B$7/INDEX('為替'!$B$6:$B$17,MATCH(I55,'為替'!$A$6:$A$17,0)))</x:f>
      </x:c>
      <x:c r="R55" s="17" t="str">
        <x:f>IF(J55="","",J55*'為替'!$B$8/INDEX('為替'!$B$6:$B$17,MATCH(I55,'為替'!$A$6:$A$17,0))/10000)</x:f>
      </x:c>
      <x:c r="S55" s="17" t="str">
        <x:f>IF(OR(Q55="",INDEX('価格データ'!$J$6:$J$75,MATCH("URB_CN",'価格データ'!$A$6:$A$75,0))=""),"",Q55/INDEX('価格データ'!$Q$6:$Q$75,MATCH("URB_CN",'価格データ'!$A$6:$A$75,0))*100)</x:f>
      </x:c>
      <x:c r="T55" s="23" t="str">
        <x:v>主比較対象外</x:v>
      </x:c>
      <x:c r="U55" s="20" t="str">
        <x:v>31,990はDriveaway。車両本体MSRPの比較から除外。</x:v>
      </x:c>
      <x:c r="V55" s="20"/>
      <x:c r="W55" s="15" t="str">
        <x:v>https://mgmotor.com.au/configurator/mg4-ev-urban</x:v>
      </x:c>
      <x:c r="X55" s="15"/>
    </x:row>
    <x:row r="56" ht="68" customHeight="1">
      <x:c r="A56" s="2" t="str">
        <x:v>C5_VN</x:v>
      </x:c>
      <x:c r="B56" s="2" t="str">
        <x:v>ベトナム</x:v>
      </x:c>
      <x:c r="C56" s="2" t="str">
        <x:v>Chery / Omoda</x:v>
      </x:c>
      <x:c r="D56" s="2" t="str">
        <x:v>Omoda C5 / Chery O5</x:v>
      </x:c>
      <x:c r="E56" s="2" t="str">
        <x:v>Omoda C5</x:v>
      </x:c>
      <x:c r="F56" s="2" t="str">
        <x:v>Luxury</x:v>
      </x:c>
      <x:c r="G56" s="2" t="str">
        <x:v>ICE</x:v>
      </x:c>
      <x:c r="H56" s="18"/>
      <x:c r="I56" s="2" t="str">
        <x:v>VND</x:v>
      </x:c>
      <x:c r="J56" s="19" t="n">
        <x:v>539000000</x:v>
      </x:c>
      <x:c r="K56" s="19"/>
      <x:c r="L56" s="20" t="str"/>
      <x:c r="M56" s="20" t="str">
        <x:v>希望小売価格 / VAT込</x:v>
      </x:c>
      <x:c r="N56" s="20" t="str">
        <x:v>メーカー・輸入者</x:v>
      </x:c>
      <x:c r="O56" s="21"/>
      <x:c r="P56" s="21" t="d">
        <x:v>2026-10-07T00:00:00.000Z</x:v>
      </x:c>
      <x:c r="Q56" s="16" t="n">
        <x:f>IF(J56="","",J56*'為替'!$B$7/INDEX('為替'!$B$6:$B$17,MATCH(I56,'為替'!$A$6:$A$17,0)))</x:f>
        <x:v>21017.742249951258</x:v>
      </x:c>
      <x:c r="R56" s="17" t="n">
        <x:f>IF(J56="","",J56*'為替'!$B$8/INDEX('為替'!$B$6:$B$17,MATCH(I56,'為替'!$A$6:$A$17,0))/10000)</x:f>
        <x:v>332.2664639123983</x:v>
      </x:c>
      <x:c r="S56" s="17" t="str">
        <x:f>IF(OR(Q56="",INDEX('価格データ'!$J$6:$J$75,MATCH("C5_CN",'価格データ'!$A$6:$A$75,0))=""),"",Q56/INDEX('価格データ'!$Q$6:$Q$75,MATCH("C5_CN",'価格データ'!$A$6:$A$75,0))*100)</x:f>
      </x:c>
      <x:c r="T56" s="20" t="str">
        <x:v>公式通常掲載</x:v>
      </x:c>
      <x:c r="U56" s="20" t="str">
        <x:v>インドネシアからの完成車輸入。ICEの最低仕様。</x:v>
      </x:c>
      <x:c r="V56" s="20"/>
      <x:c r="W56" s="15" t="str">
        <x:v>https://omodajaecoo.vn/post/omoda/omoda-c5-mau-xe-duoc-doc-gia-yeu-thich-nhat-car-award-2025-va-suc-hut-vuot-troi-trong-phan-khuc-suv-c-coupe</x:v>
      </x:c>
      <x:c r="X56" s="15" t="str"/>
    </x:row>
    <x:row r="57" ht="68" customHeight="1">
      <x:c r="A57" s="2" t="str">
        <x:v>C5_TH</x:v>
      </x:c>
      <x:c r="B57" s="2" t="str">
        <x:v>タイ</x:v>
      </x:c>
      <x:c r="C57" s="2" t="str">
        <x:v>Chery / Omoda</x:v>
      </x:c>
      <x:c r="D57" s="2" t="str">
        <x:v>Omoda C5 / Chery O5</x:v>
      </x:c>
      <x:c r="E57" s="2" t="str">
        <x:v>Omoda C5 / Chery O5</x:v>
      </x:c>
      <x:c r="F57" s="2" t="str">
        <x:v>未確認</x:v>
      </x:c>
      <x:c r="G57" s="2" t="str">
        <x:v>ICE</x:v>
      </x:c>
      <x:c r="H57" s="18"/>
      <x:c r="I57" s="2" t="str">
        <x:v>THB</x:v>
      </x:c>
      <x:c r="J57" s="19"/>
      <x:c r="K57" s="19"/>
      <x:c r="L57" s="20" t="str"/>
      <x:c r="M57" s="20" t="str">
        <x:v>同系統の通常価格未確認</x:v>
      </x:c>
      <x:c r="N57" s="20" t="str">
        <x:v>未確認</x:v>
      </x:c>
      <x:c r="O57" s="21"/>
      <x:c r="P57" s="21" t="d">
        <x:v>2026-10-07T00:00:00.000Z</x:v>
      </x:c>
      <x:c r="Q57" s="16" t="str">
        <x:f>IF(J57="","",J57*'為替'!$B$7/INDEX('為替'!$B$6:$B$17,MATCH(I57,'為替'!$A$6:$A$17,0)))</x:f>
      </x:c>
      <x:c r="R57" s="17" t="str">
        <x:f>IF(J57="","",J57*'為替'!$B$8/INDEX('為替'!$B$6:$B$17,MATCH(I57,'為替'!$A$6:$A$17,0))/10000)</x:f>
      </x:c>
      <x:c r="S57" s="17" t="str">
        <x:f>IF(OR(Q57="",INDEX('価格データ'!$J$6:$J$75,MATCH("C5_CN",'価格データ'!$A$6:$A$75,0))=""),"",Q57/INDEX('価格データ'!$Q$6:$Q$75,MATCH("C5_CN",'価格データ'!$A$6:$A$75,0))*100)</x:f>
      </x:c>
      <x:c r="T57" s="23" t="str">
        <x:v>主比較対象外</x:v>
      </x:c>
      <x:c r="U57" s="20" t="str">
        <x:v>C5 EV / E5等のBEVをICEのC5価格として代用しない。</x:v>
      </x:c>
      <x:c r="V57" s="20"/>
      <x:c r="W57" s="15" t="str">
        <x:v>https://www.omodajaecoo.co.th/</x:v>
      </x:c>
      <x:c r="X57" s="15" t="str"/>
    </x:row>
    <x:row r="58" ht="68" customHeight="1">
      <x:c r="A58" s="2" t="str">
        <x:v>C5_ID</x:v>
      </x:c>
      <x:c r="B58" s="2" t="str">
        <x:v>インドネシア</x:v>
      </x:c>
      <x:c r="C58" s="2" t="str">
        <x:v>Chery / Omoda</x:v>
      </x:c>
      <x:c r="D58" s="2" t="str">
        <x:v>Omoda C5 / Chery O5</x:v>
      </x:c>
      <x:c r="E58" s="2" t="str">
        <x:v>Chery C5</x:v>
      </x:c>
      <x:c r="F58" s="2" t="str">
        <x:v>Z</x:v>
      </x:c>
      <x:c r="G58" s="2" t="str">
        <x:v>ICE</x:v>
      </x:c>
      <x:c r="H58" s="18"/>
      <x:c r="I58" s="2" t="str">
        <x:v>IDR</x:v>
      </x:c>
      <x:c r="J58" s="19" t="n">
        <x:v>319900000</x:v>
      </x:c>
      <x:c r="K58" s="19"/>
      <x:c r="L58" s="20" t="str"/>
      <x:c r="M58" s="20" t="str">
        <x:v>OTR Jakarta</x:v>
      </x:c>
      <x:c r="N58" s="20" t="str">
        <x:v>メーカー・輸入者</x:v>
      </x:c>
      <x:c r="O58" s="21" t="d">
        <x:v>2025-06-25T00:00:00.000Z</x:v>
      </x:c>
      <x:c r="P58" s="21" t="d">
        <x:v>2026-10-07T00:00:00.000Z</x:v>
      </x:c>
      <x:c r="Q58" s="16" t="n">
        <x:f>IF(J58="","",J58*'為替'!$B$7/INDEX('為替'!$B$6:$B$17,MATCH(I58,'為替'!$A$6:$A$17,0)))</x:f>
        <x:v>17930.808065735546</x:v>
      </x:c>
      <x:c r="R58" s="17" t="n">
        <x:f>IF(J58="","",J58*'為替'!$B$8/INDEX('為替'!$B$6:$B$17,MATCH(I58,'為替'!$A$6:$A$17,0))/10000)</x:f>
        <x:v>283.46556543710955</x:v>
      </x:c>
      <x:c r="S58" s="17" t="str">
        <x:f>IF(OR(Q58="",INDEX('価格データ'!$J$6:$J$75,MATCH("C5_CN",'価格データ'!$A$6:$A$75,0))=""),"",Q58/INDEX('価格データ'!$Q$6:$Q$75,MATCH("C5_CN",'価格データ'!$A$6:$A$75,0))*100)</x:f>
      </x:c>
      <x:c r="T58" s="20" t="str">
        <x:v>過去発表・要更新</x:v>
      </x:c>
      <x:c r="U58" s="20" t="str">
        <x:v>Omoda5から改名。BEVのE5とは別。2025発売価格で2026再改定は未確認。</x:v>
      </x:c>
      <x:c r="V58" s="20"/>
      <x:c r="W58" s="15" t="str">
        <x:v>https://chery.co.id/id/berita/the-futuristic-reborn-chery-c5-dan-e5-resmi-menyapa-publik-tanah-air</x:v>
      </x:c>
      <x:c r="X58" s="15" t="str"/>
    </x:row>
    <x:row r="59" ht="68" customHeight="1">
      <x:c r="A59" s="2" t="str">
        <x:v>C5_PH</x:v>
      </x:c>
      <x:c r="B59" s="2" t="str">
        <x:v>フィリピン</x:v>
      </x:c>
      <x:c r="C59" s="2" t="str">
        <x:v>Chery / Omoda</x:v>
      </x:c>
      <x:c r="D59" s="2" t="str">
        <x:v>Omoda C5 / Chery O5</x:v>
      </x:c>
      <x:c r="E59" s="2" t="str">
        <x:v>Omoda C5</x:v>
      </x:c>
      <x:c r="F59" s="2" t="str">
        <x:v>Lifestyle / 1.5 NA</x:v>
      </x:c>
      <x:c r="G59" s="2" t="str">
        <x:v>ICE</x:v>
      </x:c>
      <x:c r="H59" s="18"/>
      <x:c r="I59" s="2" t="str">
        <x:v>PHP</x:v>
      </x:c>
      <x:c r="J59" s="22" t="n">
        <x:v>898000</x:v>
      </x:c>
      <x:c r="K59" s="19"/>
      <x:c r="L59" s="20" t="str"/>
      <x:c r="M59" s="20" t="str">
        <x:v>通常小売掲載価格（改定報道）</x:v>
      </x:c>
      <x:c r="N59" s="20" t="str">
        <x:v>二次資料・一次未確認</x:v>
      </x:c>
      <x:c r="O59" s="21" t="d">
        <x:v>2025-10-13T00:00:00.000Z</x:v>
      </x:c>
      <x:c r="P59" s="21" t="d">
        <x:v>2026-10-07T00:00:00.000Z</x:v>
      </x:c>
      <x:c r="Q59" s="16" t="n">
        <x:f>IF(J59="","",J59*'為替'!$B$7/INDEX('為替'!$B$6:$B$17,MATCH(I59,'為替'!$A$6:$A$17,0)))</x:f>
        <x:v>14312.978416452152</x:v>
      </x:c>
      <x:c r="R59" s="17" t="n">
        <x:f>IF(J59="","",J59*'為替'!$B$8/INDEX('為替'!$B$6:$B$17,MATCH(I59,'為替'!$A$6:$A$17,0))/10000)</x:f>
        <x:v>226.27181692172783</x:v>
      </x:c>
      <x:c r="S59" s="17" t="str">
        <x:f>IF(OR(Q59="",INDEX('価格データ'!$J$6:$J$75,MATCH("C5_CN",'価格データ'!$A$6:$A$75,0))=""),"",Q59/INDEX('価格データ'!$Q$6:$Q$75,MATCH("C5_CN",'価格データ'!$A$6:$A$75,0))*100)</x:f>
      </x:c>
      <x:c r="T59" s="20" t="str">
        <x:v>二次資料・要一次確認</x:v>
      </x:c>
      <x:c r="U59" s="20" t="str">
        <x:v>998,000から改定の報道。現行二次価格表も898,000。NAエンジンで他市場Turboと差。一次価格表未確認。</x:v>
      </x:c>
      <x:c r="V59" s="20"/>
      <x:c r="W59" s="15" t="str">
        <x:v>https://www.autoindustriya.com/auto-industry-news/omoda-jaecoo-philippines-slash-prices-on-c5-e5-and-j7.html</x:v>
      </x:c>
      <x:c r="X59" s="15" t="str">
        <x:v>https://www.carmudi.com.ph/new-cars/omoda/c5/</x:v>
      </x:c>
    </x:row>
    <x:row r="60" ht="68" customHeight="1">
      <x:c r="A60" s="2" t="str">
        <x:v>C5_MY</x:v>
      </x:c>
      <x:c r="B60" s="2" t="str">
        <x:v>マレーシア</x:v>
      </x:c>
      <x:c r="C60" s="2" t="str">
        <x:v>Chery / Omoda</x:v>
      </x:c>
      <x:c r="D60" s="2" t="str">
        <x:v>Omoda C5 / Chery O5</x:v>
      </x:c>
      <x:c r="E60" s="2" t="str">
        <x:v>Chery O5</x:v>
      </x:c>
      <x:c r="F60" s="2" t="str">
        <x:v>1.5 Turbo</x:v>
      </x:c>
      <x:c r="G60" s="2" t="str">
        <x:v>ICE</x:v>
      </x:c>
      <x:c r="H60" s="18"/>
      <x:c r="I60" s="2" t="str">
        <x:v>MYR</x:v>
      </x:c>
      <x:c r="J60" s="19" t="n">
        <x:v>116800</x:v>
      </x:c>
      <x:c r="K60" s="19"/>
      <x:c r="L60" s="20" t="str"/>
      <x:c r="M60" s="20" t="str">
        <x:v>OTR / 半島・個人・保険除く</x:v>
      </x:c>
      <x:c r="N60" s="20" t="str">
        <x:v>メーカー・輸入者</x:v>
      </x:c>
      <x:c r="O60" s="21" t="d">
        <x:v>2025-09-10T00:00:00.000Z</x:v>
      </x:c>
      <x:c r="P60" s="21" t="d">
        <x:v>2026-10-07T00:00:00.000Z</x:v>
      </x:c>
      <x:c r="Q60" s="16" t="n">
        <x:f>IF(J60="","",J60*'為替'!$B$7/INDEX('為替'!$B$6:$B$17,MATCH(I60,'為替'!$A$6:$A$17,0)))</x:f>
        <x:v>28592.327410175094</x:v>
      </x:c>
      <x:c r="R60" s="17" t="n">
        <x:f>IF(J60="","",J60*'為替'!$B$8/INDEX('為替'!$B$6:$B$17,MATCH(I60,'為替'!$A$6:$A$17,0))/10000)</x:f>
        <x:v>452.0119911369857</x:v>
      </x:c>
      <x:c r="S60" s="17" t="str">
        <x:f>IF(OR(Q60="",INDEX('価格データ'!$J$6:$J$75,MATCH("C5_CN",'価格データ'!$A$6:$A$75,0))=""),"",Q60/INDEX('価格データ'!$Q$6:$Q$75,MATCH("C5_CN",'価格データ'!$A$6:$A$75,0))*100)</x:f>
      </x:c>
      <x:c r="T60" s="20" t="str">
        <x:v>過去発表・要更新</x:v>
      </x:c>
      <x:c r="U60" s="20" t="str">
        <x:v>現行商品ページにリンクする価格表。Net116,400+登録等400。旧Omoda5 C108,800ではない。</x:v>
      </x:c>
      <x:c r="V60" s="20"/>
      <x:c r="W60" s="15" t="str">
        <x:v>https://www.chery.my/wp-content/uploads/2025/09/CHERY.MY_Chery-O5-Pricelist_PM.pdf</x:v>
      </x:c>
      <x:c r="X60" s="15" t="str"/>
    </x:row>
    <x:row r="61" ht="68" customHeight="1">
      <x:c r="A61" s="2" t="str">
        <x:v>C5_SG</x:v>
      </x:c>
      <x:c r="B61" s="2" t="str">
        <x:v>シンガポール</x:v>
      </x:c>
      <x:c r="C61" s="2" t="str">
        <x:v>Chery / Omoda</x:v>
      </x:c>
      <x:c r="D61" s="2" t="str">
        <x:v>Omoda C5 / Chery O5</x:v>
      </x:c>
      <x:c r="E61" s="2" t="str">
        <x:v>Omoda C5 / Chery O5</x:v>
      </x:c>
      <x:c r="F61" s="2" t="str">
        <x:v>未確認</x:v>
      </x:c>
      <x:c r="G61" s="2" t="str">
        <x:v>ICE</x:v>
      </x:c>
      <x:c r="H61" s="18"/>
      <x:c r="I61" s="2" t="str">
        <x:v>SGD</x:v>
      </x:c>
      <x:c r="J61" s="19"/>
      <x:c r="K61" s="19"/>
      <x:c r="L61" s="20" t="str"/>
      <x:c r="M61" s="20" t="str">
        <x:v>同系統の通常価格未確認</x:v>
      </x:c>
      <x:c r="N61" s="20" t="str">
        <x:v>未確認</x:v>
      </x:c>
      <x:c r="O61" s="21"/>
      <x:c r="P61" s="21" t="d">
        <x:v>2026-10-07T00:00:00.000Z</x:v>
      </x:c>
      <x:c r="Q61" s="16" t="str">
        <x:f>IF(J61="","",J61*'為替'!$B$7/INDEX('為替'!$B$6:$B$17,MATCH(I61,'為替'!$A$6:$A$17,0)))</x:f>
      </x:c>
      <x:c r="R61" s="17" t="str">
        <x:f>IF(J61="","",J61*'為替'!$B$8/INDEX('為替'!$B$6:$B$17,MATCH(I61,'為替'!$A$6:$A$17,0))/10000)</x:f>
      </x:c>
      <x:c r="S61" s="17" t="str">
        <x:f>IF(OR(Q61="",INDEX('価格データ'!$J$6:$J$75,MATCH("C5_CN",'価格データ'!$A$6:$A$75,0))=""),"",Q61/INDEX('価格データ'!$Q$6:$Q$75,MATCH("C5_CN",'価格データ'!$A$6:$A$75,0))*100)</x:f>
      </x:c>
      <x:c r="T61" s="23" t="str">
        <x:v>主比較対象外</x:v>
      </x:c>
      <x:c r="U61" s="20" t="str">
        <x:v>E5 BEVとICE C5を区別。ICEの現行通常価格を確認できず。</x:v>
      </x:c>
      <x:c r="V61" s="20"/>
      <x:c r="W61" s="15" t="str">
        <x:v>https://www.omoda.com.sg/</x:v>
      </x:c>
      <x:c r="X61" s="15" t="str"/>
    </x:row>
    <x:row r="62" ht="68" customHeight="1">
      <x:c r="A62" s="2" t="str">
        <x:v>C5_CN</x:v>
      </x:c>
      <x:c r="B62" s="2" t="str">
        <x:v>中国</x:v>
      </x:c>
      <x:c r="C62" s="2" t="str">
        <x:v>Chery / Omoda</x:v>
      </x:c>
      <x:c r="D62" s="2" t="str">
        <x:v>Omoda C5 / Chery O5</x:v>
      </x:c>
      <x:c r="E62" s="2" t="str">
        <x:v>Omoda C5 / Chery O5</x:v>
      </x:c>
      <x:c r="F62" s="2" t="str">
        <x:v>未確認</x:v>
      </x:c>
      <x:c r="G62" s="2" t="str">
        <x:v>ICE</x:v>
      </x:c>
      <x:c r="H62" s="18"/>
      <x:c r="I62" s="2" t="str">
        <x:v>CNY</x:v>
      </x:c>
      <x:c r="J62" s="19"/>
      <x:c r="K62" s="19"/>
      <x:c r="L62" s="20" t="str"/>
      <x:c r="M62" s="20" t="str">
        <x:v>同系統の通常価格未確認</x:v>
      </x:c>
      <x:c r="N62" s="20" t="str">
        <x:v>未確認</x:v>
      </x:c>
      <x:c r="O62" s="21"/>
      <x:c r="P62" s="21" t="d">
        <x:v>2026-10-07T00:00:00.000Z</x:v>
      </x:c>
      <x:c r="Q62" s="16" t="str">
        <x:f>IF(J62="","",J62*'為替'!$B$7/INDEX('為替'!$B$6:$B$17,MATCH(I62,'為替'!$A$6:$A$17,0)))</x:f>
      </x:c>
      <x:c r="R62" s="17" t="str">
        <x:f>IF(J62="","",J62*'為替'!$B$8/INDEX('為替'!$B$6:$B$17,MATCH(I62,'為替'!$A$6:$A$17,0))/10000)</x:f>
      </x:c>
      <x:c r="S62" s="17" t="str">
        <x:f>IF(OR(Q62="",INDEX('価格データ'!$J$6:$J$75,MATCH("C5_CN",'価格データ'!$A$6:$A$75,0))=""),"",Q62/INDEX('価格データ'!$Q$6:$Q$75,MATCH("C5_CN",'価格データ'!$A$6:$A$75,0))*100)</x:f>
      </x:c>
      <x:c r="T62" s="23" t="str">
        <x:v>主比較対象外</x:v>
      </x:c>
      <x:c r="U62" s="20" t="str">
        <x:v>中国の欧萌达・瑞虎5x高能・瑞虎5 Sportとの現行グレード対応を確定できず。</x:v>
      </x:c>
      <x:c r="V62" s="20"/>
      <x:c r="W62" s="15" t="str">
        <x:v>https://www.chery.cn/</x:v>
      </x:c>
      <x:c r="X62" s="15" t="str"/>
    </x:row>
    <x:row r="63" ht="68" customHeight="1">
      <x:c r="A63" s="2" t="str">
        <x:v>C5_DE</x:v>
      </x:c>
      <x:c r="B63" s="2" t="str">
        <x:v>ドイツ</x:v>
      </x:c>
      <x:c r="C63" s="2" t="str">
        <x:v>Chery / Omoda</x:v>
      </x:c>
      <x:c r="D63" s="2" t="str">
        <x:v>Omoda C5 / Chery O5</x:v>
      </x:c>
      <x:c r="E63" s="2" t="str">
        <x:v>Omoda C5 / Chery O5</x:v>
      </x:c>
      <x:c r="F63" s="2" t="str">
        <x:v>未確認</x:v>
      </x:c>
      <x:c r="G63" s="2" t="str">
        <x:v>ICE</x:v>
      </x:c>
      <x:c r="H63" s="18"/>
      <x:c r="I63" s="2" t="str">
        <x:v>EUR</x:v>
      </x:c>
      <x:c r="J63" s="19"/>
      <x:c r="K63" s="19"/>
      <x:c r="L63" s="20" t="str"/>
      <x:c r="M63" s="20" t="str">
        <x:v>同系統の通常価格未確認</x:v>
      </x:c>
      <x:c r="N63" s="20" t="str">
        <x:v>未確認</x:v>
      </x:c>
      <x:c r="O63" s="21"/>
      <x:c r="P63" s="21" t="d">
        <x:v>2026-10-07T00:00:00.000Z</x:v>
      </x:c>
      <x:c r="Q63" s="16" t="str">
        <x:f>IF(J63="","",J63*'為替'!$B$7/INDEX('為替'!$B$6:$B$17,MATCH(I63,'為替'!$A$6:$A$17,0)))</x:f>
      </x:c>
      <x:c r="R63" s="17" t="str">
        <x:f>IF(J63="","",J63*'為替'!$B$8/INDEX('為替'!$B$6:$B$17,MATCH(I63,'為替'!$A$6:$A$17,0))/10000)</x:f>
      </x:c>
      <x:c r="S63" s="17" t="str">
        <x:f>IF(OR(Q63="",INDEX('価格データ'!$J$6:$J$75,MATCH("C5_CN",'価格データ'!$A$6:$A$75,0))=""),"",Q63/INDEX('価格データ'!$Q$6:$Q$75,MATCH("C5_CN",'価格データ'!$A$6:$A$75,0))*100)</x:f>
      </x:c>
      <x:c r="T63" s="23" t="str">
        <x:v>主比較対象外</x:v>
      </x:c>
      <x:c r="U63" s="20" t="str">
        <x:v>Omoda5 SHS-H（HEV）等とICE C5を区別。現行ICEの通常価格を確認できず。</x:v>
      </x:c>
      <x:c r="V63" s="20"/>
      <x:c r="W63" s="15" t="str">
        <x:v>https://www.omodajaecoo.de/</x:v>
      </x:c>
      <x:c r="X63" s="15" t="str"/>
    </x:row>
    <x:row r="64" ht="68" customHeight="1">
      <x:c r="A64" s="2" t="str">
        <x:v>C5_BR</x:v>
      </x:c>
      <x:c r="B64" s="2" t="str">
        <x:v>ブラジル</x:v>
      </x:c>
      <x:c r="C64" s="2" t="str">
        <x:v>Chery / Omoda</x:v>
      </x:c>
      <x:c r="D64" s="2" t="str">
        <x:v>Omoda C5 / Chery O5</x:v>
      </x:c>
      <x:c r="E64" s="2" t="str">
        <x:v>Omoda C5 / Chery O5</x:v>
      </x:c>
      <x:c r="F64" s="2" t="str">
        <x:v>未確認</x:v>
      </x:c>
      <x:c r="G64" s="2" t="str">
        <x:v>ICE</x:v>
      </x:c>
      <x:c r="H64" s="18"/>
      <x:c r="I64" s="2" t="str">
        <x:v>BRL</x:v>
      </x:c>
      <x:c r="J64" s="19"/>
      <x:c r="K64" s="19"/>
      <x:c r="L64" s="20" t="str"/>
      <x:c r="M64" s="20" t="str">
        <x:v>同系統の通常価格未確認</x:v>
      </x:c>
      <x:c r="N64" s="20" t="str">
        <x:v>未確認</x:v>
      </x:c>
      <x:c r="O64" s="21"/>
      <x:c r="P64" s="21" t="d">
        <x:v>2026-10-07T00:00:00.000Z</x:v>
      </x:c>
      <x:c r="Q64" s="16" t="str">
        <x:f>IF(J64="","",J64*'為替'!$B$7/INDEX('為替'!$B$6:$B$17,MATCH(I64,'為替'!$A$6:$A$17,0)))</x:f>
      </x:c>
      <x:c r="R64" s="17" t="str">
        <x:f>IF(J64="","",J64*'為替'!$B$8/INDEX('為替'!$B$6:$B$17,MATCH(I64,'為替'!$A$6:$A$17,0))/10000)</x:f>
      </x:c>
      <x:c r="S64" s="17" t="str">
        <x:f>IF(OR(Q64="",INDEX('価格データ'!$J$6:$J$75,MATCH("C5_CN",'価格データ'!$A$6:$A$75,0))=""),"",Q64/INDEX('価格データ'!$Q$6:$Q$75,MATCH("C5_CN",'価格データ'!$A$6:$A$75,0))*100)</x:f>
      </x:c>
      <x:c r="T64" s="23" t="str">
        <x:v>主比較対象外</x:v>
      </x:c>
      <x:c r="U64" s="20" t="str">
        <x:v>Omoda5 SHS（HEV）・E5（BEV）とICE C5を区別。</x:v>
      </x:c>
      <x:c r="V64" s="20"/>
      <x:c r="W64" s="15" t="str">
        <x:v>https://www.omodajaecoo.com.br/</x:v>
      </x:c>
      <x:c r="X64" s="15" t="str"/>
    </x:row>
    <x:row r="65" ht="68" customHeight="1">
      <x:c r="A65" s="2" t="str">
        <x:v>C5_AU</x:v>
      </x:c>
      <x:c r="B65" s="2" t="str">
        <x:v>豪州</x:v>
      </x:c>
      <x:c r="C65" s="2" t="str">
        <x:v>Chery / Omoda</x:v>
      </x:c>
      <x:c r="D65" s="2" t="str">
        <x:v>Omoda C5 / Chery O5</x:v>
      </x:c>
      <x:c r="E65" s="2" t="str">
        <x:v>Chery C5</x:v>
      </x:c>
      <x:c r="F65" s="2" t="str">
        <x:v>Urban MY25</x:v>
      </x:c>
      <x:c r="G65" s="2" t="str">
        <x:v>ICE</x:v>
      </x:c>
      <x:c r="H65" s="18"/>
      <x:c r="I65" s="2" t="str">
        <x:v>AUD</x:v>
      </x:c>
      <x:c r="J65" s="19"/>
      <x:c r="K65" s="19" t="n">
        <x:v>28990</x:v>
      </x:c>
      <x:c r="L65" s="20" t="str">
        <x:v>10–12月Driveaway掲載特価</x:v>
      </x:c>
      <x:c r="M65" s="20" t="str">
        <x:v>MSRPを未確認 / DAPのみ公開</x:v>
      </x:c>
      <x:c r="N65" s="20" t="str">
        <x:v>メーカー・輸入者</x:v>
      </x:c>
      <x:c r="O65" s="21"/>
      <x:c r="P65" s="21" t="d">
        <x:v>2026-10-07T00:00:00.000Z</x:v>
      </x:c>
      <x:c r="Q65" s="16" t="str">
        <x:f>IF(J65="","",J65*'為替'!$B$7/INDEX('為替'!$B$6:$B$17,MATCH(I65,'為替'!$A$6:$A$17,0)))</x:f>
      </x:c>
      <x:c r="R65" s="17" t="str">
        <x:f>IF(J65="","",J65*'為替'!$B$8/INDEX('為替'!$B$6:$B$17,MATCH(I65,'為替'!$A$6:$A$17,0))/10000)</x:f>
      </x:c>
      <x:c r="S65" s="17" t="str">
        <x:f>IF(OR(Q65="",INDEX('価格データ'!$J$6:$J$75,MATCH("C5_CN",'価格データ'!$A$6:$A$75,0))=""),"",Q65/INDEX('価格データ'!$Q$6:$Q$75,MATCH("C5_CN",'価格データ'!$A$6:$A$75,0))*100)</x:f>
      </x:c>
      <x:c r="T65" s="23" t="str">
        <x:v>主比較対象外</x:v>
      </x:c>
      <x:c r="U65" s="20" t="str">
        <x:v>10/1–12/31の公式Driveaway特価。燃料券2,000はさらに条件付。MSRP主表に入れない。</x:v>
      </x:c>
      <x:c r="V65" s="20"/>
      <x:c r="W65" s="15" t="str">
        <x:v>https://cherymotor.com.au/models/chery-c5</x:v>
      </x:c>
      <x:c r="X65" s="15" t="str"/>
    </x:row>
    <x:row r="66" ht="68" customHeight="1">
      <x:c r="A66" s="2" t="str">
        <x:v>H6_VN</x:v>
      </x:c>
      <x:c r="B66" s="2" t="str">
        <x:v>ベトナム</x:v>
      </x:c>
      <x:c r="C66" s="2" t="str">
        <x:v>GWM / Haval</x:v>
      </x:c>
      <x:c r="D66" s="2" t="str">
        <x:v>Haval H6 HEV</x:v>
      </x:c>
      <x:c r="E66" s="2" t="str">
        <x:v>Haval H6</x:v>
      </x:c>
      <x:c r="F66" s="2" t="str">
        <x:v>HEV</x:v>
      </x:c>
      <x:c r="G66" s="2" t="str">
        <x:v>HEV</x:v>
      </x:c>
      <x:c r="H66" s="18"/>
      <x:c r="I66" s="2" t="str">
        <x:v>VND</x:v>
      </x:c>
      <x:c r="J66" s="22" t="n">
        <x:v>986000000</x:v>
      </x:c>
      <x:c r="K66" s="19"/>
      <x:c r="L66" s="20" t="str"/>
      <x:c r="M66" s="20" t="str">
        <x:v>通常価格（現行メディア掲載）</x:v>
      </x:c>
      <x:c r="N66" s="20" t="str">
        <x:v>二次資料・一次未確認</x:v>
      </x:c>
      <x:c r="O66" s="21"/>
      <x:c r="P66" s="21" t="d">
        <x:v>2026-10-07T00:00:00.000Z</x:v>
      </x:c>
      <x:c r="Q66" s="16" t="n">
        <x:f>IF(J66="","",J66*'為替'!$B$7/INDEX('為替'!$B$6:$B$17,MATCH(I66,'為替'!$A$6:$A$17,0)))</x:f>
        <x:v>38448.04055371417</x:v>
      </x:c>
      <x:c r="R66" s="17" t="n">
        <x:f>IF(J66="","",J66*'為替'!$B$8/INDEX('為替'!$B$6:$B$17,MATCH(I66,'為替'!$A$6:$A$17,0))/10000)</x:f>
        <x:v>607.8195425187843</x:v>
      </x:c>
      <x:c r="S66" s="17" t="str">
        <x:f>IF(OR(Q66="",INDEX('価格データ'!$J$6:$J$75,MATCH("H6_CN",'価格データ'!$A$6:$A$75,0))=""),"",Q66/INDEX('価格データ'!$Q$6:$Q$75,MATCH("H6_CN",'価格データ'!$A$6:$A$75,0))*100)</x:f>
      </x:c>
      <x:c r="T66" s="20" t="str">
        <x:v>二次資料・要一次確認</x:v>
      </x:c>
      <x:c r="U66" s="20" t="str">
        <x:v>2026価格欄。旧発売1,096百万は採用せず。一次の現行価格表を未確認。</x:v>
      </x:c>
      <x:c r="V66" s="20"/>
      <x:c r="W66" s="15" t="str">
        <x:v>https://vnexpress.net/oto-xe-may/v-car/dong-xe/haval-h6-237</x:v>
      </x:c>
      <x:c r="X66" s="15" t="str"/>
    </x:row>
    <x:row r="67" ht="68" customHeight="1">
      <x:c r="A67" s="2" t="str">
        <x:v>H6_TH</x:v>
      </x:c>
      <x:c r="B67" s="2" t="str">
        <x:v>タイ</x:v>
      </x:c>
      <x:c r="C67" s="2" t="str">
        <x:v>GWM / Haval</x:v>
      </x:c>
      <x:c r="D67" s="2" t="str">
        <x:v>Haval H6 HEV</x:v>
      </x:c>
      <x:c r="E67" s="2" t="str">
        <x:v>Haval H6</x:v>
      </x:c>
      <x:c r="F67" s="2" t="str">
        <x:v>HEV Pro</x:v>
      </x:c>
      <x:c r="G67" s="2" t="str">
        <x:v>HEV</x:v>
      </x:c>
      <x:c r="H67" s="18"/>
      <x:c r="I67" s="2" t="str">
        <x:v>THB</x:v>
      </x:c>
      <x:c r="J67" s="19" t="n">
        <x:v>969000</x:v>
      </x:c>
      <x:c r="K67" s="19"/>
      <x:c r="L67" s="20" t="str"/>
      <x:c r="M67" s="20" t="str">
        <x:v>メーカーMSRP</x:v>
      </x:c>
      <x:c r="N67" s="20" t="str">
        <x:v>メーカー・輸入者</x:v>
      </x:c>
      <x:c r="O67" s="21"/>
      <x:c r="P67" s="21" t="d">
        <x:v>2026-10-07T00:00:00.000Z</x:v>
      </x:c>
      <x:c r="Q67" s="16" t="n">
        <x:f>IF(J67="","",J67*'為替'!$B$7/INDEX('為替'!$B$6:$B$17,MATCH(I67,'為替'!$A$6:$A$17,0)))</x:f>
        <x:v>28860.50586742785</x:v>
      </x:c>
      <x:c r="R67" s="17" t="n">
        <x:f>IF(J67="","",J67*'為替'!$B$8/INDEX('為替'!$B$6:$B$17,MATCH(I67,'為替'!$A$6:$A$17,0))/10000)</x:f>
        <x:v>456.25158579130994</x:v>
      </x:c>
      <x:c r="S67" s="17" t="str">
        <x:f>IF(OR(Q67="",INDEX('価格データ'!$J$6:$J$75,MATCH("H6_CN",'価格データ'!$A$6:$A$75,0))=""),"",Q67/INDEX('価格データ'!$Q$6:$Q$75,MATCH("H6_CN",'価格データ'!$A$6:$A$75,0))*100)</x:f>
      </x:c>
      <x:c r="T67" s="20" t="str">
        <x:v>公式通常掲載</x:v>
      </x:c>
      <x:c r="U67" s="20" t="str">
        <x:v>PHEV1,089,000と区別。</x:v>
      </x:c>
      <x:c r="V67" s="20"/>
      <x:c r="W67" s="15" t="str">
        <x:v>https://www.gwm.co.th/en/models/haval-h6</x:v>
      </x:c>
      <x:c r="X67" s="15" t="str"/>
    </x:row>
    <x:row r="68" ht="68" customHeight="1">
      <x:c r="A68" s="2" t="str">
        <x:v>H6_ID</x:v>
      </x:c>
      <x:c r="B68" s="2" t="str">
        <x:v>インドネシア</x:v>
      </x:c>
      <x:c r="C68" s="2" t="str">
        <x:v>GWM / Haval</x:v>
      </x:c>
      <x:c r="D68" s="2" t="str">
        <x:v>Haval H6 HEV</x:v>
      </x:c>
      <x:c r="E68" s="2" t="str">
        <x:v>Haval H6</x:v>
      </x:c>
      <x:c r="F68" s="2" t="str">
        <x:v>HEV</x:v>
      </x:c>
      <x:c r="G68" s="2" t="str">
        <x:v>HEV</x:v>
      </x:c>
      <x:c r="H68" s="18"/>
      <x:c r="I68" s="2" t="str">
        <x:v>IDR</x:v>
      </x:c>
      <x:c r="J68" s="19" t="n">
        <x:v>654800000</x:v>
      </x:c>
      <x:c r="K68" s="19"/>
      <x:c r="L68" s="20" t="str"/>
      <x:c r="M68" s="20" t="str">
        <x:v>公式from / OTR内訳未確認</x:v>
      </x:c>
      <x:c r="N68" s="20" t="str">
        <x:v>メーカー・輸入者</x:v>
      </x:c>
      <x:c r="O68" s="21"/>
      <x:c r="P68" s="21" t="d">
        <x:v>2026-10-07T00:00:00.000Z</x:v>
      </x:c>
      <x:c r="Q68" s="16" t="n">
        <x:f>IF(J68="","",J68*'為替'!$B$7/INDEX('為替'!$B$6:$B$17,MATCH(I68,'為替'!$A$6:$A$17,0)))</x:f>
        <x:v>36702.385499980104</x:v>
      </x:c>
      <x:c r="R68" s="17" t="n">
        <x:f>IF(J68="","",J68*'為替'!$B$8/INDEX('為替'!$B$6:$B$17,MATCH(I68,'為替'!$A$6:$A$17,0))/10000)</x:f>
        <x:v>580.2227328797104</x:v>
      </x:c>
      <x:c r="S68" s="17" t="str">
        <x:f>IF(OR(Q68="",INDEX('価格データ'!$J$6:$J$75,MATCH("H6_CN",'価格データ'!$A$6:$A$75,0))=""),"",Q68/INDEX('価格データ'!$Q$6:$Q$75,MATCH("H6_CN",'価格データ'!$A$6:$A$75,0))*100)</x:f>
      </x:c>
      <x:c r="T68" s="20" t="str">
        <x:v>公式通常掲載</x:v>
      </x:c>
      <x:c r="U68" s="20" t="str">
        <x:v>正規輸入者GWM Inchcapeの商品ページ。</x:v>
      </x:c>
      <x:c r="V68" s="20"/>
      <x:c r="W68" s="15" t="str">
        <x:v>https://gwminchcape.co.id/id/models/haval-h6-hev</x:v>
      </x:c>
      <x:c r="X68" s="15" t="str"/>
    </x:row>
    <x:row r="69" ht="68" customHeight="1">
      <x:c r="A69" s="2" t="str">
        <x:v>H6_PH</x:v>
      </x:c>
      <x:c r="B69" s="2" t="str">
        <x:v>フィリピン</x:v>
      </x:c>
      <x:c r="C69" s="2" t="str">
        <x:v>GWM / Haval</x:v>
      </x:c>
      <x:c r="D69" s="2" t="str">
        <x:v>Haval H6 HEV</x:v>
      </x:c>
      <x:c r="E69" s="2" t="str">
        <x:v>Haval H6 HEV</x:v>
      </x:c>
      <x:c r="F69" s="2" t="str">
        <x:v>未確認</x:v>
      </x:c>
      <x:c r="G69" s="2" t="str">
        <x:v>HEV</x:v>
      </x:c>
      <x:c r="H69" s="18"/>
      <x:c r="I69" s="2" t="str">
        <x:v>PHP</x:v>
      </x:c>
      <x:c r="J69" s="19"/>
      <x:c r="K69" s="19"/>
      <x:c r="L69" s="20" t="str"/>
      <x:c r="M69" s="20" t="str">
        <x:v>同系統の通常価格未確認</x:v>
      </x:c>
      <x:c r="N69" s="20" t="str">
        <x:v>未確認</x:v>
      </x:c>
      <x:c r="O69" s="21"/>
      <x:c r="P69" s="21" t="d">
        <x:v>2026-10-07T00:00:00.000Z</x:v>
      </x:c>
      <x:c r="Q69" s="16" t="str">
        <x:f>IF(J69="","",J69*'為替'!$B$7/INDEX('為替'!$B$6:$B$17,MATCH(I69,'為替'!$A$6:$A$17,0)))</x:f>
      </x:c>
      <x:c r="R69" s="17" t="str">
        <x:f>IF(J69="","",J69*'為替'!$B$8/INDEX('為替'!$B$6:$B$17,MATCH(I69,'為替'!$A$6:$A$17,0))/10000)</x:f>
      </x:c>
      <x:c r="S69" s="17" t="str">
        <x:f>IF(OR(Q69="",INDEX('価格データ'!$J$6:$J$75,MATCH("H6_CN",'価格データ'!$A$6:$A$75,0))=""),"",Q69/INDEX('価格データ'!$Q$6:$Q$75,MATCH("H6_CN",'価格データ'!$A$6:$A$75,0))*100)</x:f>
      </x:c>
      <x:c r="T69" s="23" t="str">
        <x:v>主比較対象外</x:v>
      </x:c>
      <x:c r="U69" s="20" t="str">
        <x:v>現行公式の主要掲載はH7 PHEV等。H6 HEVの現行通常価格を確認できず。</x:v>
      </x:c>
      <x:c r="V69" s="20"/>
      <x:c r="W69" s="15" t="str">
        <x:v>https://www.gwm.com.ph/</x:v>
      </x:c>
      <x:c r="X69" s="15" t="str"/>
    </x:row>
    <x:row r="70" ht="68" customHeight="1">
      <x:c r="A70" s="2" t="str">
        <x:v>H6_MY</x:v>
      </x:c>
      <x:c r="B70" s="2" t="str">
        <x:v>マレーシア</x:v>
      </x:c>
      <x:c r="C70" s="2" t="str">
        <x:v>GWM / Haval</x:v>
      </x:c>
      <x:c r="D70" s="2" t="str">
        <x:v>Haval H6 HEV</x:v>
      </x:c>
      <x:c r="E70" s="2" t="str">
        <x:v>Haval H6</x:v>
      </x:c>
      <x:c r="F70" s="2" t="str">
        <x:v>HEV</x:v>
      </x:c>
      <x:c r="G70" s="2" t="str">
        <x:v>HEV</x:v>
      </x:c>
      <x:c r="H70" s="18"/>
      <x:c r="I70" s="2" t="str">
        <x:v>MYR</x:v>
      </x:c>
      <x:c r="J70" s="19" t="n">
        <x:v>139380</x:v>
      </x:c>
      <x:c r="K70" s="19" t="n">
        <x:v>139800</x:v>
      </x:c>
      <x:c r="L70" s="20" t="str">
        <x:v>2024/10発売OTR価格</x:v>
      </x:c>
      <x:c r="M70" s="20" t="str">
        <x:v>公式from / 費用内訳未確認</x:v>
      </x:c>
      <x:c r="N70" s="20" t="str">
        <x:v>メーカー・輸入者</x:v>
      </x:c>
      <x:c r="O70" s="21"/>
      <x:c r="P70" s="21" t="d">
        <x:v>2026-10-07T00:00:00.000Z</x:v>
      </x:c>
      <x:c r="Q70" s="16" t="n">
        <x:f>IF(J70="","",J70*'為替'!$B$7/INDEX('為替'!$B$6:$B$17,MATCH(I70,'為替'!$A$6:$A$17,0)))</x:f>
        <x:v>34119.85097971065</x:v>
      </x:c>
      <x:c r="R70" s="17" t="n">
        <x:f>IF(J70="","",J70*'為替'!$B$8/INDEX('為替'!$B$6:$B$17,MATCH(I70,'為替'!$A$6:$A$17,0))/10000)</x:f>
        <x:v>539.3958161358996</x:v>
      </x:c>
      <x:c r="S70" s="17" t="str">
        <x:f>IF(OR(Q70="",INDEX('価格データ'!$J$6:$J$75,MATCH("H6_CN",'価格データ'!$A$6:$A$75,0))=""),"",Q70/INDEX('価格データ'!$Q$6:$Q$75,MATCH("H6_CN",'価格データ'!$A$6:$A$75,0))*100)</x:f>
      </x:c>
      <x:c r="T70" s="20" t="str">
        <x:v>公式通常掲載</x:v>
      </x:c>
      <x:c r="U70" s="20" t="str">
        <x:v>現行公式fromを採用。旧発売OTR139,800と費用基準差があり、同一視しない。</x:v>
      </x:c>
      <x:c r="V70" s="20"/>
      <x:c r="W70" s="15" t="str">
        <x:v>https://www.gwm.com.my/en/deal/haval-h6-hev</x:v>
      </x:c>
      <x:c r="X70" s="15" t="str">
        <x:v>https://www.gwm.com.my/en/news-list/2024/43-release</x:v>
      </x:c>
    </x:row>
    <x:row r="71" ht="68" customHeight="1">
      <x:c r="A71" s="2" t="str">
        <x:v>H6_SG</x:v>
      </x:c>
      <x:c r="B71" s="2" t="str">
        <x:v>シンガポール</x:v>
      </x:c>
      <x:c r="C71" s="2" t="str">
        <x:v>GWM / Haval</x:v>
      </x:c>
      <x:c r="D71" s="2" t="str">
        <x:v>Haval H6 HEV</x:v>
      </x:c>
      <x:c r="E71" s="2" t="str">
        <x:v>Haval H6 HEV</x:v>
      </x:c>
      <x:c r="F71" s="2" t="str">
        <x:v>未確認</x:v>
      </x:c>
      <x:c r="G71" s="2" t="str">
        <x:v>HEV</x:v>
      </x:c>
      <x:c r="H71" s="18"/>
      <x:c r="I71" s="2" t="str">
        <x:v>SGD</x:v>
      </x:c>
      <x:c r="J71" s="19"/>
      <x:c r="K71" s="19"/>
      <x:c r="L71" s="20" t="str"/>
      <x:c r="M71" s="20" t="str">
        <x:v>同系統の通常価格未確認</x:v>
      </x:c>
      <x:c r="N71" s="20" t="str">
        <x:v>未確認</x:v>
      </x:c>
      <x:c r="O71" s="21"/>
      <x:c r="P71" s="21" t="d">
        <x:v>2026-10-07T00:00:00.000Z</x:v>
      </x:c>
      <x:c r="Q71" s="16" t="str">
        <x:f>IF(J71="","",J71*'為替'!$B$7/INDEX('為替'!$B$6:$B$17,MATCH(I71,'為替'!$A$6:$A$17,0)))</x:f>
      </x:c>
      <x:c r="R71" s="17" t="str">
        <x:f>IF(J71="","",J71*'為替'!$B$8/INDEX('為替'!$B$6:$B$17,MATCH(I71,'為替'!$A$6:$A$17,0))/10000)</x:f>
      </x:c>
      <x:c r="S71" s="17" t="str">
        <x:f>IF(OR(Q71="",INDEX('価格データ'!$J$6:$J$75,MATCH("H6_CN",'価格データ'!$A$6:$A$75,0))=""),"",Q71/INDEX('価格データ'!$Q$6:$Q$75,MATCH("H6_CN",'価格データ'!$A$6:$A$75,0))*100)</x:f>
      </x:c>
      <x:c r="T71" s="23" t="str">
        <x:v>主比較対象外</x:v>
      </x:c>
      <x:c r="U71" s="20" t="str">
        <x:v>H6 HEVの正規輸入者・現行通常価格を確認できず。ORAの価格で代用しない。</x:v>
      </x:c>
      <x:c r="V71" s="20"/>
      <x:c r="W71" s="15" t="str">
        <x:v>https://www.gwm-global.com/</x:v>
      </x:c>
      <x:c r="X71" s="15" t="str"/>
    </x:row>
    <x:row r="72" ht="68" customHeight="1">
      <x:c r="A72" s="2" t="str">
        <x:v>H6_CN</x:v>
      </x:c>
      <x:c r="B72" s="2" t="str">
        <x:v>中国</x:v>
      </x:c>
      <x:c r="C72" s="2" t="str">
        <x:v>GWM / Haval</x:v>
      </x:c>
      <x:c r="D72" s="2" t="str">
        <x:v>Haval H6 HEV</x:v>
      </x:c>
      <x:c r="E72" s="2" t="str">
        <x:v>Haval H6 HEV</x:v>
      </x:c>
      <x:c r="F72" s="2" t="str">
        <x:v>未確認</x:v>
      </x:c>
      <x:c r="G72" s="2" t="str">
        <x:v>HEV</x:v>
      </x:c>
      <x:c r="H72" s="18"/>
      <x:c r="I72" s="2" t="str">
        <x:v>CNY</x:v>
      </x:c>
      <x:c r="J72" s="19"/>
      <x:c r="K72" s="19"/>
      <x:c r="L72" s="20" t="str"/>
      <x:c r="M72" s="20" t="str">
        <x:v>同系統の通常価格未確認</x:v>
      </x:c>
      <x:c r="N72" s="20" t="str">
        <x:v>未確認</x:v>
      </x:c>
      <x:c r="O72" s="21"/>
      <x:c r="P72" s="21" t="d">
        <x:v>2026-10-07T00:00:00.000Z</x:v>
      </x:c>
      <x:c r="Q72" s="16" t="str">
        <x:f>IF(J72="","",J72*'為替'!$B$7/INDEX('為替'!$B$6:$B$17,MATCH(I72,'為替'!$A$6:$A$17,0)))</x:f>
      </x:c>
      <x:c r="R72" s="17" t="str">
        <x:f>IF(J72="","",J72*'為替'!$B$8/INDEX('為替'!$B$6:$B$17,MATCH(I72,'為替'!$A$6:$A$17,0))/10000)</x:f>
      </x:c>
      <x:c r="S72" s="17" t="str">
        <x:f>IF(OR(Q72="",INDEX('価格データ'!$J$6:$J$75,MATCH("H6_CN",'価格データ'!$A$6:$A$75,0))=""),"",Q72/INDEX('価格データ'!$Q$6:$Q$75,MATCH("H6_CN",'価格データ'!$A$6:$A$75,0))*100)</x:f>
      </x:c>
      <x:c r="T72" s="23" t="str">
        <x:v>主比較対象外</x:v>
      </x:c>
      <x:c r="U72" s="20" t="str">
        <x:v>現行中国H6のICE等を輸出HEVの同仕様価格として代用しない。</x:v>
      </x:c>
      <x:c r="V72" s="20"/>
      <x:c r="W72" s="15" t="str">
        <x:v>https://www.haval.com.cn/</x:v>
      </x:c>
      <x:c r="X72" s="15" t="str"/>
    </x:row>
    <x:row r="73" ht="68" customHeight="1">
      <x:c r="A73" s="2" t="str">
        <x:v>H6_DE</x:v>
      </x:c>
      <x:c r="B73" s="2" t="str">
        <x:v>ドイツ</x:v>
      </x:c>
      <x:c r="C73" s="2" t="str">
        <x:v>GWM / Haval</x:v>
      </x:c>
      <x:c r="D73" s="2" t="str">
        <x:v>Haval H6 HEV</x:v>
      </x:c>
      <x:c r="E73" s="2" t="str">
        <x:v>Haval H6</x:v>
      </x:c>
      <x:c r="F73" s="2" t="str">
        <x:v>Premium HEV</x:v>
      </x:c>
      <x:c r="G73" s="2" t="str">
        <x:v>HEV</x:v>
      </x:c>
      <x:c r="H73" s="18"/>
      <x:c r="I73" s="2" t="str">
        <x:v>EUR</x:v>
      </x:c>
      <x:c r="J73" s="19" t="n">
        <x:v>31990</x:v>
      </x:c>
      <x:c r="K73" s="19" t="n">
        <x:v>28990</x:v>
      </x:c>
      <x:c r="L73" s="20" t="str">
        <x:v>発売キャンペーン / 3,000値引き</x:v>
      </x:c>
      <x:c r="M73" s="20" t="str">
        <x:v>VAT込 / UPE・割引前</x:v>
      </x:c>
      <x:c r="N73" s="20" t="str">
        <x:v>メーカー・輸入者</x:v>
      </x:c>
      <x:c r="O73" s="21"/>
      <x:c r="P73" s="21" t="d">
        <x:v>2026-10-07T00:00:00.000Z</x:v>
      </x:c>
      <x:c r="Q73" s="16" t="n">
        <x:f>IF(J73="","",J73*'為替'!$B$7/INDEX('為替'!$B$6:$B$17,MATCH(I73,'為替'!$A$6:$A$17,0)))</x:f>
        <x:v>36049.531</x:v>
      </x:c>
      <x:c r="R73" s="17" t="n">
        <x:f>IF(J73="","",J73*'為替'!$B$8/INDEX('為替'!$B$6:$B$17,MATCH(I73,'為替'!$A$6:$A$17,0))/10000)</x:f>
        <x:v>569.90185</x:v>
      </x:c>
      <x:c r="S73" s="17" t="str">
        <x:f>IF(OR(Q73="",INDEX('価格データ'!$J$6:$J$75,MATCH("H6_CN",'価格データ'!$A$6:$A$75,0))=""),"",Q73/INDEX('価格データ'!$Q$6:$Q$75,MATCH("H6_CN",'価格データ'!$A$6:$A$75,0))*100)</x:f>
      </x:c>
      <x:c r="T73" s="20" t="str">
        <x:v>公式通常掲載</x:v>
      </x:c>
      <x:c r="U73" s="20" t="str">
        <x:v>2026/1発売。中国製BEVのEU追加関税と同じ制度をHEVに適用しない。</x:v>
      </x:c>
      <x:c r="V73" s="20"/>
      <x:c r="W73" s="15" t="str">
        <x:v>https://presse.gwm-motor.de/2380/weltweiter-bestseller-haval-h6-bildet-den-auftakt-zu-neuer-suv-produktlinie-von-gwm-in-deutschland/</x:v>
      </x:c>
      <x:c r="X73" s="15" t="str"/>
    </x:row>
    <x:row r="74" ht="68" customHeight="1">
      <x:c r="A74" s="2" t="str">
        <x:v>H6_BR</x:v>
      </x:c>
      <x:c r="B74" s="2" t="str">
        <x:v>ブラジル</x:v>
      </x:c>
      <x:c r="C74" s="2" t="str">
        <x:v>GWM / Haval</x:v>
      </x:c>
      <x:c r="D74" s="2" t="str">
        <x:v>Haval H6 HEV</x:v>
      </x:c>
      <x:c r="E74" s="2" t="str">
        <x:v>Haval H6 Flex 2027</x:v>
      </x:c>
      <x:c r="F74" s="2" t="str">
        <x:v>HEV One</x:v>
      </x:c>
      <x:c r="G74" s="2" t="str">
        <x:v>HEV</x:v>
      </x:c>
      <x:c r="H74" s="18"/>
      <x:c r="I74" s="2" t="str">
        <x:v>BRL</x:v>
      </x:c>
      <x:c r="J74" s="19" t="n">
        <x:v>199900</x:v>
      </x:c>
      <x:c r="K74" s="19"/>
      <x:c r="L74" s="20" t="str"/>
      <x:c r="M74" s="20" t="str">
        <x:v>メーカー発表価格</x:v>
      </x:c>
      <x:c r="N74" s="20" t="str">
        <x:v>メーカー・輸入者</x:v>
      </x:c>
      <x:c r="O74" s="21" t="d">
        <x:v>2026-06-09T00:00:00.000Z</x:v>
      </x:c>
      <x:c r="P74" s="21" t="d">
        <x:v>2026-10-07T00:00:00.000Z</x:v>
      </x:c>
      <x:c r="Q74" s="16" t="n">
        <x:f>IF(J74="","",J74*'為替'!$B$7/INDEX('為替'!$B$6:$B$17,MATCH(I74,'為替'!$A$6:$A$17,0)))</x:f>
        <x:v>40232.77133825079</x:v>
      </x:c>
      <x:c r="R74" s="17" t="n">
        <x:f>IF(J74="","",J74*'為替'!$B$8/INDEX('為替'!$B$6:$B$17,MATCH(I74,'為替'!$A$6:$A$17,0))/10000)</x:f>
        <x:v>636.0340947652302</x:v>
      </x:c>
      <x:c r="S74" s="17" t="str">
        <x:f>IF(OR(Q74="",INDEX('価格データ'!$J$6:$J$75,MATCH("H6_CN",'価格データ'!$A$6:$A$75,0))=""),"",Q74/INDEX('価格データ'!$Q$6:$Q$75,MATCH("H6_CN",'価格データ'!$A$6:$A$75,0))*100)</x:f>
      </x:c>
      <x:c r="T74" s="20" t="str">
        <x:v>公式通常掲載</x:v>
      </x:c>
      <x:c r="U74" s="20" t="str">
        <x:v>ブラジル現地生産、ガソリン・エタノールFlex。HEV2 225,000より安いOneを採用。</x:v>
      </x:c>
      <x:c r="V74" s="20"/>
      <x:c r="W74" s="15" t="str">
        <x:v>https://www.gwmmotors.com.br/pt/media-center/news/2026/gwm-haval-h6-se-torna-o-primeiro-hibrido-plug-in-flex-fabricado-no-brasil-e-fortalece-o-pioneirismo-da-marca-em-eletrificacao</x:v>
      </x:c>
      <x:c r="X74" s="15" t="str"/>
    </x:row>
    <x:row r="75" ht="68" customHeight="1">
      <x:c r="A75" s="2" t="str">
        <x:v>H6_AU</x:v>
      </x:c>
      <x:c r="B75" s="2" t="str">
        <x:v>豪州</x:v>
      </x:c>
      <x:c r="C75" s="2" t="str">
        <x:v>GWM / Haval</x:v>
      </x:c>
      <x:c r="D75" s="2" t="str">
        <x:v>Haval H6 HEV</x:v>
      </x:c>
      <x:c r="E75" s="2" t="str">
        <x:v>Haval H6 MY26</x:v>
      </x:c>
      <x:c r="F75" s="2" t="str">
        <x:v>Lux Hybrid</x:v>
      </x:c>
      <x:c r="G75" s="2" t="str">
        <x:v>HEV</x:v>
      </x:c>
      <x:c r="H75" s="18"/>
      <x:c r="I75" s="2" t="str">
        <x:v>AUD</x:v>
      </x:c>
      <x:c r="J75" s="22" t="n">
        <x:v>39490</x:v>
      </x:c>
      <x:c r="K75" s="19"/>
      <x:c r="L75" s="20" t="str"/>
      <x:c r="M75" s="20" t="str">
        <x:v>RRP / on-road別（ブローカー掲載）</x:v>
      </x:c>
      <x:c r="N75" s="20" t="str">
        <x:v>二次資料・一次未確認</x:v>
      </x:c>
      <x:c r="O75" s="21"/>
      <x:c r="P75" s="21" t="d">
        <x:v>2026-10-07T00:00:00.000Z</x:v>
      </x:c>
      <x:c r="Q75" s="16" t="n">
        <x:f>IF(J75="","",J75*'為替'!$B$7/INDEX('為替'!$B$6:$B$17,MATCH(I75,'為替'!$A$6:$A$17,0)))</x:f>
        <x:v>27572.045229244115</x:v>
      </x:c>
      <x:c r="R75" s="17" t="n">
        <x:f>IF(J75="","",J75*'為替'!$B$8/INDEX('為替'!$B$6:$B$17,MATCH(I75,'為替'!$A$6:$A$17,0))/10000)</x:f>
        <x:v>435.88249690210654</x:v>
      </x:c>
      <x:c r="S75" s="17" t="str">
        <x:f>IF(OR(Q75="",INDEX('価格データ'!$J$6:$J$75,MATCH("H6_CN",'価格データ'!$A$6:$A$75,0))=""),"",Q75/INDEX('価格データ'!$Q$6:$Q$75,MATCH("H6_CN",'価格データ'!$A$6:$A$75,0))*100)</x:f>
      </x:c>
      <x:c r="T75" s="20" t="str">
        <x:v>二次資料・要一次確認</x:v>
      </x:c>
      <x:c r="U75" s="20" t="str">
        <x:v>9/2026時点RRPと明記するブローカー資料。メーカーの希望価格を一次確認できず、要補完。</x:v>
      </x:c>
      <x:c r="V75" s="20"/>
      <x:c r="W75" s="15" t="str">
        <x:v>https://rodar.com.au/new-car-broker/gwm-haval-h6-2026</x:v>
      </x:c>
      <x:c r="X75" s="15" t="str"/>
    </x:row>
  </x:sheetData>
  <x:mergeCells>
    <x:mergeCell ref="A1:U1"/>
    <x:mergeCell ref="A2:U3"/>
  </x:mergeCells>
  <x:pageMargins left="0.7" right="0.7" top="0.75" bottom="0.75" header="0.3" footer="0.3"/>
  <x:tableParts count="1">
    <x:tablePart xmlns:r="http://schemas.openxmlformats.org/officeDocument/2006/relationships" r:id="R6a59a5322c8e4cf0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1" hidden="0" customWidth="1"/>
    <x:col min="2" max="2" width="26" hidden="0" customWidth="1"/>
    <x:col min="3" max="3" width="48" hidden="0" customWidth="1"/>
    <x:col min="4" max="4" width="51" hidden="0" customWidth="1"/>
    <x:col min="5" max="5" width="48" hidden="0" customWidth="1"/>
    <x:col min="6" max="6" width="23" hidden="0" customWidth="1"/>
    <x:col min="7" max="7" width="43" hidden="0" customWidth="1"/>
  </x:cols>
  <x:sheetData>
    <x:row r="1" ht="24" customHeight="1">
      <x:c r="A1" s="4" t="str">
        <x:v>調査前の仮説と、観測後の評価</x:v>
      </x:c>
      <x:c r="B1" s="4" t="str">
        <x:v>調査前の仮説と、観測後の評価</x:v>
      </x:c>
      <x:c r="C1" s="4" t="str">
        <x:v>調査前の仮説と、観測後の評価</x:v>
      </x:c>
      <x:c r="D1" s="4" t="str">
        <x:v>調査前の仮説と、観測後の評価</x:v>
      </x:c>
      <x:c r="E1" s="4" t="str">
        <x:v>調査前の仮説と、観測後の評価</x:v>
      </x:c>
      <x:c r="F1" s="4" t="str">
        <x:v>調査前の仮説と、観測後の評価</x:v>
      </x:c>
      <x:c r="G1" s="4" t="str">
        <x:v>調査前の仮説と、観測後の評価</x:v>
      </x:c>
    </x:row>
    <x:row r="2" ht="24" customHeight="1">
      <x:c r="A2" s="7" t="str">
        <x:v>以下の「事前仮説」は調査開始時の予測を整理したもの。観測結果と分けて記載。10市場の横断的な価格表だけでは、税・原価・販促・仕様の寄与を因果分解できない。</x:v>
      </x:c>
      <x:c r="B2" s="7" t="str">
        <x:v>以下の「事前仮説」は調査開始時の予測を整理したもの。観測結果と分けて記載。10市場の横断的な価格表だけでは、税・原価・販促・仕様の寄与を因果分解できない。</x:v>
      </x:c>
      <x:c r="C2" s="7" t="str">
        <x:v>以下の「事前仮説」は調査開始時の予測を整理したもの。観測結果と分けて記載。10市場の横断的な価格表だけでは、税・原価・販促・仕様の寄与を因果分解できない。</x:v>
      </x:c>
      <x:c r="D2" s="7" t="str">
        <x:v>以下の「事前仮説」は調査開始時の予測を整理したもの。観測結果と分けて記載。10市場の横断的な価格表だけでは、税・原価・販促・仕様の寄与を因果分解できない。</x:v>
      </x:c>
      <x:c r="E2" s="7" t="str">
        <x:v>以下の「事前仮説」は調査開始時の予測を整理したもの。観測結果と分けて記載。10市場の横断的な価格表だけでは、税・原価・販促・仕様の寄与を因果分解できない。</x:v>
      </x:c>
      <x:c r="F2" s="7" t="str">
        <x:v>以下の「事前仮説」は調査開始時の予測を整理したもの。観測結果と分けて記載。10市場の横断的な価格表だけでは、税・原価・販促・仕様の寄与を因果分解できない。</x:v>
      </x:c>
      <x:c r="G2" s="7" t="str">
        <x:v>以下の「事前仮説」は調査開始時の予測を整理したもの。観測結果と分けて記載。10市場の横断的な価格表だけでは、税・原価・販促・仕様の寄与を因果分解できない。</x:v>
      </x:c>
    </x:row>
    <x:row r="3" ht="24" customHeight="1">
      <x:c r="A3" s="7" t="str">
        <x:v>以下の「事前仮説」は調査開始時の予測を整理したもの。観測結果と分けて記載。10市場の横断的な価格表だけでは、税・原価・販促・仕様の寄与を因果分解できない。</x:v>
      </x:c>
      <x:c r="B3" s="7" t="str">
        <x:v>以下の「事前仮説」は調査開始時の予測を整理したもの。観測結果と分けて記載。10市場の横断的な価格表だけでは、税・原価・販促・仕様の寄与を因果分解できない。</x:v>
      </x:c>
      <x:c r="C3" s="7" t="str">
        <x:v>以下の「事前仮説」は調査開始時の予測を整理したもの。観測結果と分けて記載。10市場の横断的な価格表だけでは、税・原価・販促・仕様の寄与を因果分解できない。</x:v>
      </x:c>
      <x:c r="D3" s="7" t="str">
        <x:v>以下の「事前仮説」は調査開始時の予測を整理したもの。観測結果と分けて記載。10市場の横断的な価格表だけでは、税・原価・販促・仕様の寄与を因果分解できない。</x:v>
      </x:c>
      <x:c r="E3" s="7" t="str">
        <x:v>以下の「事前仮説」は調査開始時の予測を整理したもの。観測結果と分けて記載。10市場の横断的な価格表だけでは、税・原価・販促・仕様の寄与を因果分解できない。</x:v>
      </x:c>
      <x:c r="F3" s="7" t="str">
        <x:v>以下の「事前仮説」は調査開始時の予測を整理したもの。観測結果と分けて記載。10市場の横断的な価格表だけでは、税・原価・販促・仕様の寄与を因果分解できない。</x:v>
      </x:c>
      <x:c r="G3" s="7" t="str">
        <x:v>以下の「事前仮説」は調査開始時の予測を整理したもの。観測結果と分けて記載。10市場の横断的な価格表だけでは、税・原価・販促・仕様の寄与を因果分解できない。</x:v>
      </x:c>
    </x:row>
    <x:row r="4" ht="24" customHeight="1">
      <x:c r="A4" s="2"/>
      <x:c r="B4" s="2"/>
      <x:c r="C4" s="2"/>
      <x:c r="D4" s="2"/>
      <x:c r="E4" s="2"/>
      <x:c r="F4" s="2"/>
      <x:c r="G4" s="2"/>
    </x:row>
    <x:row r="5" ht="44" customHeight="1">
      <x:c r="A5" s="10" t="str">
        <x:v>ID</x:v>
      </x:c>
      <x:c r="B5" s="10" t="str">
        <x:v>事前仮説</x:v>
      </x:c>
      <x:c r="C5" s="10" t="str">
        <x:v>調査前の予想</x:v>
      </x:c>
      <x:c r="D5" s="10" t="str">
        <x:v>予想のロジック</x:v>
      </x:c>
      <x:c r="E5" s="10" t="str">
        <x:v>観測された結果</x:v>
      </x:c>
      <x:c r="F5" s="10" t="str">
        <x:v>評価</x:v>
      </x:c>
      <x:c r="G5" s="10" t="str">
        <x:v>次に確かめること</x:v>
      </x:c>
    </x:row>
    <x:row r="6" ht="80" customHeight="1">
      <x:c r="A6" s="20" t="str">
        <x:v>H1</x:v>
      </x:c>
      <x:c r="B6" s="20" t="str">
        <x:v>中国が最も低い</x:v>
      </x:c>
      <x:c r="C6" s="20" t="str">
        <x:v>中国の入口価格指数100に対し、輸出市場は原則100を上回ると予想。</x:v>
      </x:c>
      <x:c r="D6" s="20" t="str">
        <x:v>国内競争・供給網・販売量が大きく、輸送・認証・輸入税・輸出流通費が加わらない。海外は各費用と現地価格戦略が上乗せされうる。</x:v>
      </x:c>
      <x:c r="E6" s="20" t="str">
        <x:v>DolphinとMG4 Urbanは中国が確認市場で最安。Atto 3も最安だが、第三代と輸出旧世代の違いがある。</x:v>
      </x:c>
      <x:c r="F6" s="20" t="str">
        <x:v>採録範囲で支持</x:v>
      </x:c>
      <x:c r="G6" s="20" t="str">
        <x:v>同一電池・装備・世代の税抜価格で再比較。中国の国・厂補前後を分ける。</x:v>
      </x:c>
    </x:row>
    <x:row r="7" ht="80" customHeight="1">
      <x:c r="A7" s="20" t="str">
        <x:v>H2</x:v>
      </x:c>
      <x:c r="B7" s="20" t="str">
        <x:v>ASEAN現地化で価格差縮小</x:v>
      </x:c>
      <x:c r="C7" s="20" t="str">
        <x:v>タイ、インドネシア、マレーシアは欧州より低く、中国に近づくと予想。</x:v>
      </x:c>
      <x:c r="D7" s="20" t="str">
        <x:v>現地生産・組立で輸送や一部輸入負担を抑え、EV施策と競争が消費者価格を押し下げうる。現地化の程度・施策条件は国と車種で異なる。</x:v>
      </x:c>
      <x:c r="E7" s="20" t="str">
        <x:v>Dolphinはタイ約17.9千USD、Indonesia約20.7千USDに対しGermany約38.3千USD。MG4はMY約24.7千USD、DE約48.4千USD。</x:v>
      </x:c>
      <x:c r="F7" s="20" t="str">
        <x:v>方向は支持 / 因果未検証</x:v>
      </x:c>
      <x:c r="G7" s="20" t="str">
        <x:v>車種ごとの生産国、原産地、補助受給、税率、電池仕様を揃える。</x:v>
      </x:c>
    </x:row>
    <x:row r="8" ht="80" customHeight="1">
      <x:c r="A8" s="20" t="str">
        <x:v>H3</x:v>
      </x:c>
      <x:c r="B8" s="20" t="str">
        <x:v>欧州・ブラジルは高い</x:v>
      </x:c>
      <x:c r="C8" s="20" t="str">
        <x:v>完成車輸入中心なら欧州・ブラジルの価格はASEANより高くなると予想。</x:v>
      </x:c>
      <x:c r="D8" s="20" t="str">
        <x:v>輸送・輸入負担・税と認証費が増える。EUの中国製BEV追加関税は背景要因。現地生産と安いグレード追加は逆向きに働く。</x:v>
      </x:c>
      <x:c r="E8" s="20" t="str">
        <x:v>BYD DolphinではDEが高い。一方、H6 HEVはBR約40.2千USD、DE約36.1千USD、ID約36.7千USD。BRを一律に高価格市場とは呼べない。</x:v>
      </x:c>
      <x:c r="F8" s="20" t="str">
        <x:v>車種に依存</x:v>
      </x:c>
      <x:c r="G8" s="20" t="str">
        <x:v>EUのBEVとHEVを分ける。ブラジルの現地製/輸入車、Flex仕様、税・販促を整理。</x:v>
      </x:c>
    </x:row>
    <x:row r="9" ht="80" customHeight="1">
      <x:c r="A9" s="20" t="str">
        <x:v>H4</x:v>
      </x:c>
      <x:c r="B9" s="20" t="str">
        <x:v>Singaporeの制度が価格を支配</x:v>
      </x:c>
      <x:c r="C9" s="20" t="str">
        <x:v>COE・登録税込みの価格は他市場から大きく離れると予想。</x:v>
      </x:c>
      <x:c r="D9" s="20" t="str">
        <x:v>保有権・ARF等が車両価格に加わり、車そのものの価格差より制度コストの影響が強くなる。条件付販売パッケージも多い。</x:v>
      </x:c>
      <x:c r="E9" s="20" t="str">
        <x:v>DolphinのList SGD256,888は約201千USD。BYD3モデルの条件付SaversはListより約28–29%低い。</x:v>
      </x:c>
      <x:c r="F9" s="20" t="str">
        <x:v>支持 / 内訳は未分離</x:v>
      </x:c>
      <x:c r="G9" s="20" t="str">
        <x:v>輸入OMV、ARF、適用補助、COE落札・保証条件、販売手数料のモデル別明細。</x:v>
      </x:c>
    </x:row>
    <x:row r="10" ht="80" customHeight="1">
      <x:c r="A10" s="20" t="str">
        <x:v>H5</x:v>
      </x:c>
      <x:c r="B10" s="20" t="str">
        <x:v>from比較は仕様選択を反映</x:v>
      </x:c>
      <x:c r="C10" s="20" t="str">
        <x:v>最安グレードを比べると、国ごとの商品構成の差が混ざると予想。</x:v>
      </x:c>
      <x:c r="D10" s="20" t="str">
        <x:v>最安の定義は同じでも、電池容量・駆動系・装備・新旧世代が違えば価格差は車両価値の差を含む。</x:v>
      </x:c>
      <x:c r="E10" s="20" t="str">
        <x:v>MG4 RWD系とUrban FWD系でDEは42,990対24,990 EUR。SealはMY82.56kWh / DE61.4kWh。Atto3は旧EssentialとEVO・第三代が混在。</x:v>
      </x:c>
      <x:c r="F10" s="20" t="str">
        <x:v>強く支持</x:v>
      </x:c>
      <x:c r="G10" s="20" t="str">
        <x:v>入口価格比較と同一仕様比較を別に運用。型式・モデル年・電池・駆動系のコードを追加。</x:v>
      </x:c>
    </x:row>
    <x:row r="11" ht="80" customHeight="1">
      <x:c r="A11" s="20" t="str">
        <x:v>H6</x:v>
      </x:c>
      <x:c r="B11" s="20" t="str">
        <x:v>通常価格と実売の順位は違う</x:v>
      </x:c>
      <x:c r="C11" s="20" t="str">
        <x:v>MSRPで高くても販促・補助後に安く見える国があると予想。</x:v>
      </x:c>
      <x:c r="D11" s="20" t="str">
        <x:v>需要・在庫・競争・金融支援の局面に応じて実効支払価格が動く。国によって政府支援が公表価格に織り込まれる。</x:v>
      </x:c>
      <x:c r="E11" s="20" t="str">
        <x:v>TH MG4は通常669,900対特価599,900。BR MG4は184,600対169,600。GermanyのBYD広告は政府補助やE-Bonus控除後のfromも使う。</x:v>
      </x:c>
      <x:c r="F11" s="20" t="str">
        <x:v>支持</x:v>
      </x:c>
      <x:c r="G11" s="20" t="str">
        <x:v>毎月の通常価格と現金特価を追跡し、補助・金融・下取・数量条件を分解する。</x:v>
      </x:c>
    </x:row>
    <x:row r="12" ht="24" customHeight="1">
      <x:c r="A12" s="2"/>
      <x:c r="B12" s="2"/>
      <x:c r="C12" s="2"/>
      <x:c r="D12" s="2"/>
      <x:c r="E12" s="2"/>
      <x:c r="F12" s="2"/>
      <x:c r="G12" s="2"/>
    </x:row>
    <x:row r="13" ht="24" customHeight="1">
      <x:c r="A13" s="27" t="str">
        <x:v>比較方法</x:v>
      </x:c>
      <x:c r="B13" s="27" t="str">
        <x:v>比較方法</x:v>
      </x:c>
      <x:c r="C13" s="27" t="str">
        <x:v>比較方法</x:v>
      </x:c>
      <x:c r="D13" s="27" t="str">
        <x:v>比較方法</x:v>
      </x:c>
      <x:c r="E13" s="27" t="str">
        <x:v>比較方法</x:v>
      </x:c>
      <x:c r="F13" s="27" t="str">
        <x:v>比較方法</x:v>
      </x:c>
      <x:c r="G13" s="27" t="str">
        <x:v>比較方法</x:v>
      </x:c>
    </x:row>
    <x:row r="14" ht="24" customHeight="1">
      <x:c r="A14" s="2"/>
      <x:c r="B14" s="2"/>
      <x:c r="C14" s="2"/>
      <x:c r="D14" s="2"/>
      <x:c r="E14" s="2"/>
      <x:c r="F14" s="2"/>
      <x:c r="G14" s="2"/>
    </x:row>
    <x:row r="15" ht="48" customHeight="1">
      <x:c r="A15" s="34" t="str">
        <x:v>対象</x:v>
      </x:c>
      <x:c r="B15" s="34" t="str">
        <x:v>対象</x:v>
      </x:c>
      <x:c r="C15" s="25" t="str">
        <x:v>中国に本社・支配グループを持つBYD、SAIC（MG）、Chery（Omoda）、GWM（Haval）。MGは英国由来のブランドだが企業支配は中国SAIC。</x:v>
      </x:c>
      <x:c r="D15" s="25" t="str">
        <x:v>中国に本社・支配グループを持つBYD、SAIC（MG）、Chery（Omoda）、GWM（Haval）。MGは英国由来のブランドだが企業支配は中国SAIC。</x:v>
      </x:c>
      <x:c r="E15" s="25" t="str">
        <x:v>中国に本社・支配グループを持つBYD、SAIC（MG）、Chery（Omoda）、GWM（Haval）。MGは英国由来のブランドだが企業支配は中国SAIC。</x:v>
      </x:c>
      <x:c r="F15" s="25" t="str">
        <x:v>中国に本社・支配グループを持つBYD、SAIC（MG）、Chery（Omoda）、GWM（Haval）。MGは英国由来のブランドだが企業支配は中国SAIC。</x:v>
      </x:c>
      <x:c r="G15" s="25" t="str">
        <x:v>中国に本社・支配グループを持つBYD、SAIC（MG）、Chery（Omoda）、GWM（Haval）。MGは英国由来のブランドだが企業支配は中国SAIC。</x:v>
      </x:c>
    </x:row>
    <x:row r="16" ht="48" customHeight="1">
      <x:c r="A16" s="34" t="str">
        <x:v>市場</x:v>
      </x:c>
      <x:c r="B16" s="34" t="str">
        <x:v>市場</x:v>
      </x:c>
      <x:c r="C16" s="25" t="str">
        <x:v>ASEAN6カ国＋中国＋ドイツ＋ブラジル＋豪州。欧州は1つの市場価格ではないため、ドイツを代表市場として採用。豪州は右ハンドル・完成車輸入の比較に有用。</x:v>
      </x:c>
      <x:c r="D16" s="25" t="str">
        <x:v>ASEAN6カ国＋中国＋ドイツ＋ブラジル＋豪州。欧州は1つの市場価格ではないため、ドイツを代表市場として採用。豪州は右ハンドル・完成車輸入の比較に有用。</x:v>
      </x:c>
      <x:c r="E16" s="25" t="str">
        <x:v>ASEAN6カ国＋中国＋ドイツ＋ブラジル＋豪州。欧州は1つの市場価格ではないため、ドイツを代表市場として採用。豪州は右ハンドル・完成車輸入の比較に有用。</x:v>
      </x:c>
      <x:c r="F16" s="25" t="str">
        <x:v>ASEAN6カ国＋中国＋ドイツ＋ブラジル＋豪州。欧州は1つの市場価格ではないため、ドイツを代表市場として採用。豪州は右ハンドル・完成車輸入の比較に有用。</x:v>
      </x:c>
      <x:c r="G16" s="25" t="str">
        <x:v>ASEAN6カ国＋中国＋ドイツ＋ブラジル＋豪州。欧州は1つの市場価格ではないため、ドイツを代表市場として採用。豪州は右ハンドル・完成車輸入の比較に有用。</x:v>
      </x:c>
    </x:row>
    <x:row r="17" ht="48" customHeight="1">
      <x:c r="A17" s="34" t="str">
        <x:v>通常価格</x:v>
      </x:c>
      <x:c r="B17" s="34" t="str">
        <x:v>通常価格</x:v>
      </x:c>
      <x:c r="C17" s="25" t="str">
        <x:v>標準色・オプションなしの確認できた最安グレード。メーカーMSRP / SRP / UPEを優先。公開from・通常小売価格、正規店、二次資料を使う場合は主体・費用基準を記載。</x:v>
      </x:c>
      <x:c r="D17" s="25" t="str">
        <x:v>標準色・オプションなしの確認できた最安グレード。メーカーMSRP / SRP / UPEを優先。公開from・通常小売価格、正規店、二次資料を使う場合は主体・費用基準を記載。</x:v>
      </x:c>
      <x:c r="E17" s="25" t="str">
        <x:v>標準色・オプションなしの確認できた最安グレード。メーカーMSRP / SRP / UPEを優先。公開from・通常小売価格、正規店、二次資料を使う場合は主体・費用基準を記載。</x:v>
      </x:c>
      <x:c r="F17" s="25" t="str">
        <x:v>標準色・オプションなしの確認できた最安グレード。メーカーMSRP / SRP / UPEを優先。公開from・通常小売価格、正規店、二次資料を使う場合は主体・費用基準を記載。</x:v>
      </x:c>
      <x:c r="G17" s="25" t="str">
        <x:v>標準色・オプションなしの確認できた最安グレード。メーカーMSRP / SRP / UPEを優先。公開from・通常小売価格、正規店、二次資料を使う場合は主体・費用基準を記載。</x:v>
      </x:c>
    </x:row>
    <x:row r="18" ht="48" customHeight="1">
      <x:c r="A18" s="34" t="str">
        <x:v>価格の時点</x:v>
      </x:c>
      <x:c r="B18" s="34" t="str">
        <x:v>価格の時点</x:v>
      </x:c>
      <x:c r="C18" s="25" t="str">
        <x:v>2026/10/07に情報を確認。資料日を別列に記載。過去発表・期限切れ販促はその旨を明記。全行が当日有効な店頭見積書であるという意味ではない。</x:v>
      </x:c>
      <x:c r="D18" s="25" t="str">
        <x:v>2026/10/07に情報を確認。資料日を別列に記載。過去発表・期限切れ販促はその旨を明記。全行が当日有効な店頭見積書であるという意味ではない。</x:v>
      </x:c>
      <x:c r="E18" s="25" t="str">
        <x:v>2026/10/07に情報を確認。資料日を別列に記載。過去発表・期限切れ販促はその旨を明記。全行が当日有効な店頭見積書であるという意味ではない。</x:v>
      </x:c>
      <x:c r="F18" s="25" t="str">
        <x:v>2026/10/07に情報を確認。資料日を別列に記載。過去発表・期限切れ販促はその旨を明記。全行が当日有効な店頭見積書であるという意味ではない。</x:v>
      </x:c>
      <x:c r="G18" s="25" t="str">
        <x:v>2026/10/07に情報を確認。資料日を別列に記載。過去発表・期限切れ販促はその旨を明記。全行が当日有効な店頭見積書であるという意味ではない。</x:v>
      </x:c>
    </x:row>
    <x:row r="19" ht="48" customHeight="1">
      <x:c r="A19" s="34" t="str">
        <x:v>税・費用</x:v>
      </x:c>
      <x:c r="B19" s="34" t="str">
        <x:v>税・費用</x:v>
      </x:c>
      <x:c r="C19" s="25" t="str">
        <x:v>各国の公表価格基準を保存。Germany VAT込、本体価格とIndonesia OTR、Singapore COE市場価格が混在。公表価格に織り込み済みの支援を推計して加え戻していない。</x:v>
      </x:c>
      <x:c r="D19" s="25" t="str">
        <x:v>各国の公表価格基準を保存。Germany VAT込、本体価格とIndonesia OTR、Singapore COE市場価格が混在。公表価格に織り込み済みの支援を推計して加え戻していない。</x:v>
      </x:c>
      <x:c r="E19" s="25" t="str">
        <x:v>各国の公表価格基準を保存。Germany VAT込、本体価格とIndonesia OTR、Singapore COE市場価格が混在。公表価格に織り込み済みの支援を推計して加え戻していない。</x:v>
      </x:c>
      <x:c r="F19" s="25" t="str">
        <x:v>各国の公表価格基準を保存。Germany VAT込、本体価格とIndonesia OTR、Singapore COE市場価格が混在。公表価格に織り込み済みの支援を推計して加え戻していない。</x:v>
      </x:c>
      <x:c r="G19" s="25" t="str">
        <x:v>各国の公表価格基準を保存。Germany VAT込、本体価格とIndonesia OTR、Singapore COE市場価格が混在。公表価格に織り込み済みの支援を推計して加え戻していない。</x:v>
      </x:c>
    </x:row>
    <x:row r="20" ht="48" customHeight="1">
      <x:c r="A20" s="34" t="str">
        <x:v>非採用</x:v>
      </x:c>
      <x:c r="B20" s="34" t="str">
        <x:v>非採用</x:v>
      </x:c>
      <x:c r="C20" s="25" t="str">
        <x:v>中古、並行輸入、ローン月額、税金・保険からの推計MSRP、補助後限定from、過去価格の現行への転用を避ける。AustraliaでDAPしか得られないモデルは参考欄のみ。</x:v>
      </x:c>
      <x:c r="D20" s="25" t="str">
        <x:v>中古、並行輸入、ローン月額、税金・保険からの推計MSRP、補助後限定from、過去価格の現行への転用を避ける。AustraliaでDAPしか得られないモデルは参考欄のみ。</x:v>
      </x:c>
      <x:c r="E20" s="25" t="str">
        <x:v>中古、並行輸入、ローン月額、税金・保険からの推計MSRP、補助後限定from、過去価格の現行への転用を避ける。AustraliaでDAPしか得られないモデルは参考欄のみ。</x:v>
      </x:c>
      <x:c r="F20" s="25" t="str">
        <x:v>中古、並行輸入、ローン月額、税金・保険からの推計MSRP、補助後限定from、過去価格の現行への転用を避ける。AustraliaでDAPしか得られないモデルは参考欄のみ。</x:v>
      </x:c>
      <x:c r="G20" s="25" t="str">
        <x:v>中古、並行輸入、ローン月額、税金・保険からの推計MSRP、補助後限定from、過去価格の現行への転用を避ける。AustraliaでDAPしか得られないモデルは参考欄のみ。</x:v>
      </x:c>
    </x:row>
    <x:row r="21" ht="48" customHeight="1">
      <x:c r="A21" s="34" t="str">
        <x:v>欠損</x:v>
      </x:c>
      <x:c r="B21" s="34" t="str">
        <x:v>欠損</x:v>
      </x:c>
      <x:c r="C21" s="25" t="str">
        <x:v>通常価格の空欄は「未確認」。未販売、終了、確認不能を同じ意味にはしない。ゼロ補完・隣国価格の代入をしない。</x:v>
      </x:c>
      <x:c r="D21" s="25" t="str">
        <x:v>通常価格の空欄は「未確認」。未販売、終了、確認不能を同じ意味にはしない。ゼロ補完・隣国価格の代入をしない。</x:v>
      </x:c>
      <x:c r="E21" s="25" t="str">
        <x:v>通常価格の空欄は「未確認」。未販売、終了、確認不能を同じ意味にはしない。ゼロ補完・隣国価格の代入をしない。</x:v>
      </x:c>
      <x:c r="F21" s="25" t="str">
        <x:v>通常価格の空欄は「未確認」。未販売、終了、確認不能を同じ意味にはしない。ゼロ補完・隣国価格の代入をしない。</x:v>
      </x:c>
      <x:c r="G21" s="25" t="str">
        <x:v>通常価格の空欄は「未確認」。未販売、終了、確認不能を同じ意味にはしない。ゼロ補完・隣国価格の代入をしない。</x:v>
      </x:c>
    </x:row>
    <x:row r="22" ht="48" customHeight="1">
      <x:c r="A22" s="34" t="str">
        <x:v>車名対応</x:v>
      </x:c>
      <x:c r="B22" s="34" t="str">
        <x:v>車名対応</x:v>
      </x:c>
      <x:c r="C22" s="25" t="str">
        <x:v>提供のName_Crosswalk_Asia_Auto_2026-10.xlsxの車種市場別名称を参照。Dolphin Mini/Surf（海鸥）をDolphinに、Yuan Pro（Atto2）をAtto3に混ぜない。Seal各DM-i/06/07/08は別。</x:v>
      </x:c>
      <x:c r="D22" s="25" t="str">
        <x:v>提供のName_Crosswalk_Asia_Auto_2026-10.xlsxの車種市場別名称を参照。Dolphin Mini/Surf（海鸥）をDolphinに、Yuan Pro（Atto2）をAtto3に混ぜない。Seal各DM-i/06/07/08は別。</x:v>
      </x:c>
      <x:c r="E22" s="25" t="str">
        <x:v>提供のName_Crosswalk_Asia_Auto_2026-10.xlsxの車種市場別名称を参照。Dolphin Mini/Surf（海鸥）をDolphinに、Yuan Pro（Atto2）をAtto3に混ぜない。Seal各DM-i/06/07/08は別。</x:v>
      </x:c>
      <x:c r="F22" s="25" t="str">
        <x:v>提供のName_Crosswalk_Asia_Auto_2026-10.xlsxの車種市場別名称を参照。Dolphin Mini/Surf（海鸥）をDolphinに、Yuan Pro（Atto2）をAtto3に混ぜない。Seal各DM-i/06/07/08は別。</x:v>
      </x:c>
      <x:c r="G22" s="25" t="str">
        <x:v>提供のName_Crosswalk_Asia_Auto_2026-10.xlsxの車種市場別名称を参照。Dolphin Mini/Surf（海鸥）をDolphinに、Yuan Pro（Atto2）をAtto3に混ぜない。Seal各DM-i/06/07/08は別。</x:v>
      </x:c>
    </x:row>
    <x:row r="23" ht="48" customHeight="1">
      <x:c r="A23" s="34" t="str">
        <x:v>企業比較</x:v>
      </x:c>
      <x:c r="B23" s="34" t="str">
        <x:v>企業比較</x:v>
      </x:c>
      <x:c r="C23" s="25" t="str">
        <x:v>国別全車種平均は作らない。BEVハッチ・SUV・セダン、ICE C5、HEV H6を混ぜた平均ではブランドや国の強さを比較できない。</x:v>
      </x:c>
      <x:c r="D23" s="25" t="str">
        <x:v>国別全車種平均は作らない。BEVハッチ・SUV・セダン、ICE C5、HEV H6を混ぜた平均ではブランドや国の強さを比較できない。</x:v>
      </x:c>
      <x:c r="E23" s="25" t="str">
        <x:v>国別全車種平均は作らない。BEVハッチ・SUV・セダン、ICE C5、HEV H6を混ぜた平均ではブランドや国の強さを比較できない。</x:v>
      </x:c>
      <x:c r="F23" s="25" t="str">
        <x:v>国別全車種平均は作らない。BEVハッチ・SUV・セダン、ICE C5、HEV H6を混ぜた平均ではブランドや国の強さを比較できない。</x:v>
      </x:c>
      <x:c r="G23" s="25" t="str">
        <x:v>国別全車種平均は作らない。BEVハッチ・SUV・セダン、ICE C5、HEV H6を混ぜた平均ではブランドや国の強さを比較できない。</x:v>
      </x:c>
    </x:row>
    <x:row r="24" ht="48" customHeight="1">
      <x:c r="A24" s="34" t="str">
        <x:v>価格差の意味</x:v>
      </x:c>
      <x:c r="B24" s="34" t="str">
        <x:v>価格差の意味</x:v>
      </x:c>
      <x:c r="C24" s="25" t="str">
        <x:v>消費者入口価格の差であり、原価や利益率の差ではない。小売価格＝車両価値＋仕様差＋物流・関税・税＋流通費＋登録/COE−支援/販促という分解で読む。</x:v>
      </x:c>
      <x:c r="D24" s="25" t="str">
        <x:v>消費者入口価格の差であり、原価や利益率の差ではない。小売価格＝車両価値＋仕様差＋物流・関税・税＋流通費＋登録/COE−支援/販促という分解で読む。</x:v>
      </x:c>
      <x:c r="E24" s="25" t="str">
        <x:v>消費者入口価格の差であり、原価や利益率の差ではない。小売価格＝車両価値＋仕様差＋物流・関税・税＋流通費＋登録/COE−支援/販促という分解で読む。</x:v>
      </x:c>
      <x:c r="F24" s="25" t="str">
        <x:v>消費者入口価格の差であり、原価や利益率の差ではない。小売価格＝車両価値＋仕様差＋物流・関税・税＋流通費＋登録/COE−支援/販促という分解で読む。</x:v>
      </x:c>
      <x:c r="G24" s="25" t="str">
        <x:v>消費者入口価格の差であり、原価や利益率の差ではない。小売価格＝車両価値＋仕様差＋物流・関税・税＋流通費＋登録/COE−支援/販促という分解で読む。</x:v>
      </x:c>
    </x:row>
    <x:row r="25" ht="24" customHeight="1">
      <x:c r="A25" s="2"/>
      <x:c r="B25" s="2"/>
      <x:c r="C25" s="2"/>
      <x:c r="D25" s="2"/>
      <x:c r="E25" s="2"/>
      <x:c r="F25" s="2"/>
      <x:c r="G25" s="2"/>
    </x:row>
    <x:row r="26" ht="24" customHeight="1">
      <x:c r="A26" s="27" t="str">
        <x:v>仮説の制度・現地化に関する根拠（価格の出典は価格データ欄）</x:v>
      </x:c>
      <x:c r="B26" s="27" t="str">
        <x:v>仮説の制度・現地化に関する根拠（価格の出典は価格データ欄）</x:v>
      </x:c>
      <x:c r="C26" s="27" t="str">
        <x:v>仮説の制度・現地化に関する根拠（価格の出典は価格データ欄）</x:v>
      </x:c>
      <x:c r="D26" s="27" t="str">
        <x:v>仮説の制度・現地化に関する根拠（価格の出典は価格データ欄）</x:v>
      </x:c>
      <x:c r="E26" s="27" t="str">
        <x:v>仮説の制度・現地化に関する根拠（価格の出典は価格データ欄）</x:v>
      </x:c>
      <x:c r="F26" s="27" t="str">
        <x:v>仮説の制度・現地化に関する根拠（価格の出典は価格データ欄）</x:v>
      </x:c>
      <x:c r="G26" s="27" t="str">
        <x:v>仮説の制度・現地化に関する根拠（価格の出典は価格データ欄）</x:v>
      </x:c>
    </x:row>
    <x:row r="27" ht="75" customHeight="1">
      <x:c r="A27" s="36" t="str">
        <x:v>BYDタイ工場稼働</x:v>
      </x:c>
      <x:c r="B27" s="36" t="str">
        <x:v>BYDタイ工場稼働</x:v>
      </x:c>
      <x:c r="C27" s="25" t="str">
        <x:v>2024/7稼働。現地化が価格に影響しうる背景。税効果の実測ではない。</x:v>
      </x:c>
      <x:c r="D27" s="25" t="str">
        <x:v>2024/7稼働。現地化が価格に影響しうる背景。税効果の実測ではない。</x:v>
      </x:c>
      <x:c r="E27" s="25" t="str">
        <x:v>2024/7稼働。現地化が価格に影響しうる背景。税効果の実測ではない。</x:v>
      </x:c>
      <x:c r="F27" s="38" t="str">
        <x:v>https://www.byd.com/cn/news/2024/detail536</x:v>
      </x:c>
      <x:c r="G27" s="38" t="str">
        <x:v>https://www.byd.com/cn/news/2024/detail536</x:v>
      </x:c>
    </x:row>
    <x:row r="28" ht="75" customHeight="1">
      <x:c r="A28" s="36" t="str">
        <x:v>GWMマレーシアCKD</x:v>
      </x:c>
      <x:c r="B28" s="36" t="str">
        <x:v>GWMマレーシアCKD</x:v>
      </x:c>
      <x:c r="C28" s="25" t="str">
        <x:v>H6 HEVの現地組立開始。製造拠点と商品展開を確認する根拠。</x:v>
      </x:c>
      <x:c r="D28" s="25" t="str">
        <x:v>H6 HEVの現地組立開始。製造拠点と商品展開を確認する根拠。</x:v>
      </x:c>
      <x:c r="E28" s="25" t="str">
        <x:v>H6 HEVの現地組立開始。製造拠点と商品展開を確認する根拠。</x:v>
      </x:c>
      <x:c r="F28" s="38" t="str">
        <x:v>https://www.gwm-global.com/news/3403491.html</x:v>
      </x:c>
      <x:c r="G28" s="38" t="str">
        <x:v>https://www.gwm-global.com/news/3403491.html</x:v>
      </x:c>
    </x:row>
    <x:row r="29" ht="75" customHeight="1">
      <x:c r="A29" s="36" t="str">
        <x:v>EU中国製BEV追加関税</x:v>
      </x:c>
      <x:c r="B29" s="36" t="str">
        <x:v>EU中国製BEV追加関税</x:v>
      </x:c>
      <x:c r="C29" s="25" t="str">
        <x:v>2024導入の制度背景。対象はBEV。HEVに同じ追加関税を仮定しない。寄与額を本表から推計しない。</x:v>
      </x:c>
      <x:c r="D29" s="25" t="str">
        <x:v>2024導入の制度背景。対象はBEV。HEVに同じ追加関税を仮定しない。寄与額を本表から推計しない。</x:v>
      </x:c>
      <x:c r="E29" s="25" t="str">
        <x:v>2024導入の制度背景。対象はBEV。HEVに同じ追加関税を仮定しない。寄与額を本表から推計しない。</x:v>
      </x:c>
      <x:c r="F29" s="38" t="str">
        <x:v>https://cyprus.representation.ec.europa.eu/news/eu-imposes-duties-unfairly-subsidised-electric-vehicles-china-while-discussions-price-undertakings-2024-10-30_en</x:v>
      </x:c>
      <x:c r="G29" s="38" t="str">
        <x:v>https://cyprus.representation.ec.europa.eu/news/eu-imposes-duties-unfairly-subsidised-electric-vehicles-china-while-discussions-price-undertakings-2024-10-30_en</x:v>
      </x:c>
    </x:row>
    <x:row r="30" ht="75" customHeight="1">
      <x:c r="A30" s="36" t="str">
        <x:v>Singapore制度</x:v>
      </x:c>
      <x:c r="B30" s="36" t="str">
        <x:v>Singapore制度</x:v>
      </x:c>
      <x:c r="C30" s="25" t="str">
        <x:v>LTA：COEとARF等が購入時に必要。割引パッケージから車両MSRPを逆算しない。</x:v>
      </x:c>
      <x:c r="D30" s="25" t="str">
        <x:v>LTA：COEとARF等が購入時に必要。割引パッケージから車両MSRPを逆算しない。</x:v>
      </x:c>
      <x:c r="E30" s="25" t="str">
        <x:v>LTA：COEとARF等が購入時に必要。割引パッケージから車両MSRPを逆算しない。</x:v>
      </x:c>
      <x:c r="F30" s="38" t="str">
        <x:v>https://onemotoring.lta.gov.sg/content/onemotoring/home/buying/upfront-vehicle-costs.html</x:v>
      </x:c>
      <x:c r="G30" s="38" t="str">
        <x:v>https://onemotoring.lta.gov.sg/content/onemotoring/home/buying/upfront-vehicle-costs.html</x:v>
      </x:c>
    </x:row>
    <x:row r="31" ht="24" customHeight="1">
      <x:c r="A31" s="2"/>
      <x:c r="B31" s="2"/>
      <x:c r="C31" s="2"/>
      <x:c r="D31" s="2"/>
      <x:c r="E31" s="2"/>
      <x:c r="F31" s="2"/>
      <x:c r="G31" s="2"/>
    </x:row>
    <x:row r="32" ht="24" customHeight="1">
      <x:c r="A32" s="2"/>
      <x:c r="B32" s="2"/>
      <x:c r="C32" s="2"/>
      <x:c r="D32" s="2"/>
      <x:c r="E32" s="2"/>
      <x:c r="F32" s="2"/>
      <x:c r="G32" s="2"/>
    </x:row>
    <x:row r="33" ht="24" customHeight="1">
      <x:c r="A33" s="2"/>
      <x:c r="B33" s="2"/>
      <x:c r="C33" s="2"/>
      <x:c r="D33" s="2"/>
      <x:c r="E33" s="2"/>
      <x:c r="F33" s="2"/>
      <x:c r="G33" s="2"/>
    </x:row>
  </x:sheetData>
  <x:mergeCells>
    <x:mergeCell ref="A1:G1"/>
    <x:mergeCell ref="A2:G3"/>
    <x:mergeCell ref="A13:G13"/>
    <x:mergeCell ref="A15:B15"/>
    <x:mergeCell ref="C15:G15"/>
    <x:mergeCell ref="A16:B16"/>
    <x:mergeCell ref="C16:G16"/>
    <x:mergeCell ref="A17:B17"/>
    <x:mergeCell ref="C17:G17"/>
    <x:mergeCell ref="A18:B18"/>
    <x:mergeCell ref="C18:G18"/>
    <x:mergeCell ref="A19:B19"/>
    <x:mergeCell ref="C19:G19"/>
    <x:mergeCell ref="A20:B20"/>
    <x:mergeCell ref="C20:G20"/>
    <x:mergeCell ref="A21:B21"/>
    <x:mergeCell ref="C21:G21"/>
    <x:mergeCell ref="A22:B22"/>
    <x:mergeCell ref="C22:G22"/>
    <x:mergeCell ref="A23:B23"/>
    <x:mergeCell ref="C23:G23"/>
    <x:mergeCell ref="A24:B24"/>
    <x:mergeCell ref="C24:G24"/>
    <x:mergeCell ref="A26:G26"/>
    <x:mergeCell ref="A27:B27"/>
    <x:mergeCell ref="C27:E27"/>
    <x:mergeCell ref="F27:G27"/>
    <x:mergeCell ref="A28:B28"/>
    <x:mergeCell ref="C28:E28"/>
    <x:mergeCell ref="F28:G28"/>
    <x:mergeCell ref="A29:B29"/>
    <x:mergeCell ref="C29:E29"/>
    <x:mergeCell ref="F29:G29"/>
    <x:mergeCell ref="A30:B30"/>
    <x:mergeCell ref="C30:E30"/>
    <x:mergeCell ref="F30:G30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2" hidden="0" customWidth="1"/>
    <x:col min="2" max="2" width="19" hidden="0" customWidth="1"/>
    <x:col min="3" max="3" width="19" hidden="0" customWidth="1"/>
    <x:col min="4" max="4" width="14" hidden="0" customWidth="1"/>
    <x:col min="5" max="5" width="24" hidden="0" customWidth="1"/>
    <x:col min="6" max="6" width="40" hidden="0" customWidth="1"/>
    <x:col min="7" max="7" width="3" hidden="0" customWidth="1"/>
    <x:col min="8" max="8" width="85" hidden="0" customWidth="1"/>
  </x:cols>
  <x:sheetData>
    <x:row r="1" ht="24" customHeight="1">
      <x:c r="A1" s="4" t="str">
        <x:v>換算レート（変更すると価格一覧・グラフが更新）</x:v>
      </x:c>
      <x:c r="B1" s="4" t="str">
        <x:v>換算レート（変更すると価格一覧・グラフが更新）</x:v>
      </x:c>
      <x:c r="C1" s="4" t="str">
        <x:v>換算レート（変更すると価格一覧・グラフが更新）</x:v>
      </x:c>
      <x:c r="D1" s="4" t="str">
        <x:v>換算レート（変更すると価格一覧・グラフが更新）</x:v>
      </x:c>
      <x:c r="E1" s="4" t="str">
        <x:v>換算レート（変更すると価格一覧・グラフが更新）</x:v>
      </x:c>
      <x:c r="F1" s="4" t="str">
        <x:v>換算レート（変更すると価格一覧・グラフが更新）</x:v>
      </x:c>
      <x:c r="G1" s="2"/>
      <x:c r="H1" s="2"/>
    </x:row>
    <x:row r="2" ht="24" customHeight="1">
      <x:c r="A2" s="7" t="str">
        <x:v>ECBの2026/10/06 EURクロスレートを共通使用。VNDは同日のベトナム中銀中心レート（USD）から合成。中心レートは市場の実勢売買レートと異なる。</x:v>
      </x:c>
      <x:c r="B2" s="7" t="str">
        <x:v>ECBの2026/10/06 EURクロスレートを共通使用。VNDは同日のベトナム中銀中心レート（USD）から合成。中心レートは市場の実勢売買レートと異なる。</x:v>
      </x:c>
      <x:c r="C2" s="7" t="str">
        <x:v>ECBの2026/10/06 EURクロスレートを共通使用。VNDは同日のベトナム中銀中心レート（USD）から合成。中心レートは市場の実勢売買レートと異なる。</x:v>
      </x:c>
      <x:c r="D2" s="7" t="str">
        <x:v>ECBの2026/10/06 EURクロスレートを共通使用。VNDは同日のベトナム中銀中心レート（USD）から合成。中心レートは市場の実勢売買レートと異なる。</x:v>
      </x:c>
      <x:c r="E2" s="7" t="str">
        <x:v>ECBの2026/10/06 EURクロスレートを共通使用。VNDは同日のベトナム中銀中心レート（USD）から合成。中心レートは市場の実勢売買レートと異なる。</x:v>
      </x:c>
      <x:c r="F2" s="7" t="str">
        <x:v>ECBの2026/10/06 EURクロスレートを共通使用。VNDは同日のベトナム中銀中心レート（USD）から合成。中心レートは市場の実勢売買レートと異なる。</x:v>
      </x:c>
      <x:c r="G2" s="2"/>
      <x:c r="H2" s="2"/>
    </x:row>
    <x:row r="3" ht="24" customHeight="1">
      <x:c r="A3" s="7" t="str">
        <x:v>ECBの2026/10/06 EURクロスレートを共通使用。VNDは同日のベトナム中銀中心レート（USD）から合成。中心レートは市場の実勢売買レートと異なる。</x:v>
      </x:c>
      <x:c r="B3" s="7" t="str">
        <x:v>ECBの2026/10/06 EURクロスレートを共通使用。VNDは同日のベトナム中銀中心レート（USD）から合成。中心レートは市場の実勢売買レートと異なる。</x:v>
      </x:c>
      <x:c r="C3" s="7" t="str">
        <x:v>ECBの2026/10/06 EURクロスレートを共通使用。VNDは同日のベトナム中銀中心レート（USD）から合成。中心レートは市場の実勢売買レートと異なる。</x:v>
      </x:c>
      <x:c r="D3" s="7" t="str">
        <x:v>ECBの2026/10/06 EURクロスレートを共通使用。VNDは同日のベトナム中銀中心レート（USD）から合成。中心レートは市場の実勢売買レートと異なる。</x:v>
      </x:c>
      <x:c r="E3" s="7" t="str">
        <x:v>ECBの2026/10/06 EURクロスレートを共通使用。VNDは同日のベトナム中銀中心レート（USD）から合成。中心レートは市場の実勢売買レートと異なる。</x:v>
      </x:c>
      <x:c r="F3" s="7" t="str">
        <x:v>ECBの2026/10/06 EURクロスレートを共通使用。VNDは同日のベトナム中銀中心レート（USD）から合成。中心レートは市場の実勢売買レートと異なる。</x:v>
      </x:c>
      <x:c r="G3" s="2"/>
      <x:c r="H3" s="2"/>
    </x:row>
    <x:row r="4" ht="24" customHeight="1">
      <x:c r="A4" s="2"/>
      <x:c r="B4" s="2"/>
      <x:c r="C4" s="2"/>
      <x:c r="D4" s="2"/>
      <x:c r="E4" s="2"/>
      <x:c r="F4" s="2"/>
      <x:c r="G4" s="2"/>
      <x:c r="H4" s="2"/>
    </x:row>
    <x:row r="5" ht="24" customHeight="1">
      <x:c r="A5" s="10" t="str">
        <x:v>通貨</x:v>
      </x:c>
      <x:c r="B5" s="10" t="str">
        <x:v>1 EUR = 現地通貨</x:v>
      </x:c>
      <x:c r="C5" s="10" t="str">
        <x:v>1 USD = VND</x:v>
      </x:c>
      <x:c r="D5" s="10" t="str">
        <x:v>基準日</x:v>
      </x:c>
      <x:c r="E5" s="10" t="str">
        <x:v>種別</x:v>
      </x:c>
      <x:c r="F5" s="10" t="str">
        <x:v>備考</x:v>
      </x:c>
      <x:c r="G5" s="10" t="str"/>
      <x:c r="H5" s="10" t="str">
        <x:v>出典URL</x:v>
      </x:c>
    </x:row>
    <x:row r="6" ht="42" customHeight="1">
      <x:c r="A6" s="2" t="str">
        <x:v>EUR</x:v>
      </x:c>
      <x:c r="B6" s="13" t="n">
        <x:v>1</x:v>
      </x:c>
      <x:c r="C6" s="11"/>
      <x:c r="D6" s="12" t="d">
        <x:v>2026-10-06T00:00:00.000Z</x:v>
      </x:c>
      <x:c r="E6" s="2" t="str">
        <x:v>基準通貨</x:v>
      </x:c>
      <x:c r="F6" s="2" t="str">
        <x:v>B列が換算の入力値。</x:v>
      </x:c>
      <x:c r="G6" s="2"/>
      <x:c r="H6" s="15" t="str">
        <x:v>https://www.ecb.europa.eu/stats/policy_and_exchange_rates/euro_reference_exchange_rates/html/index.cs.html</x:v>
      </x:c>
    </x:row>
    <x:row r="7" ht="42" customHeight="1">
      <x:c r="A7" s="2" t="str">
        <x:v>USD</x:v>
      </x:c>
      <x:c r="B7" s="13" t="n">
        <x:v>1.1269</x:v>
      </x:c>
      <x:c r="C7" s="11"/>
      <x:c r="D7" s="12" t="d">
        <x:v>2026-10-06T00:00:00.000Z</x:v>
      </x:c>
      <x:c r="E7" s="2" t="str">
        <x:v>ECB reference</x:v>
      </x:c>
      <x:c r="F7" s="2" t="str">
        <x:v>B列が換算の入力値。</x:v>
      </x:c>
      <x:c r="G7" s="2"/>
      <x:c r="H7" s="15" t="str">
        <x:v>https://www.ecb.europa.eu/stats/policy_and_exchange_rates/euro_reference_exchange_rates/html/index.cs.html</x:v>
      </x:c>
    </x:row>
    <x:row r="8" ht="42" customHeight="1">
      <x:c r="A8" s="2" t="str">
        <x:v>JPY</x:v>
      </x:c>
      <x:c r="B8" s="13" t="n">
        <x:v>178.15</x:v>
      </x:c>
      <x:c r="C8" s="11"/>
      <x:c r="D8" s="12" t="d">
        <x:v>2026-10-06T00:00:00.000Z</x:v>
      </x:c>
      <x:c r="E8" s="2" t="str">
        <x:v>ECB reference</x:v>
      </x:c>
      <x:c r="F8" s="2" t="str">
        <x:v>B列が換算の入力値。</x:v>
      </x:c>
      <x:c r="G8" s="2"/>
      <x:c r="H8" s="15" t="str">
        <x:v>https://www.ecb.europa.eu/stats/policy_and_exchange_rates/euro_reference_exchange_rates/html/index.cs.html</x:v>
      </x:c>
    </x:row>
    <x:row r="9" ht="42" customHeight="1">
      <x:c r="A9" s="2" t="str">
        <x:v>CNY</x:v>
      </x:c>
      <x:c r="B9" s="13" t="n">
        <x:v>7.5554</x:v>
      </x:c>
      <x:c r="C9" s="11"/>
      <x:c r="D9" s="12" t="d">
        <x:v>2026-10-06T00:00:00.000Z</x:v>
      </x:c>
      <x:c r="E9" s="2" t="str">
        <x:v>ECB reference</x:v>
      </x:c>
      <x:c r="F9" s="2" t="str">
        <x:v>B列が換算の入力値。</x:v>
      </x:c>
      <x:c r="G9" s="2"/>
      <x:c r="H9" s="15" t="str">
        <x:v>https://www.ecb.europa.eu/stats/policy_and_exchange_rates/euro_reference_exchange_rates/html/index.cs.html</x:v>
      </x:c>
    </x:row>
    <x:row r="10" ht="42" customHeight="1">
      <x:c r="A10" s="2" t="str">
        <x:v>AUD</x:v>
      </x:c>
      <x:c r="B10" s="13" t="n">
        <x:v>1.614</x:v>
      </x:c>
      <x:c r="C10" s="11"/>
      <x:c r="D10" s="12" t="d">
        <x:v>2026-10-06T00:00:00.000Z</x:v>
      </x:c>
      <x:c r="E10" s="2" t="str">
        <x:v>ECB reference</x:v>
      </x:c>
      <x:c r="F10" s="2" t="str">
        <x:v>B列が換算の入力値。</x:v>
      </x:c>
      <x:c r="G10" s="2"/>
      <x:c r="H10" s="15" t="str">
        <x:v>https://www.ecb.europa.eu/stats/policy_and_exchange_rates/euro_reference_exchange_rates/html/index.cs.html</x:v>
      </x:c>
    </x:row>
    <x:row r="11" ht="42" customHeight="1">
      <x:c r="A11" s="2" t="str">
        <x:v>BRL</x:v>
      </x:c>
      <x:c r="B11" s="13" t="n">
        <x:v>5.5991</x:v>
      </x:c>
      <x:c r="C11" s="11"/>
      <x:c r="D11" s="12" t="d">
        <x:v>2026-10-06T00:00:00.000Z</x:v>
      </x:c>
      <x:c r="E11" s="2" t="str">
        <x:v>ECB reference</x:v>
      </x:c>
      <x:c r="F11" s="2" t="str">
        <x:v>B列が換算の入力値。</x:v>
      </x:c>
      <x:c r="G11" s="2"/>
      <x:c r="H11" s="15" t="str">
        <x:v>https://www.ecb.europa.eu/stats/policy_and_exchange_rates/euro_reference_exchange_rates/html/index.cs.html</x:v>
      </x:c>
    </x:row>
    <x:row r="12" ht="42" customHeight="1">
      <x:c r="A12" s="2" t="str">
        <x:v>IDR</x:v>
      </x:c>
      <x:c r="B12" s="13" t="n">
        <x:v>20104.8</x:v>
      </x:c>
      <x:c r="C12" s="11"/>
      <x:c r="D12" s="12" t="d">
        <x:v>2026-10-06T00:00:00.000Z</x:v>
      </x:c>
      <x:c r="E12" s="2" t="str">
        <x:v>ECB reference</x:v>
      </x:c>
      <x:c r="F12" s="2" t="str">
        <x:v>B列が換算の入力値。</x:v>
      </x:c>
      <x:c r="G12" s="2"/>
      <x:c r="H12" s="15" t="str">
        <x:v>https://www.ecb.europa.eu/stats/policy_and_exchange_rates/euro_reference_exchange_rates/html/index.cs.html</x:v>
      </x:c>
    </x:row>
    <x:row r="13" ht="42" customHeight="1">
      <x:c r="A13" s="2" t="str">
        <x:v>MYR</x:v>
      </x:c>
      <x:c r="B13" s="13" t="n">
        <x:v>4.6034</x:v>
      </x:c>
      <x:c r="C13" s="11"/>
      <x:c r="D13" s="12" t="d">
        <x:v>2026-10-06T00:00:00.000Z</x:v>
      </x:c>
      <x:c r="E13" s="2" t="str">
        <x:v>ECB reference</x:v>
      </x:c>
      <x:c r="F13" s="2" t="str">
        <x:v>B列が換算の入力値。</x:v>
      </x:c>
      <x:c r="G13" s="2"/>
      <x:c r="H13" s="15" t="str">
        <x:v>https://www.ecb.europa.eu/stats/policy_and_exchange_rates/euro_reference_exchange_rates/html/index.cs.html</x:v>
      </x:c>
    </x:row>
    <x:row r="14" ht="42" customHeight="1">
      <x:c r="A14" s="2" t="str">
        <x:v>PHP</x:v>
      </x:c>
      <x:c r="B14" s="13" t="n">
        <x:v>70.702</x:v>
      </x:c>
      <x:c r="C14" s="11"/>
      <x:c r="D14" s="12" t="d">
        <x:v>2026-10-06T00:00:00.000Z</x:v>
      </x:c>
      <x:c r="E14" s="2" t="str">
        <x:v>ECB reference</x:v>
      </x:c>
      <x:c r="F14" s="2" t="str">
        <x:v>B列が換算の入力値。</x:v>
      </x:c>
      <x:c r="G14" s="2"/>
      <x:c r="H14" s="15" t="str">
        <x:v>https://www.ecb.europa.eu/stats/policy_and_exchange_rates/euro_reference_exchange_rates/html/index.cs.html</x:v>
      </x:c>
    </x:row>
    <x:row r="15" ht="42" customHeight="1">
      <x:c r="A15" s="2" t="str">
        <x:v>SGD</x:v>
      </x:c>
      <x:c r="B15" s="13" t="n">
        <x:v>1.4392</x:v>
      </x:c>
      <x:c r="C15" s="11"/>
      <x:c r="D15" s="12" t="d">
        <x:v>2026-10-06T00:00:00.000Z</x:v>
      </x:c>
      <x:c r="E15" s="2" t="str">
        <x:v>ECB reference</x:v>
      </x:c>
      <x:c r="F15" s="2" t="str">
        <x:v>B列が換算の入力値。</x:v>
      </x:c>
      <x:c r="G15" s="2"/>
      <x:c r="H15" s="15" t="str">
        <x:v>https://www.ecb.europa.eu/stats/policy_and_exchange_rates/euro_reference_exchange_rates/html/index.cs.html</x:v>
      </x:c>
    </x:row>
    <x:row r="16" ht="42" customHeight="1">
      <x:c r="A16" s="2" t="str">
        <x:v>THB</x:v>
      </x:c>
      <x:c r="B16" s="13" t="n">
        <x:v>37.836</x:v>
      </x:c>
      <x:c r="C16" s="11"/>
      <x:c r="D16" s="12" t="d">
        <x:v>2026-10-06T00:00:00.000Z</x:v>
      </x:c>
      <x:c r="E16" s="2" t="str">
        <x:v>ECB reference</x:v>
      </x:c>
      <x:c r="F16" s="2" t="str">
        <x:v>B列が換算の入力値。</x:v>
      </x:c>
      <x:c r="G16" s="2"/>
      <x:c r="H16" s="15" t="str">
        <x:v>https://www.ecb.europa.eu/stats/policy_and_exchange_rates/euro_reference_exchange_rates/html/index.cs.html</x:v>
      </x:c>
    </x:row>
    <x:row r="17" ht="42" customHeight="1">
      <x:c r="A17" s="2" t="str">
        <x:v>VND</x:v>
      </x:c>
      <x:c r="B17" s="11" t="n">
        <x:f>C17*B7</x:f>
        <x:v>28899.3505</x:v>
      </x:c>
      <x:c r="C17" s="13" t="n">
        <x:v>25645</x:v>
      </x:c>
      <x:c r="D17" s="12" t="d">
        <x:v>2026-10-06T00:00:00.000Z</x:v>
      </x:c>
      <x:c r="E17" s="2" t="str">
        <x:v>中銀中心レートから合成</x:v>
      </x:c>
      <x:c r="F17" s="2" t="str">
        <x:v>編集するのはC列。B列は計算。</x:v>
      </x:c>
      <x:c r="G17" s="2"/>
      <x:c r="H17" s="15" t="str">
        <x:v>https://tapchinganhang.gov.vn/</x:v>
      </x:c>
    </x:row>
    <x:row r="18" ht="24" customHeight="1">
      <x:c r="A18" s="2"/>
      <x:c r="B18" s="2"/>
      <x:c r="C18" s="2"/>
      <x:c r="D18" s="2"/>
      <x:c r="E18" s="2"/>
      <x:c r="F18" s="2"/>
      <x:c r="G18" s="2"/>
      <x:c r="H18" s="2"/>
    </x:row>
    <x:row r="19" ht="24" customHeight="1">
      <x:c r="A19" s="7" t="str">
        <x:v>換算式：USD = 現地通常価格 × (USD/EUR) ÷ (現地通貨/EUR)。円万円 = 現地通常価格 × (JPY/EUR) ÷ (現地通貨/EUR) ÷ 10,000。USD表示は丸めるが計算値は丸めない。</x:v>
      </x:c>
      <x:c r="B19" s="7" t="str">
        <x:v>換算式：USD = 現地通常価格 × (USD/EUR) ÷ (現地通貨/EUR)。円万円 = 現地通常価格 × (JPY/EUR) ÷ (現地通貨/EUR) ÷ 10,000。USD表示は丸めるが計算値は丸めない。</x:v>
      </x:c>
      <x:c r="C19" s="7" t="str">
        <x:v>換算式：USD = 現地通常価格 × (USD/EUR) ÷ (現地通貨/EUR)。円万円 = 現地通常価格 × (JPY/EUR) ÷ (現地通貨/EUR) ÷ 10,000。USD表示は丸めるが計算値は丸めない。</x:v>
      </x:c>
      <x:c r="D19" s="7" t="str">
        <x:v>換算式：USD = 現地通常価格 × (USD/EUR) ÷ (現地通貨/EUR)。円万円 = 現地通常価格 × (JPY/EUR) ÷ (現地通貨/EUR) ÷ 10,000。USD表示は丸めるが計算値は丸めない。</x:v>
      </x:c>
      <x:c r="E19" s="7" t="str">
        <x:v>換算式：USD = 現地通常価格 × (USD/EUR) ÷ (現地通貨/EUR)。円万円 = 現地通常価格 × (JPY/EUR) ÷ (現地通貨/EUR) ÷ 10,000。USD表示は丸めるが計算値は丸めない。</x:v>
      </x:c>
      <x:c r="F19" s="7" t="str">
        <x:v>換算式：USD = 現地通常価格 × (USD/EUR) ÷ (現地通貨/EUR)。円万円 = 現地通常価格 × (JPY/EUR) ÷ (現地通貨/EUR) ÷ 10,000。USD表示は丸めるが計算値は丸めない。</x:v>
      </x:c>
      <x:c r="G19" s="2"/>
      <x:c r="H19" s="2"/>
    </x:row>
    <x:row r="20" ht="24" customHeight="1">
      <x:c r="A20" s="7" t="str">
        <x:v>換算式：USD = 現地通常価格 × (USD/EUR) ÷ (現地通貨/EUR)。円万円 = 現地通常価格 × (JPY/EUR) ÷ (現地通貨/EUR) ÷ 10,000。USD表示は丸めるが計算値は丸めない。</x:v>
      </x:c>
      <x:c r="B20" s="7" t="str">
        <x:v>換算式：USD = 現地通常価格 × (USD/EUR) ÷ (現地通貨/EUR)。円万円 = 現地通常価格 × (JPY/EUR) ÷ (現地通貨/EUR) ÷ 10,000。USD表示は丸めるが計算値は丸めない。</x:v>
      </x:c>
      <x:c r="C20" s="7" t="str">
        <x:v>換算式：USD = 現地通常価格 × (USD/EUR) ÷ (現地通貨/EUR)。円万円 = 現地通常価格 × (JPY/EUR) ÷ (現地通貨/EUR) ÷ 10,000。USD表示は丸めるが計算値は丸めない。</x:v>
      </x:c>
      <x:c r="D20" s="7" t="str">
        <x:v>換算式：USD = 現地通常価格 × (USD/EUR) ÷ (現地通貨/EUR)。円万円 = 現地通常価格 × (JPY/EUR) ÷ (現地通貨/EUR) ÷ 10,000。USD表示は丸めるが計算値は丸めない。</x:v>
      </x:c>
      <x:c r="E20" s="7" t="str">
        <x:v>換算式：USD = 現地通常価格 × (USD/EUR) ÷ (現地通貨/EUR)。円万円 = 現地通常価格 × (JPY/EUR) ÷ (現地通貨/EUR) ÷ 10,000。USD表示は丸めるが計算値は丸めない。</x:v>
      </x:c>
      <x:c r="F20" s="7" t="str">
        <x:v>換算式：USD = 現地通常価格 × (USD/EUR) ÷ (現地通貨/EUR)。円万円 = 現地通常価格 × (JPY/EUR) ÷ (現地通貨/EUR) ÷ 10,000。USD表示は丸めるが計算値は丸めない。</x:v>
      </x:c>
      <x:c r="G20" s="2"/>
      <x:c r="H20" s="2"/>
    </x:row>
    <x:row r="21" ht="24" customHeight="1">
      <x:c r="A21" s="7" t="str">
        <x:v>換算式：USD = 現地通常価格 × (USD/EUR) ÷ (現地通貨/EUR)。円万円 = 現地通常価格 × (JPY/EUR) ÷ (現地通貨/EUR) ÷ 10,000。USD表示は丸めるが計算値は丸めない。</x:v>
      </x:c>
      <x:c r="B21" s="7" t="str">
        <x:v>換算式：USD = 現地通常価格 × (USD/EUR) ÷ (現地通貨/EUR)。円万円 = 現地通常価格 × (JPY/EUR) ÷ (現地通貨/EUR) ÷ 10,000。USD表示は丸めるが計算値は丸めない。</x:v>
      </x:c>
      <x:c r="C21" s="7" t="str">
        <x:v>換算式：USD = 現地通常価格 × (USD/EUR) ÷ (現地通貨/EUR)。円万円 = 現地通常価格 × (JPY/EUR) ÷ (現地通貨/EUR) ÷ 10,000。USD表示は丸めるが計算値は丸めない。</x:v>
      </x:c>
      <x:c r="D21" s="7" t="str">
        <x:v>換算式：USD = 現地通常価格 × (USD/EUR) ÷ (現地通貨/EUR)。円万円 = 現地通常価格 × (JPY/EUR) ÷ (現地通貨/EUR) ÷ 10,000。USD表示は丸めるが計算値は丸めない。</x:v>
      </x:c>
      <x:c r="E21" s="7" t="str">
        <x:v>換算式：USD = 現地通常価格 × (USD/EUR) ÷ (現地通貨/EUR)。円万円 = 現地通常価格 × (JPY/EUR) ÷ (現地通貨/EUR) ÷ 10,000。USD表示は丸めるが計算値は丸めない。</x:v>
      </x:c>
      <x:c r="F21" s="7" t="str">
        <x:v>換算式：USD = 現地通常価格 × (USD/EUR) ÷ (現地通貨/EUR)。円万円 = 現地通常価格 × (JPY/EUR) ÷ (現地通貨/EUR) ÷ 10,000。USD表示は丸めるが計算値は丸めない。</x:v>
      </x:c>
      <x:c r="G21" s="2"/>
      <x:c r="H21" s="2"/>
    </x:row>
    <x:row r="22" ht="24" customHeight="1">
      <x:c r="A22" s="2"/>
      <x:c r="B22" s="2"/>
      <x:c r="C22" s="2"/>
      <x:c r="D22" s="2"/>
      <x:c r="E22" s="2"/>
      <x:c r="F22" s="2"/>
      <x:c r="G22" s="2"/>
      <x:c r="H22" s="2"/>
    </x:row>
  </x:sheetData>
  <x:mergeCells>
    <x:mergeCell ref="A1:F1"/>
    <x:mergeCell ref="A2:F3"/>
    <x:mergeCell ref="A19:F21"/>
  </x:mergeCells>
  <x:pageMargins left="0.7" right="0.7" top="0.75" bottom="0.75" header="0.3" footer="0.3"/>
</x:worksheet>
</file>